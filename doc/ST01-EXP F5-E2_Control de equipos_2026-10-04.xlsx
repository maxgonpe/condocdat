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media/image1.png" ContentType="image/png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esumen - TD" sheetId="1" state="visible" r:id="rId2"/>
    <sheet name="Significado status" sheetId="2" state="visible" r:id="rId3"/>
    <sheet name="Locations" sheetId="3" state="visible" r:id="rId4"/>
    <sheet name="Asset" sheetId="4" state="visible" r:id="rId5"/>
    <sheet name="Otros equipos" sheetId="5" state="visible" r:id="rId6"/>
  </sheets>
  <definedNames>
    <definedName function="false" hidden="true" localSheetId="3" name="_xlnm._FilterDatabase" vbProcedure="false">Asset!$B$3:$W$378</definedName>
    <definedName function="false" hidden="true" localSheetId="2" name="_xlnm._FilterDatabase" vbProcedure="false">Locations!$B$3:$J$115</definedName>
    <definedName function="false" hidden="true" localSheetId="4" name="_xlnm._FilterDatabase" vbProcedure="false">'Otros equipos'!$B$1:$E$77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Q137" authorId="0">
      <text>
        <r>
          <rPr>
            <sz val="11"/>
            <color rgb="FF000000"/>
            <rFont val="Calibri"/>
            <family val="2"/>
            <charset val="1"/>
          </rPr>
          <t xml:space="preserve">Fecha max VB 15 de abril
</t>
        </r>
      </text>
    </comment>
    <comment ref="Q138" authorId="0">
      <text>
        <r>
          <rPr>
            <sz val="11"/>
            <color rgb="FF000000"/>
            <rFont val="Calibri"/>
            <family val="2"/>
            <charset val="1"/>
          </rPr>
          <t xml:space="preserve">Fecha max VB 15 de abril
</t>
        </r>
      </text>
    </comment>
  </commentList>
</comments>
</file>

<file path=xl/sharedStrings.xml><?xml version="1.0" encoding="utf-8"?>
<sst xmlns="http://schemas.openxmlformats.org/spreadsheetml/2006/main" count="4881" uniqueCount="894">
  <si>
    <t xml:space="preserve">Tipe</t>
  </si>
  <si>
    <t xml:space="preserve">TAREA</t>
  </si>
  <si>
    <t xml:space="preserve">Proveedor</t>
  </si>
  <si>
    <t xml:space="preserve">General Contractor</t>
  </si>
  <si>
    <t xml:space="preserve">Datos</t>
  </si>
  <si>
    <t xml:space="preserve">Estado</t>
  </si>
  <si>
    <t xml:space="preserve">Cuenta de Asset</t>
  </si>
  <si>
    <t xml:space="preserve">Cuenta de Asset2</t>
  </si>
  <si>
    <t xml:space="preserve">Comprado</t>
  </si>
  <si>
    <t xml:space="preserve">Pend. Validación por Odata</t>
  </si>
  <si>
    <t xml:space="preserve">En revisión Propamat</t>
  </si>
  <si>
    <t xml:space="preserve">En proceso de compra</t>
  </si>
  <si>
    <t xml:space="preserve">Cotizando (BEEBE)</t>
  </si>
  <si>
    <t xml:space="preserve">Revision alcance contrato</t>
  </si>
  <si>
    <t xml:space="preserve">No es parte del proyecto</t>
  </si>
  <si>
    <t xml:space="preserve">Total Resultado</t>
  </si>
  <si>
    <t xml:space="preserve">Flujo</t>
  </si>
  <si>
    <t xml:space="preserve">Status</t>
  </si>
  <si>
    <t xml:space="preserve">Significado</t>
  </si>
  <si>
    <t xml:space="preserve">Pend. Ingeniería por Odata</t>
  </si>
  <si>
    <t xml:space="preserve">Pendiente entrega antecedentes/aclaraciones para salir a cotizar</t>
  </si>
  <si>
    <t xml:space="preserve">En revisión propamat</t>
  </si>
  <si>
    <t xml:space="preserve">Asegurando stock, buscando alternativa, en proceso de cotización y/o esperando ficha del proveedor</t>
  </si>
  <si>
    <t xml:space="preserve">En revisión propamat (MEMO 001)</t>
  </si>
  <si>
    <t xml:space="preserve">Corregir (agregar TAG) para que validen</t>
  </si>
  <si>
    <t xml:space="preserve">Pendiente VB de Odata para proceder con la compra</t>
  </si>
  <si>
    <t xml:space="preserve">Realizando cierre comercial para adquirir</t>
  </si>
  <si>
    <t xml:space="preserve">Compra del equipo realizado</t>
  </si>
  <si>
    <t xml:space="preserve">En sitio</t>
  </si>
  <si>
    <t xml:space="preserve">Equipo en sitio</t>
  </si>
  <si>
    <t xml:space="preserve">DATA CENTER ODATA ST01-EXP FASE 05 (Colo 7, 8 &amp; 9)</t>
  </si>
  <si>
    <t xml:space="preserve">Campus</t>
  </si>
  <si>
    <t xml:space="preserve">Building</t>
  </si>
  <si>
    <t xml:space="preserve">Zones</t>
  </si>
  <si>
    <t xml:space="preserve">Floors</t>
  </si>
  <si>
    <t xml:space="preserve">Space (Room Number)</t>
  </si>
  <si>
    <t xml:space="preserve">Fase</t>
  </si>
  <si>
    <t xml:space="preserve">Area
(m2)</t>
  </si>
  <si>
    <t xml:space="preserve">Code</t>
  </si>
  <si>
    <t xml:space="preserve">DATA CENTER ST01</t>
  </si>
  <si>
    <t xml:space="preserve">Colo 7</t>
  </si>
  <si>
    <t xml:space="preserve">Bodega</t>
  </si>
  <si>
    <t xml:space="preserve">ALMACENAMIENTO CLIENTE - 04.1.1</t>
  </si>
  <si>
    <t xml:space="preserve">F5</t>
  </si>
  <si>
    <t xml:space="preserve">04.1.1</t>
  </si>
  <si>
    <t xml:space="preserve">ALMACENAMIENTO DE ALTO VALOR - 04.1.2</t>
  </si>
  <si>
    <t xml:space="preserve">04.1.2</t>
  </si>
  <si>
    <t xml:space="preserve">ALMACENAMIENTO CLIENTE - 04.1.3</t>
  </si>
  <si>
    <t xml:space="preserve">04.1.3</t>
  </si>
  <si>
    <t xml:space="preserve">ALMACENAMIENTO DE ALTO VALOR - 04.1.4</t>
  </si>
  <si>
    <t xml:space="preserve">04.1.4</t>
  </si>
  <si>
    <t xml:space="preserve">ALMACENAMIENTO ODATA - 04.1.5</t>
  </si>
  <si>
    <t xml:space="preserve">04.1.5</t>
  </si>
  <si>
    <t xml:space="preserve">Circulación</t>
  </si>
  <si>
    <t xml:space="preserve">CIRCULACIÓN (hasta el eje CL) - 05.1.10</t>
  </si>
  <si>
    <t xml:space="preserve">05.1.10</t>
  </si>
  <si>
    <t xml:space="preserve">CIRCULACIÓN (hasta el eje CL) - 05.1.13</t>
  </si>
  <si>
    <t xml:space="preserve">05.1.13</t>
  </si>
  <si>
    <t xml:space="preserve">CIRCULACIÓN (desde eje CL hasta el eje CU) - 05.1.10</t>
  </si>
  <si>
    <t xml:space="preserve">F6</t>
  </si>
  <si>
    <t xml:space="preserve">CIRCULACIÓN (desde eje CL hasta el eje CU) - 05.1.13</t>
  </si>
  <si>
    <t xml:space="preserve">CIRCULACIÓN - 05.1.14</t>
  </si>
  <si>
    <t xml:space="preserve">05.1.14</t>
  </si>
  <si>
    <t xml:space="preserve">SALA DATOS COLO 7 - 01.7.0</t>
  </si>
  <si>
    <t xml:space="preserve">01.7.0</t>
  </si>
  <si>
    <t xml:space="preserve">CORREDOR TÉCNICO - 02.7.1</t>
  </si>
  <si>
    <t xml:space="preserve">02.7.1</t>
  </si>
  <si>
    <t xml:space="preserve">CORREDOR TÉCNICO - 02.7.2</t>
  </si>
  <si>
    <t xml:space="preserve">02.7.2</t>
  </si>
  <si>
    <t xml:space="preserve">SALA ELÉCTRICA 7.1 - 03.7.1</t>
  </si>
  <si>
    <t xml:space="preserve">03.7.1</t>
  </si>
  <si>
    <t xml:space="preserve">SALA ELÉCTRICA 7.2 - 03.7.2</t>
  </si>
  <si>
    <t xml:space="preserve">03.7.2</t>
  </si>
  <si>
    <t xml:space="preserve">SALA ELÉCTRICA 7.R - 03.7.3</t>
  </si>
  <si>
    <t xml:space="preserve">03.7.3</t>
  </si>
  <si>
    <t xml:space="preserve">SALA ELÉCTRICA - CWP - 03.7.4</t>
  </si>
  <si>
    <t xml:space="preserve">03.7.4</t>
  </si>
  <si>
    <t xml:space="preserve">IDF</t>
  </si>
  <si>
    <t xml:space="preserve">CORREDOR TÉCNICO - 02.1.1</t>
  </si>
  <si>
    <t xml:space="preserve">02.1.1</t>
  </si>
  <si>
    <t xml:space="preserve">CORREDOR TÉCNICO - 02.1.2</t>
  </si>
  <si>
    <t xml:space="preserve">02.1.2</t>
  </si>
  <si>
    <t xml:space="preserve">CORREDOR TÉCNICO - 02.1.3</t>
  </si>
  <si>
    <t xml:space="preserve">02.1.3</t>
  </si>
  <si>
    <t xml:space="preserve">CORREDOR TÉCNICO - 02.1.4</t>
  </si>
  <si>
    <t xml:space="preserve">02.1.4</t>
  </si>
  <si>
    <t xml:space="preserve">CORREDOR TÉCNICO - 02.1.5</t>
  </si>
  <si>
    <t xml:space="preserve">02.1.5</t>
  </si>
  <si>
    <t xml:space="preserve">CORREDOR TÉCNICO - 02.1.6</t>
  </si>
  <si>
    <t xml:space="preserve">02.1.6</t>
  </si>
  <si>
    <t xml:space="preserve">CORREDOR TÉCNICO - 02.1.7</t>
  </si>
  <si>
    <t xml:space="preserve">02.1.7</t>
  </si>
  <si>
    <t xml:space="preserve">CORREDOR TÉCNICO - 02.1.8</t>
  </si>
  <si>
    <t xml:space="preserve">02.1.8</t>
  </si>
  <si>
    <t xml:space="preserve">CIRCULACIÓN - 05.1.11</t>
  </si>
  <si>
    <t xml:space="preserve">05.1.11</t>
  </si>
  <si>
    <t xml:space="preserve">CIRCULACIÓN - 05.1.12</t>
  </si>
  <si>
    <t xml:space="preserve">05.1.12</t>
  </si>
  <si>
    <t xml:space="preserve">SALA IDF 5 - 32.1.5</t>
  </si>
  <si>
    <t xml:space="preserve">32.1.5</t>
  </si>
  <si>
    <t xml:space="preserve">SALA IDF 6 - 32.1.6</t>
  </si>
  <si>
    <t xml:space="preserve">32.1.6</t>
  </si>
  <si>
    <t xml:space="preserve">SALA IDF 7 - 32.1.7</t>
  </si>
  <si>
    <t xml:space="preserve">32.1.7</t>
  </si>
  <si>
    <t xml:space="preserve">SALA IDF 8 - 32.1.8</t>
  </si>
  <si>
    <t xml:space="preserve">32.1.8</t>
  </si>
  <si>
    <t xml:space="preserve">Servicios</t>
  </si>
  <si>
    <t xml:space="preserve">ACCESO BAÑOS - 08.1.1</t>
  </si>
  <si>
    <t xml:space="preserve">08.1.1</t>
  </si>
  <si>
    <t xml:space="preserve">BAÑO DE HOMBRES - 08.1.2</t>
  </si>
  <si>
    <t xml:space="preserve">08.1.2</t>
  </si>
  <si>
    <t xml:space="preserve">BAÑO DE MUJERES - 08.1.3</t>
  </si>
  <si>
    <t xml:space="preserve">08.1.3</t>
  </si>
  <si>
    <t xml:space="preserve">Recinto Técnico</t>
  </si>
  <si>
    <t xml:space="preserve">SALA DE TRATAMIENTO QUÍMICO - 35.1.1</t>
  </si>
  <si>
    <t xml:space="preserve">35.1.1</t>
  </si>
  <si>
    <t xml:space="preserve">Colo 8</t>
  </si>
  <si>
    <t xml:space="preserve">SALA DATOS COLO 8 - 01.8</t>
  </si>
  <si>
    <t xml:space="preserve">01.8</t>
  </si>
  <si>
    <t xml:space="preserve">CORREDOR TÉCNICO - 02.8.1</t>
  </si>
  <si>
    <t xml:space="preserve">02.8.1</t>
  </si>
  <si>
    <t xml:space="preserve">CORREDOR TÉCNICO - 02.8.2</t>
  </si>
  <si>
    <t xml:space="preserve">02.8.2</t>
  </si>
  <si>
    <t xml:space="preserve">SALA ELÉCTRICA 8.1 - 03.8.1</t>
  </si>
  <si>
    <t xml:space="preserve">03.8.1</t>
  </si>
  <si>
    <t xml:space="preserve">SALA ELÉCTRICA 8.2 - 03.8.2</t>
  </si>
  <si>
    <t xml:space="preserve">03.8.2</t>
  </si>
  <si>
    <t xml:space="preserve">Colo 9</t>
  </si>
  <si>
    <t xml:space="preserve">CIRCULACIÓN - 05.1.15</t>
  </si>
  <si>
    <t xml:space="preserve">05.1.15</t>
  </si>
  <si>
    <t xml:space="preserve">SALA DATOS COLO 9 - 01.9</t>
  </si>
  <si>
    <t xml:space="preserve">01.9</t>
  </si>
  <si>
    <t xml:space="preserve">CORREDOR TÉCNICO - 02.9.1</t>
  </si>
  <si>
    <t xml:space="preserve">02.9.1</t>
  </si>
  <si>
    <t xml:space="preserve">CORREDOR TÉCNICO - 02.9.2</t>
  </si>
  <si>
    <t xml:space="preserve">02.9.2</t>
  </si>
  <si>
    <t xml:space="preserve">SALA ELÉCTRICA 9.1 - 03.9.1</t>
  </si>
  <si>
    <t xml:space="preserve">03.9.1</t>
  </si>
  <si>
    <t xml:space="preserve">SALA ELÉCTRICA 9.2 - 03.9.2</t>
  </si>
  <si>
    <t xml:space="preserve">03.9.2</t>
  </si>
  <si>
    <t xml:space="preserve">Edif. Adm.</t>
  </si>
  <si>
    <t xml:space="preserve">Acceso</t>
  </si>
  <si>
    <t xml:space="preserve">BODEGA - 04.0.1</t>
  </si>
  <si>
    <t xml:space="preserve">04.0.1</t>
  </si>
  <si>
    <t xml:space="preserve">BAÑO - 08.0.5</t>
  </si>
  <si>
    <t xml:space="preserve">08.0.5</t>
  </si>
  <si>
    <t xml:space="preserve">BAÑO ACCESIBLE - 08.0.6</t>
  </si>
  <si>
    <t xml:space="preserve">08.0.6</t>
  </si>
  <si>
    <t xml:space="preserve">ACCESO - 22.0.1</t>
  </si>
  <si>
    <t xml:space="preserve">22.0.1</t>
  </si>
  <si>
    <t xml:space="preserve">ASCENSOR - 26.0.1</t>
  </si>
  <si>
    <t xml:space="preserve">26.0.1</t>
  </si>
  <si>
    <t xml:space="preserve">ESCALERAS - 27.0.1</t>
  </si>
  <si>
    <t xml:space="preserve">27.0.1</t>
  </si>
  <si>
    <t xml:space="preserve">CIRCULACIÓN - 05.0.8</t>
  </si>
  <si>
    <t xml:space="preserve">05.0.8</t>
  </si>
  <si>
    <t xml:space="preserve">CIRCULACIÓN - 05.0.9</t>
  </si>
  <si>
    <t xml:space="preserve">05.0.9</t>
  </si>
  <si>
    <t xml:space="preserve">PASILLO 1° PISO - 29.0.1</t>
  </si>
  <si>
    <t xml:space="preserve">29.0.1</t>
  </si>
  <si>
    <t xml:space="preserve">Muelle Carga</t>
  </si>
  <si>
    <t xml:space="preserve">BAÑO - 08.0.1</t>
  </si>
  <si>
    <t xml:space="preserve">08.0.1</t>
  </si>
  <si>
    <t xml:space="preserve">MUELLE DE CARGA Y DESCARGA - 14.0.1</t>
  </si>
  <si>
    <t xml:space="preserve">14.0.1</t>
  </si>
  <si>
    <t xml:space="preserve">ÁREA DE RECEPCIÓN - 15.0.1</t>
  </si>
  <si>
    <t xml:space="preserve">15.0.1</t>
  </si>
  <si>
    <t xml:space="preserve">OFICINA RECEPCIÓN - 16.0.2</t>
  </si>
  <si>
    <t xml:space="preserve">16.0.2</t>
  </si>
  <si>
    <t xml:space="preserve">ESCALERAS - 27.0.2</t>
  </si>
  <si>
    <t xml:space="preserve">27.0.2</t>
  </si>
  <si>
    <t xml:space="preserve">BODEGA DE EMBALAJE - 28.0.1</t>
  </si>
  <si>
    <t xml:space="preserve">28.0.1</t>
  </si>
  <si>
    <t xml:space="preserve">Oficina Odata</t>
  </si>
  <si>
    <t xml:space="preserve">BAÑO ACCESIBLE - 08.0.2</t>
  </si>
  <si>
    <t xml:space="preserve">08.0.2</t>
  </si>
  <si>
    <t xml:space="preserve">BAÑO DE DAMAS - 08.0.3</t>
  </si>
  <si>
    <t xml:space="preserve">08.0.3</t>
  </si>
  <si>
    <t xml:space="preserve">BAÑO DE HOMBRES - 08.0.4</t>
  </si>
  <si>
    <t xml:space="preserve">08.0.4</t>
  </si>
  <si>
    <t xml:space="preserve">OFICINAS DE ODATA - 16.0.1</t>
  </si>
  <si>
    <t xml:space="preserve">16.0.1</t>
  </si>
  <si>
    <t xml:space="preserve">SALA DE REUNIONES - 17.0.1</t>
  </si>
  <si>
    <t xml:space="preserve">17.0.1</t>
  </si>
  <si>
    <t xml:space="preserve">SALA DE REUNIONES - 17.0.2</t>
  </si>
  <si>
    <t xml:space="preserve">17.0.2</t>
  </si>
  <si>
    <t xml:space="preserve">ÁREA DE DESCANSO - 18.0.1</t>
  </si>
  <si>
    <t xml:space="preserve">18.0.1</t>
  </si>
  <si>
    <t xml:space="preserve">MGMT - 19.0.1</t>
  </si>
  <si>
    <t xml:space="preserve">19.0.1</t>
  </si>
  <si>
    <t xml:space="preserve">MGMT - 19.0.2</t>
  </si>
  <si>
    <t xml:space="preserve">19.0.2</t>
  </si>
  <si>
    <t xml:space="preserve">SALA ELÉCTRICA - 03.0.1</t>
  </si>
  <si>
    <t xml:space="preserve">03.0.1</t>
  </si>
  <si>
    <t xml:space="preserve">NOC - 20.0.1</t>
  </si>
  <si>
    <t xml:space="preserve">20.0.1</t>
  </si>
  <si>
    <t xml:space="preserve">VESTIDORES DE HOMBRES - 21.0.1</t>
  </si>
  <si>
    <t xml:space="preserve">21.0.1</t>
  </si>
  <si>
    <t xml:space="preserve">VESTIDORES DE MUJERES - 21.0.2</t>
  </si>
  <si>
    <t xml:space="preserve">21.0.2</t>
  </si>
  <si>
    <t xml:space="preserve">BODEGA DE CONSERJE - 23.0.1</t>
  </si>
  <si>
    <t xml:space="preserve">23.0.1</t>
  </si>
  <si>
    <t xml:space="preserve">RACK BMS - 24.0.1</t>
  </si>
  <si>
    <t xml:space="preserve">24.0.1</t>
  </si>
  <si>
    <t xml:space="preserve">PASILLO - 29.0.2</t>
  </si>
  <si>
    <t xml:space="preserve">29.0.2</t>
  </si>
  <si>
    <t xml:space="preserve">Oficina Cliente 1</t>
  </si>
  <si>
    <t xml:space="preserve">BAÑO ACCESIBLE - 08.0.7</t>
  </si>
  <si>
    <t xml:space="preserve">08.0.7</t>
  </si>
  <si>
    <t xml:space="preserve">BAÑO DE DAMAS - 08.0.8</t>
  </si>
  <si>
    <t xml:space="preserve">08.0.8</t>
  </si>
  <si>
    <t xml:space="preserve">BAÑO DE HOMBRES - 08.0.9</t>
  </si>
  <si>
    <t xml:space="preserve">08.0.9</t>
  </si>
  <si>
    <t xml:space="preserve">OFICINAS CLIENTES  - 16.0.3</t>
  </si>
  <si>
    <t xml:space="preserve">16.0.3</t>
  </si>
  <si>
    <t xml:space="preserve">SALA DE REUNIONES - 17.0.3</t>
  </si>
  <si>
    <t xml:space="preserve">17.0.3</t>
  </si>
  <si>
    <t xml:space="preserve">ÁREA DE DESCANSO - 18.0.2</t>
  </si>
  <si>
    <t xml:space="preserve">18.0.2</t>
  </si>
  <si>
    <t xml:space="preserve">MGMT - 19.0.3</t>
  </si>
  <si>
    <t xml:space="preserve">19.0.3</t>
  </si>
  <si>
    <t xml:space="preserve">MGMT - 19.0.4</t>
  </si>
  <si>
    <t xml:space="preserve">19.0.4</t>
  </si>
  <si>
    <t xml:space="preserve">MGMT - 19.0.5</t>
  </si>
  <si>
    <t xml:space="preserve">19.0.5</t>
  </si>
  <si>
    <t xml:space="preserve">Oficina Cliente 2</t>
  </si>
  <si>
    <t xml:space="preserve">OFICINAS CLIENTES - 16.0.4</t>
  </si>
  <si>
    <t xml:space="preserve">F7</t>
  </si>
  <si>
    <t xml:space="preserve">16.0.4</t>
  </si>
  <si>
    <t xml:space="preserve">SALA DE REUNIONES - 17.0.4</t>
  </si>
  <si>
    <t xml:space="preserve">17.0.4</t>
  </si>
  <si>
    <t xml:space="preserve">MGMT - 19.0.6</t>
  </si>
  <si>
    <t xml:space="preserve">19.0.6</t>
  </si>
  <si>
    <t xml:space="preserve">MGMT - 19.0.7</t>
  </si>
  <si>
    <t xml:space="preserve">19.0.7</t>
  </si>
  <si>
    <t xml:space="preserve">MGMT - 19.0.8</t>
  </si>
  <si>
    <t xml:space="preserve">19.0.8</t>
  </si>
  <si>
    <t xml:space="preserve">Oficina Cliente 3</t>
  </si>
  <si>
    <t xml:space="preserve">BAÑO DE HOMBRES - 08.0.10</t>
  </si>
  <si>
    <t xml:space="preserve">08.0.10</t>
  </si>
  <si>
    <t xml:space="preserve">BAÑO DE DAMAS - 08.0.11</t>
  </si>
  <si>
    <t xml:space="preserve">08.0.11</t>
  </si>
  <si>
    <t xml:space="preserve">OFICINAS CLIENTES - 16.0.5</t>
  </si>
  <si>
    <t xml:space="preserve">16.0.5</t>
  </si>
  <si>
    <t xml:space="preserve">SALA DE REUNIONES - 17.0.5</t>
  </si>
  <si>
    <t xml:space="preserve">17.0.5</t>
  </si>
  <si>
    <t xml:space="preserve">MGMT - 19.0.10</t>
  </si>
  <si>
    <t xml:space="preserve">19.0.10</t>
  </si>
  <si>
    <t xml:space="preserve">MGMT - 19.0.11</t>
  </si>
  <si>
    <t xml:space="preserve">19.0.11</t>
  </si>
  <si>
    <t xml:space="preserve">MGMT - 19.0.9</t>
  </si>
  <si>
    <t xml:space="preserve">19.0.9</t>
  </si>
  <si>
    <t xml:space="preserve">SALA MULTIUSO - 34.0.1</t>
  </si>
  <si>
    <t xml:space="preserve">34.0.1</t>
  </si>
  <si>
    <t xml:space="preserve">SHAFT - 25.0.1</t>
  </si>
  <si>
    <t xml:space="preserve">25.0.1</t>
  </si>
  <si>
    <t xml:space="preserve">RACK - 30.0.1</t>
  </si>
  <si>
    <t xml:space="preserve">30.0.1</t>
  </si>
  <si>
    <t xml:space="preserve">SALA SEGURIDAD - 31.0.1</t>
  </si>
  <si>
    <t xml:space="preserve">31.0.1</t>
  </si>
  <si>
    <t xml:space="preserve">Exterior Norte</t>
  </si>
  <si>
    <t xml:space="preserve">Patio Equipos EXP05</t>
  </si>
  <si>
    <t xml:space="preserve">SALA PMT - 06.2.4</t>
  </si>
  <si>
    <t xml:space="preserve">06.2.4</t>
  </si>
  <si>
    <t xml:space="preserve">ZONA DE GENERADORES Y CHILLERS - 12.2.1</t>
  </si>
  <si>
    <t xml:space="preserve">12.2.1</t>
  </si>
  <si>
    <t xml:space="preserve">Plataforma Equipos</t>
  </si>
  <si>
    <t xml:space="preserve">ZONA DE EQUIPOS DE CLIMA - 13.0.1</t>
  </si>
  <si>
    <t xml:space="preserve">13.0.1</t>
  </si>
  <si>
    <t xml:space="preserve">Exterior Sur</t>
  </si>
  <si>
    <t xml:space="preserve">Estanque PCI</t>
  </si>
  <si>
    <t xml:space="preserve">CORREDOR TÉCNICO ESTANQUE PCI - 02.2.1</t>
  </si>
  <si>
    <t xml:space="preserve">02.2.1</t>
  </si>
  <si>
    <t xml:space="preserve">SALA DE BOMBAS ESTANQUE PCI - 36.2.1</t>
  </si>
  <si>
    <t xml:space="preserve">36.2.1</t>
  </si>
  <si>
    <t xml:space="preserve">SALA DE TABLERO BOMBAS ESTANQUE PCI - 37.2.1</t>
  </si>
  <si>
    <t xml:space="preserve">37.2.1</t>
  </si>
  <si>
    <t xml:space="preserve">Estacionamiento EXP05</t>
  </si>
  <si>
    <t xml:space="preserve">ESTANQUE APO - 33.2.1</t>
  </si>
  <si>
    <t xml:space="preserve">33.2.1</t>
  </si>
  <si>
    <t xml:space="preserve">ACERAS, ACCESO Y BICICLETEROS - 38.0.0</t>
  </si>
  <si>
    <t xml:space="preserve">38.0.0</t>
  </si>
  <si>
    <t xml:space="preserve">Calle Sur EXP05</t>
  </si>
  <si>
    <t xml:space="preserve">ACERAS SUR - 39.0.0</t>
  </si>
  <si>
    <t xml:space="preserve">39.0.0</t>
  </si>
  <si>
    <t xml:space="preserve">Exterior Oriente</t>
  </si>
  <si>
    <t xml:space="preserve">PASILLO ENTRE FASE 4/5 - 40.0.0</t>
  </si>
  <si>
    <t xml:space="preserve">40.0.0</t>
  </si>
  <si>
    <t xml:space="preserve">Especialidad</t>
  </si>
  <si>
    <t xml:space="preserve">TAG. Number</t>
  </si>
  <si>
    <t xml:space="preserve">Asset</t>
  </si>
  <si>
    <t xml:space="preserve">Space
(Room Number)</t>
  </si>
  <si>
    <t xml:space="preserve">Unit</t>
  </si>
  <si>
    <t xml:space="preserve">Quantity</t>
  </si>
  <si>
    <t xml:space="preserve">Phase</t>
  </si>
  <si>
    <t xml:space="preserve">Vendor</t>
  </si>
  <si>
    <t xml:space="preserve">Con OC</t>
  </si>
  <si>
    <t xml:space="preserve">Fecha Compra</t>
  </si>
  <si>
    <t xml:space="preserve">RDI/TTAL</t>
  </si>
  <si>
    <t xml:space="preserve">Fecha de llegada a obra</t>
  </si>
  <si>
    <t xml:space="preserve">Fecha Planificacion</t>
  </si>
  <si>
    <t xml:space="preserve">Cumple</t>
  </si>
  <si>
    <t xml:space="preserve">DIAS</t>
  </si>
  <si>
    <t xml:space="preserve">Avance de Montaje</t>
  </si>
  <si>
    <t xml:space="preserve">Avance de Conexión</t>
  </si>
  <si>
    <t xml:space="preserve">OBSERVACIONES</t>
  </si>
  <si>
    <t xml:space="preserve">SUBTITULO</t>
  </si>
  <si>
    <t xml:space="preserve">ELE</t>
  </si>
  <si>
    <t xml:space="preserve">EQUIPOS ELÉCTRICOS</t>
  </si>
  <si>
    <t xml:space="preserve">TITULO</t>
  </si>
  <si>
    <t xml:space="preserve">Unidad Principal de Anillo</t>
  </si>
  <si>
    <t xml:space="preserve">RMU-7.1</t>
  </si>
  <si>
    <t xml:space="preserve">uni</t>
  </si>
  <si>
    <t xml:space="preserve">Odata</t>
  </si>
  <si>
    <t xml:space="preserve">Schneider</t>
  </si>
  <si>
    <t xml:space="preserve">RMU-7.2</t>
  </si>
  <si>
    <t xml:space="preserve">RMU-7.R</t>
  </si>
  <si>
    <t xml:space="preserve">Transformadores 23kV/415V</t>
  </si>
  <si>
    <t xml:space="preserve">XFMR-7.1</t>
  </si>
  <si>
    <t xml:space="preserve">Hitachi</t>
  </si>
  <si>
    <t xml:space="preserve">XFMR-7.2</t>
  </si>
  <si>
    <t xml:space="preserve">XFMR-7.R</t>
  </si>
  <si>
    <t xml:space="preserve">XFMR-ADM.2</t>
  </si>
  <si>
    <t xml:space="preserve">Conmutador De Transferencia Automatica</t>
  </si>
  <si>
    <t xml:space="preserve">ATS-FL-7.1</t>
  </si>
  <si>
    <t xml:space="preserve">Icofel</t>
  </si>
  <si>
    <t xml:space="preserve">Si</t>
  </si>
  <si>
    <t xml:space="preserve">ATS-FL-7.2</t>
  </si>
  <si>
    <t xml:space="preserve">ATS-FL-7.R</t>
  </si>
  <si>
    <t xml:space="preserve">ATS-FL-ADM.2</t>
  </si>
  <si>
    <t xml:space="preserve">Administracion</t>
  </si>
  <si>
    <t xml:space="preserve">Generadores</t>
  </si>
  <si>
    <t xml:space="preserve">GEN-7.1</t>
  </si>
  <si>
    <t xml:space="preserve">Grupo Generador</t>
  </si>
  <si>
    <t xml:space="preserve">Finning</t>
  </si>
  <si>
    <t xml:space="preserve">GEN-7.2</t>
  </si>
  <si>
    <t xml:space="preserve">GEN-7.R</t>
  </si>
  <si>
    <t xml:space="preserve">GEN-ADM2</t>
  </si>
  <si>
    <t xml:space="preserve">Sistema de Alimentación Ininterrumpida</t>
  </si>
  <si>
    <t xml:space="preserve">UPS-7.1.1</t>
  </si>
  <si>
    <t xml:space="preserve">Sistema UPS</t>
  </si>
  <si>
    <t xml:space="preserve">Vertiv</t>
  </si>
  <si>
    <t xml:space="preserve">UPS-7.1.2</t>
  </si>
  <si>
    <t xml:space="preserve">UPS-7.2.1</t>
  </si>
  <si>
    <t xml:space="preserve">UPS-7.2.2</t>
  </si>
  <si>
    <t xml:space="preserve">UPS-7.R.1</t>
  </si>
  <si>
    <t xml:space="preserve">UPS-7.R.2</t>
  </si>
  <si>
    <t xml:space="preserve">UPS-ADM.2</t>
  </si>
  <si>
    <t xml:space="preserve">BBAT-UPS-7.1.1</t>
  </si>
  <si>
    <t xml:space="preserve">Banco de Baterias</t>
  </si>
  <si>
    <t xml:space="preserve">BBAT-UPS-7.1.2</t>
  </si>
  <si>
    <t xml:space="preserve">BBAT-UPS-7.2.1</t>
  </si>
  <si>
    <t xml:space="preserve">BBAT-UPS-7.2,2</t>
  </si>
  <si>
    <t xml:space="preserve">BBAT-UPS-7.R.1</t>
  </si>
  <si>
    <t xml:space="preserve">BBAT-UPS-7.R.2</t>
  </si>
  <si>
    <t xml:space="preserve">BBAT-UPS-ADM.2</t>
  </si>
  <si>
    <t xml:space="preserve">Conmutador de Transferencia Estática</t>
  </si>
  <si>
    <t xml:space="preserve"> STS-7.1.1</t>
  </si>
  <si>
    <t xml:space="preserve"> STS-7.1.2</t>
  </si>
  <si>
    <t xml:space="preserve"> STS-7.1.3</t>
  </si>
  <si>
    <t xml:space="preserve"> STS-7.1.4</t>
  </si>
  <si>
    <t xml:space="preserve"> STS-7.2.1</t>
  </si>
  <si>
    <t xml:space="preserve"> STS-7.2.2</t>
  </si>
  <si>
    <t xml:space="preserve"> STS-7.2.3</t>
  </si>
  <si>
    <t xml:space="preserve"> STS-7.2.4</t>
  </si>
  <si>
    <t xml:space="preserve">Unidad de Distribución Energética</t>
  </si>
  <si>
    <t xml:space="preserve"> PDU-7.1.1</t>
  </si>
  <si>
    <t xml:space="preserve"> PDU-7.1.2</t>
  </si>
  <si>
    <t xml:space="preserve"> PDU-7.1.3</t>
  </si>
  <si>
    <t xml:space="preserve"> PDU-7.1.4</t>
  </si>
  <si>
    <t xml:space="preserve"> PDU-7.2.1</t>
  </si>
  <si>
    <t xml:space="preserve"> PDU-7.2.2</t>
  </si>
  <si>
    <t xml:space="preserve"> PDU-7.2.3</t>
  </si>
  <si>
    <t xml:space="preserve"> PDU-7.2.4</t>
  </si>
  <si>
    <t xml:space="preserve"> PDU-7.1.1.R</t>
  </si>
  <si>
    <t xml:space="preserve"> PDU-7.1.2.R</t>
  </si>
  <si>
    <t xml:space="preserve"> PDU-7.1.3.R</t>
  </si>
  <si>
    <t xml:space="preserve"> PDU-7.1.4.R</t>
  </si>
  <si>
    <t xml:space="preserve"> PDU-7.2.1.R</t>
  </si>
  <si>
    <t xml:space="preserve"> PDU-7.2.2.R</t>
  </si>
  <si>
    <t xml:space="preserve"> PDU-7.2.3.R</t>
  </si>
  <si>
    <t xml:space="preserve"> PDU-7.2.4.R</t>
  </si>
  <si>
    <t xml:space="preserve">Tableros RPP (Remote Power Panel)</t>
  </si>
  <si>
    <t xml:space="preserve">RPP-7.2.1.2</t>
  </si>
  <si>
    <t xml:space="preserve">A definir</t>
  </si>
  <si>
    <t xml:space="preserve">En Compra</t>
  </si>
  <si>
    <t xml:space="preserve">RPP-7.2.1.3</t>
  </si>
  <si>
    <t xml:space="preserve">RPP-7.2.2.3</t>
  </si>
  <si>
    <t xml:space="preserve">RPP-7.2.2.1</t>
  </si>
  <si>
    <t xml:space="preserve">RPP-7.2.2.2</t>
  </si>
  <si>
    <t xml:space="preserve">RPP-7.2.3.1</t>
  </si>
  <si>
    <t xml:space="preserve">RPP-7.2.4.1</t>
  </si>
  <si>
    <t xml:space="preserve">RPP-7.2.1.2.R</t>
  </si>
  <si>
    <t xml:space="preserve">RPP-7.2.1.3.R</t>
  </si>
  <si>
    <t xml:space="preserve">RPP-7.2.2.3.R</t>
  </si>
  <si>
    <t xml:space="preserve">RPP-7.2.2.1.R</t>
  </si>
  <si>
    <t xml:space="preserve">RPP-7.2.2.2.R</t>
  </si>
  <si>
    <t xml:space="preserve">RPP-7.2.3.1.R</t>
  </si>
  <si>
    <t xml:space="preserve">RPP-7.2.4.1.R</t>
  </si>
  <si>
    <t xml:space="preserve">RPP-7.1.4.2</t>
  </si>
  <si>
    <t xml:space="preserve">RPP-7.1.4.2.R</t>
  </si>
  <si>
    <t xml:space="preserve">RPP-7.1.3.2</t>
  </si>
  <si>
    <t xml:space="preserve">RPP-7.1.3.2.R</t>
  </si>
  <si>
    <t xml:space="preserve">RPP-7.2.4.2</t>
  </si>
  <si>
    <t xml:space="preserve">RPP-7.2.4.2.R</t>
  </si>
  <si>
    <t xml:space="preserve">RPP-7.2.3.2</t>
  </si>
  <si>
    <t xml:space="preserve">RPP-7.2.3.2.R</t>
  </si>
  <si>
    <t xml:space="preserve">Transformadores</t>
  </si>
  <si>
    <t xml:space="preserve">XFMR-SDU-AUT.7.1</t>
  </si>
  <si>
    <t xml:space="preserve">Transformador (100KVA/415V)</t>
  </si>
  <si>
    <t xml:space="preserve">Reggio</t>
  </si>
  <si>
    <t xml:space="preserve">XFMR-SDU-AUT.7.2</t>
  </si>
  <si>
    <t xml:space="preserve">XFMR-ATS-ADM2</t>
  </si>
  <si>
    <t xml:space="preserve">Transformador (25KVA/415V)</t>
  </si>
  <si>
    <t xml:space="preserve">XFMR-DP-FL-7.1</t>
  </si>
  <si>
    <t xml:space="preserve">Transformador (75KVA/415V)</t>
  </si>
  <si>
    <t xml:space="preserve">XFMR-DP-FL-7.2</t>
  </si>
  <si>
    <t xml:space="preserve">XFMR-DP-FL-7.R</t>
  </si>
  <si>
    <t xml:space="preserve">TABLEROS ELÉCTRICOS</t>
  </si>
  <si>
    <t xml:space="preserve">Tableros Principales</t>
  </si>
  <si>
    <t xml:space="preserve">T.D.F.-MSB-7.1</t>
  </si>
  <si>
    <t xml:space="preserve">Tablero de Distribución Principal</t>
  </si>
  <si>
    <t xml:space="preserve">Eecol</t>
  </si>
  <si>
    <t xml:space="preserve">T.D.F.-MSB-7.2</t>
  </si>
  <si>
    <t xml:space="preserve">T.D.F.-MSB-7.R</t>
  </si>
  <si>
    <t xml:space="preserve">T.D.F.-MSB-ADM.2</t>
  </si>
  <si>
    <t xml:space="preserve">T.D.U.7.1-DP-UPS-7.1</t>
  </si>
  <si>
    <t xml:space="preserve">Tablero de Distribución</t>
  </si>
  <si>
    <t xml:space="preserve">Se cambia Proveedor, no son de Propamat, son parte del MSB</t>
  </si>
  <si>
    <t xml:space="preserve">T.D.U.7.1-DP-UPS-7.2</t>
  </si>
  <si>
    <t xml:space="preserve">T.D.U.7.R.1-DP-UPS-7.R</t>
  </si>
  <si>
    <t xml:space="preserve">T.D.U.ADM.2-DP-UPS-ADM.2</t>
  </si>
  <si>
    <t xml:space="preserve">T.D.F.-QBM-7.1</t>
  </si>
  <si>
    <t xml:space="preserve">Se cambia Proveedor, no son de Propamat. De acuerdo a nota en planos</t>
  </si>
  <si>
    <t xml:space="preserve">T.D.F.-QBM-7.2</t>
  </si>
  <si>
    <t xml:space="preserve">T.D.F.-QBM-7.R1</t>
  </si>
  <si>
    <t xml:space="preserve">Tableros Baja Tensión</t>
  </si>
  <si>
    <t xml:space="preserve">T.D.F.-DP-FL-7.1</t>
  </si>
  <si>
    <t xml:space="preserve">T.D.F.-DP-FL-7.2</t>
  </si>
  <si>
    <t xml:space="preserve">T.D.F.-DP-FL-7.R</t>
  </si>
  <si>
    <r>
      <rPr>
        <sz val="11"/>
        <rFont val="Calibri"/>
        <family val="2"/>
        <charset val="1"/>
      </rPr>
      <t xml:space="preserve">T.D.A.F.-FL-LP-</t>
    </r>
    <r>
      <rPr>
        <sz val="11"/>
        <color rgb="FFFF0000"/>
        <rFont val="Calibri"/>
        <family val="2"/>
        <charset val="1"/>
      </rPr>
      <t xml:space="preserve">IT.</t>
    </r>
    <r>
      <rPr>
        <sz val="11"/>
        <rFont val="Calibri"/>
        <family val="2"/>
        <charset val="1"/>
      </rPr>
      <t xml:space="preserve">7.1</t>
    </r>
  </si>
  <si>
    <r>
      <rPr>
        <sz val="11"/>
        <rFont val="Calibri"/>
        <family val="2"/>
        <charset val="1"/>
      </rPr>
      <t xml:space="preserve">T.D.A.F.-FL-LP-</t>
    </r>
    <r>
      <rPr>
        <sz val="11"/>
        <color rgb="FFFF0000"/>
        <rFont val="Calibri"/>
        <family val="2"/>
        <charset val="1"/>
      </rPr>
      <t xml:space="preserve">IT</t>
    </r>
    <r>
      <rPr>
        <sz val="11"/>
        <rFont val="Calibri"/>
        <family val="2"/>
        <charset val="1"/>
      </rPr>
      <t xml:space="preserve">.7.2</t>
    </r>
  </si>
  <si>
    <r>
      <rPr>
        <sz val="11"/>
        <rFont val="Calibri"/>
        <family val="2"/>
        <charset val="1"/>
      </rPr>
      <t xml:space="preserve">T.D.A.F.-FL-LP-</t>
    </r>
    <r>
      <rPr>
        <sz val="11"/>
        <color rgb="FFFF0000"/>
        <rFont val="Calibri"/>
        <family val="2"/>
        <charset val="1"/>
      </rPr>
      <t xml:space="preserve">IT</t>
    </r>
    <r>
      <rPr>
        <sz val="11"/>
        <rFont val="Calibri"/>
        <family val="2"/>
        <charset val="1"/>
      </rPr>
      <t xml:space="preserve">.7.R</t>
    </r>
  </si>
  <si>
    <t xml:space="preserve">T.D.A.F.-FL-ADM2-01</t>
  </si>
  <si>
    <t xml:space="preserve">T.D.A.F.-FL-ADM2-02</t>
  </si>
  <si>
    <t xml:space="preserve">T.D.F.-HVAC-7.1</t>
  </si>
  <si>
    <t xml:space="preserve">T.D.F.-HVAC-7.1.R</t>
  </si>
  <si>
    <t xml:space="preserve">T.D.F.-HVAC-7.2</t>
  </si>
  <si>
    <t xml:space="preserve">T.D.F.-HVAC-7.2.R</t>
  </si>
  <si>
    <t xml:space="preserve">T.D.F.-HVAC-7.R</t>
  </si>
  <si>
    <t xml:space="preserve">T.D.F.-HVAC-ADM2-01</t>
  </si>
  <si>
    <t xml:space="preserve">AGREGAR DIFERENCIAL A CIRCUITOS DE ARRANQUE SERVICIOS AUXILIARES</t>
  </si>
  <si>
    <t xml:space="preserve">T.D.F.-HVAC-ADM2-02</t>
  </si>
  <si>
    <t xml:space="preserve">T.D.F.-SDU-AUT-7.1</t>
  </si>
  <si>
    <t xml:space="preserve">T.D.F.-SDU-AUT-7.2</t>
  </si>
  <si>
    <t xml:space="preserve">T.D.F.-SDU-AUT-7.R</t>
  </si>
  <si>
    <t xml:space="preserve">T.D.F-EMERG-ADM2.01</t>
  </si>
  <si>
    <t xml:space="preserve">T.D.F-EMERG-ADM2.02</t>
  </si>
  <si>
    <t xml:space="preserve">T.D.A.F-BBAS-ADM.2</t>
  </si>
  <si>
    <t xml:space="preserve">Sin información</t>
  </si>
  <si>
    <t xml:space="preserve">NO</t>
  </si>
  <si>
    <t xml:space="preserve">T.D.F-NOC-ADM.2</t>
  </si>
  <si>
    <t xml:space="preserve">T.D.F.-SDU-AUT-ADM2</t>
  </si>
  <si>
    <t xml:space="preserve">T.D.F.-SDU-AUT-ADM2.R</t>
  </si>
  <si>
    <t xml:space="preserve">F5-TDF-FL-T.H. (TRACE HEATING PHASE 5)</t>
  </si>
  <si>
    <t xml:space="preserve">SALA ELECTRICA CWP 03.7.4</t>
  </si>
  <si>
    <t xml:space="preserve">QDCL-QC-AHU-IT-7.1</t>
  </si>
  <si>
    <t xml:space="preserve">EXTERIOR NORTE</t>
  </si>
  <si>
    <t xml:space="preserve">QDCL-QC-AHU-IT-7.2</t>
  </si>
  <si>
    <t xml:space="preserve">TDF-FL-7.R</t>
  </si>
  <si>
    <t xml:space="preserve">T.D.A.F. y Cl.-FL-LP-7.1</t>
  </si>
  <si>
    <t xml:space="preserve">SDI 49 indica que tablero N/A pero en preguntas y respuestas indican lo contrario</t>
  </si>
  <si>
    <t xml:space="preserve">T.D.A.F. y Cl.-FL-LP-7.2</t>
  </si>
  <si>
    <t xml:space="preserve">OTROS</t>
  </si>
  <si>
    <t xml:space="preserve">Ducto de Barra</t>
  </si>
  <si>
    <t xml:space="preserve">Tramo 1</t>
  </si>
  <si>
    <t xml:space="preserve">CIRCULACION 5.1.10</t>
  </si>
  <si>
    <t xml:space="preserve">Alpa</t>
  </si>
  <si>
    <t xml:space="preserve">Tramo 2</t>
  </si>
  <si>
    <t xml:space="preserve">Tramo 3</t>
  </si>
  <si>
    <t xml:space="preserve">CLI</t>
  </si>
  <si>
    <t xml:space="preserve">EQUIPOS HIDRÁULICOS</t>
  </si>
  <si>
    <t xml:space="preserve">Unidades Exteriores </t>
  </si>
  <si>
    <t xml:space="preserve">CH-7.1.1</t>
  </si>
  <si>
    <t xml:space="preserve">Chiller 291 TR (incluye bomba de recirculación primaria)</t>
  </si>
  <si>
    <t xml:space="preserve">JCI</t>
  </si>
  <si>
    <t xml:space="preserve">CH-7.1.2</t>
  </si>
  <si>
    <t xml:space="preserve">CH-7.2.1</t>
  </si>
  <si>
    <t xml:space="preserve">CH-7.2.2</t>
  </si>
  <si>
    <t xml:space="preserve">CH-7.R.1</t>
  </si>
  <si>
    <t xml:space="preserve">CH-7.R.2</t>
  </si>
  <si>
    <t xml:space="preserve">Estanques</t>
  </si>
  <si>
    <t xml:space="preserve">U-COB-7.1.1</t>
  </si>
  <si>
    <t xml:space="preserve">Unidades Exteriores VRF</t>
  </si>
  <si>
    <t xml:space="preserve">Daikin</t>
  </si>
  <si>
    <t xml:space="preserve">SI</t>
  </si>
  <si>
    <t xml:space="preserve">U-COB-7.1.2</t>
  </si>
  <si>
    <t xml:space="preserve">U-COB-7.2.1</t>
  </si>
  <si>
    <t xml:space="preserve">U-COB-7.2.2</t>
  </si>
  <si>
    <t xml:space="preserve">EEV-COB-7.1</t>
  </si>
  <si>
    <t xml:space="preserve">Kit de Expansión Directa Manejadora</t>
  </si>
  <si>
    <t xml:space="preserve">EEV-COB-7.2</t>
  </si>
  <si>
    <t xml:space="preserve">TSA-7.1</t>
  </si>
  <si>
    <t xml:space="preserve">Estanque Separador de Aire</t>
  </si>
  <si>
    <t xml:space="preserve">imera</t>
  </si>
  <si>
    <t xml:space="preserve">TSA-7.2</t>
  </si>
  <si>
    <t xml:space="preserve">TQAG-7.1.1</t>
  </si>
  <si>
    <t xml:space="preserve">Estanque de Acumulación Térmica 2.000 Lts (1,5 kW)</t>
  </si>
  <si>
    <t xml:space="preserve">Fab. Nacional (Socoval)</t>
  </si>
  <si>
    <t xml:space="preserve">No</t>
  </si>
  <si>
    <t xml:space="preserve">EN DESARROLLO DE INGENIERIA</t>
  </si>
  <si>
    <t xml:space="preserve">TQAG-7.1.2</t>
  </si>
  <si>
    <t xml:space="preserve">TQAG-7.2.1</t>
  </si>
  <si>
    <t xml:space="preserve">TQAG-7.2.2</t>
  </si>
  <si>
    <t xml:space="preserve">TQAG-7.R.1</t>
  </si>
  <si>
    <t xml:space="preserve">TQAG-7.R.2</t>
  </si>
  <si>
    <t xml:space="preserve">DeltaCube y Unidades CRAH</t>
  </si>
  <si>
    <t xml:space="preserve">DC-IT-7.1.1</t>
  </si>
  <si>
    <t xml:space="preserve">DeltaCube</t>
  </si>
  <si>
    <t xml:space="preserve">Munters</t>
  </si>
  <si>
    <t xml:space="preserve">DC-IT-7.1.2</t>
  </si>
  <si>
    <t xml:space="preserve">DC-IT-7.1.3</t>
  </si>
  <si>
    <t xml:space="preserve">DC-IT-7.1.4</t>
  </si>
  <si>
    <t xml:space="preserve">DC-IT-7.1.5</t>
  </si>
  <si>
    <t xml:space="preserve">DC-IT-7.1.6</t>
  </si>
  <si>
    <t xml:space="preserve">DC-IT-7.1.7</t>
  </si>
  <si>
    <t xml:space="preserve">DC-IT-7.1.8</t>
  </si>
  <si>
    <t xml:space="preserve">DC-IT-7.1.9</t>
  </si>
  <si>
    <t xml:space="preserve">DC-IT-7.1.10</t>
  </si>
  <si>
    <t xml:space="preserve">DC-IT-7.1.11</t>
  </si>
  <si>
    <t xml:space="preserve">DC-IT-7.1.12</t>
  </si>
  <si>
    <t xml:space="preserve">DC-IT-7.1.13</t>
  </si>
  <si>
    <t xml:space="preserve">DC-IT-7.1.14</t>
  </si>
  <si>
    <t xml:space="preserve">DC-IT-7.1.15</t>
  </si>
  <si>
    <t xml:space="preserve">DC-IT-7.1.16</t>
  </si>
  <si>
    <t xml:space="preserve">DC-IT-7.1.17</t>
  </si>
  <si>
    <t xml:space="preserve">DC-IT-7.1.18</t>
  </si>
  <si>
    <t xml:space="preserve">DC-IT-7.1.19</t>
  </si>
  <si>
    <t xml:space="preserve">CRAH-IDF-5.1</t>
  </si>
  <si>
    <t xml:space="preserve">CRAH</t>
  </si>
  <si>
    <t xml:space="preserve">En Bodegas ODATA</t>
  </si>
  <si>
    <t xml:space="preserve">CRAH-IDF-5.2</t>
  </si>
  <si>
    <t xml:space="preserve">CRAH-IDF-6.1</t>
  </si>
  <si>
    <t xml:space="preserve">CRAH-IDF-6.2</t>
  </si>
  <si>
    <t xml:space="preserve">CRAH-IDF-7.1</t>
  </si>
  <si>
    <t xml:space="preserve">CRAH-IDF-7.2</t>
  </si>
  <si>
    <t xml:space="preserve">CRAH-IDF-8.1</t>
  </si>
  <si>
    <t xml:space="preserve">CRAH-IDF-8.2</t>
  </si>
  <si>
    <t xml:space="preserve">En Bodegas Vendor (por pruebas FAT)</t>
  </si>
  <si>
    <t xml:space="preserve">CRAH-ER-7.1.1</t>
  </si>
  <si>
    <t xml:space="preserve">CRAH-ER-7.1.2</t>
  </si>
  <si>
    <t xml:space="preserve">CRAH-ER-7.2.1</t>
  </si>
  <si>
    <t xml:space="preserve">CRAH-ER-7.2.2</t>
  </si>
  <si>
    <t xml:space="preserve">CRAH-ER-7.R.1</t>
  </si>
  <si>
    <t xml:space="preserve">CRAH-ER-7.R.2</t>
  </si>
  <si>
    <t xml:space="preserve">EQUIPOS CRAC</t>
  </si>
  <si>
    <t xml:space="preserve">CRAC-UE-ERA-7.1</t>
  </si>
  <si>
    <t xml:space="preserve">CRAC Unidad Exterior</t>
  </si>
  <si>
    <t xml:space="preserve">Instaplan Stulz</t>
  </si>
  <si>
    <t xml:space="preserve">VALIDACION FICHAS TECNICAS</t>
  </si>
  <si>
    <t xml:space="preserve">CRAC-UE-ERA-7.2</t>
  </si>
  <si>
    <t xml:space="preserve">CRAC-UE-BMS-7.1</t>
  </si>
  <si>
    <t xml:space="preserve">CRAC-UE-BMS-7.2</t>
  </si>
  <si>
    <t xml:space="preserve">CRAC-FCU-BMS-7.1</t>
  </si>
  <si>
    <t xml:space="preserve">CRAC Unidad Interior Tipo Fancoil</t>
  </si>
  <si>
    <t xml:space="preserve">CRAC-FCU-BMS-7.2</t>
  </si>
  <si>
    <t xml:space="preserve">CRAC-UI-ERA-7.1</t>
  </si>
  <si>
    <t xml:space="preserve">CRAC Unidad Interior Tipo Cabina</t>
  </si>
  <si>
    <t xml:space="preserve">CRAC-UI-ERA-7.2</t>
  </si>
  <si>
    <t xml:space="preserve">UIS-ALM-7.1</t>
  </si>
  <si>
    <t xml:space="preserve">Equipo Split inverter, Unidad Interior Tipo Ducto 36.000 BTU/h</t>
  </si>
  <si>
    <t xml:space="preserve">UIS-ALM-7.2</t>
  </si>
  <si>
    <t xml:space="preserve">UES-ALM-7.2</t>
  </si>
  <si>
    <t xml:space="preserve">Equipo Split inverter, Unidad Exterior 36.000 BTU/h</t>
  </si>
  <si>
    <t xml:space="preserve">UES-ALM-7.1</t>
  </si>
  <si>
    <t xml:space="preserve">Unidad Presurización</t>
  </si>
  <si>
    <t xml:space="preserve">WRT-7.1</t>
  </si>
  <si>
    <t xml:space="preserve">Estanque de Expansión 500Lts</t>
  </si>
  <si>
    <t xml:space="preserve">WRT-7.2</t>
  </si>
  <si>
    <t xml:space="preserve">WRT-7.3</t>
  </si>
  <si>
    <t xml:space="preserve">WRT-7.4</t>
  </si>
  <si>
    <t xml:space="preserve">WRT-7.5</t>
  </si>
  <si>
    <t xml:space="preserve">WRT-7.6</t>
  </si>
  <si>
    <t xml:space="preserve">Planta de Tratamiento Químico</t>
  </si>
  <si>
    <t xml:space="preserve">SWT-7.1 </t>
  </si>
  <si>
    <t xml:space="preserve">Unidad de presurización para llenado de sistema</t>
  </si>
  <si>
    <t xml:space="preserve">PROVEEDOR NACIONAL</t>
  </si>
  <si>
    <t xml:space="preserve">TBD</t>
  </si>
  <si>
    <t xml:space="preserve">SWT-7.2</t>
  </si>
  <si>
    <t xml:space="preserve">PF-CP-7.1</t>
  </si>
  <si>
    <t xml:space="preserve">Estanque de Productos Químicos</t>
  </si>
  <si>
    <t xml:space="preserve">PF-CP-7.X</t>
  </si>
  <si>
    <t xml:space="preserve">Estanque de Productos Químicos (Repuesto)</t>
  </si>
  <si>
    <t xml:space="preserve">SF-CP-7.1</t>
  </si>
  <si>
    <t xml:space="preserve">Estanque de Filtrado en Paralelo</t>
  </si>
  <si>
    <t xml:space="preserve">SF-CP-7.X</t>
  </si>
  <si>
    <t xml:space="preserve">Estanque de Filtrado en Paralelo (Repuesto)</t>
  </si>
  <si>
    <t xml:space="preserve">CO-CP-7.1</t>
  </si>
  <si>
    <t xml:space="preserve">Cupón de Corrosión</t>
  </si>
  <si>
    <t xml:space="preserve">CO-CP-7.X</t>
  </si>
  <si>
    <t xml:space="preserve">Cupón de Corrosión (Repuesto)</t>
  </si>
  <si>
    <t xml:space="preserve">B-CP-7.1</t>
  </si>
  <si>
    <t xml:space="preserve">Bomba de Circulación</t>
  </si>
  <si>
    <t xml:space="preserve">B-CP-7.X</t>
  </si>
  <si>
    <t xml:space="preserve">Bomba de Circulación (Repuesto)</t>
  </si>
  <si>
    <t xml:space="preserve">DI-7.1-1</t>
  </si>
  <si>
    <t xml:space="preserve">Estanques Desionizador</t>
  </si>
  <si>
    <t xml:space="preserve">DI-7.1-2</t>
  </si>
  <si>
    <t xml:space="preserve">DI-7.2-1</t>
  </si>
  <si>
    <t xml:space="preserve">DI-7.2-4</t>
  </si>
  <si>
    <t xml:space="preserve">DI-7.X-1</t>
  </si>
  <si>
    <t xml:space="preserve">Estanques Desionizador (Repuesto)</t>
  </si>
  <si>
    <t xml:space="preserve">DI-7.X-2</t>
  </si>
  <si>
    <t xml:space="preserve">SISTEMA VENTILACIÓN</t>
  </si>
  <si>
    <t xml:space="preserve">Manejadoras de Aire</t>
  </si>
  <si>
    <t xml:space="preserve">Ventiladores Inyección</t>
  </si>
  <si>
    <t xml:space="preserve">VI-TE-ADM-7.1</t>
  </si>
  <si>
    <t xml:space="preserve">Caja de Ventilación Centrífuga 1082 L/s</t>
  </si>
  <si>
    <t xml:space="preserve">uni.</t>
  </si>
  <si>
    <t xml:space="preserve">S&amp;P</t>
  </si>
  <si>
    <t xml:space="preserve">VI-TE-ADM-7.3</t>
  </si>
  <si>
    <t xml:space="preserve">Caja de Ventilación Centrífuga 140 L/s</t>
  </si>
  <si>
    <t xml:space="preserve">VI-TE-ADM-7.2</t>
  </si>
  <si>
    <t xml:space="preserve">Caja de Ventilación Centrífuga 1065 L/s</t>
  </si>
  <si>
    <t xml:space="preserve">Ventiladores Extracción</t>
  </si>
  <si>
    <t xml:space="preserve">VE-TE-7.1</t>
  </si>
  <si>
    <t xml:space="preserve">Ventilador en linea 70 L/s</t>
  </si>
  <si>
    <t xml:space="preserve">VE-TE-ADM-7.1</t>
  </si>
  <si>
    <t xml:space="preserve">Caja de Ventilación Centrífuga 210 L/s</t>
  </si>
  <si>
    <t xml:space="preserve">VE-TE-ADM-7.2</t>
  </si>
  <si>
    <t xml:space="preserve">Caja de Ventilación Centrífuga 1002 L/s</t>
  </si>
  <si>
    <t xml:space="preserve">VE-TE-ADM-7.3</t>
  </si>
  <si>
    <t xml:space="preserve">Caja de Ventilación Centrífuga 473 L/s</t>
  </si>
  <si>
    <t xml:space="preserve">VE-TE-ADM-7.5</t>
  </si>
  <si>
    <t xml:space="preserve">Ventilador en linea 362 L/s</t>
  </si>
  <si>
    <t xml:space="preserve">EQUIPOS VRF</t>
  </si>
  <si>
    <t xml:space="preserve">Unidades Interiores VRF</t>
  </si>
  <si>
    <t xml:space="preserve">UI-TE-7.1.1</t>
  </si>
  <si>
    <t xml:space="preserve">Unidad Interior tipo Muro 5000 BTU/h</t>
  </si>
  <si>
    <t xml:space="preserve">UI-TE-7.1.2</t>
  </si>
  <si>
    <t xml:space="preserve">Unidad Interior tipo ducto media presión 7.000 BTU/h</t>
  </si>
  <si>
    <t xml:space="preserve">UI-TE-7.1.3</t>
  </si>
  <si>
    <t xml:space="preserve">Unidad Interior tipo ducto media presión 24.000 BTU/h</t>
  </si>
  <si>
    <t xml:space="preserve">UI-TE-7.1.4</t>
  </si>
  <si>
    <t xml:space="preserve">Unidad Interior tipo ducto media presión 36.000 BTU/h</t>
  </si>
  <si>
    <t xml:space="preserve">UI-TE-7.1.5</t>
  </si>
  <si>
    <t xml:space="preserve">Unidad Interior tipo ducto media presión 28.000 BTU/h</t>
  </si>
  <si>
    <t xml:space="preserve">UI-TE-7.1.6</t>
  </si>
  <si>
    <t xml:space="preserve">UI-TE-7.1.7</t>
  </si>
  <si>
    <t xml:space="preserve">Unidad Interior tipo ducto media presión 12.000 BTU/h</t>
  </si>
  <si>
    <t xml:space="preserve">UI-TE-7.2.1</t>
  </si>
  <si>
    <t xml:space="preserve">Unidad Interior tipo ducto media presión 42000 BTU/h</t>
  </si>
  <si>
    <t xml:space="preserve">UI-TE-7.2.2</t>
  </si>
  <si>
    <t xml:space="preserve">UI-TE-7.2.3</t>
  </si>
  <si>
    <t xml:space="preserve">UI-TE-7.2.4</t>
  </si>
  <si>
    <t xml:space="preserve">UI-TE-7.2.5</t>
  </si>
  <si>
    <t xml:space="preserve">UI-TE-7.2.6</t>
  </si>
  <si>
    <t xml:space="preserve">UI-TE-7.2.7</t>
  </si>
  <si>
    <t xml:space="preserve">UE-TE-7.1</t>
  </si>
  <si>
    <t xml:space="preserve">Unidades Exteriores VRF 140.000 BTU/h</t>
  </si>
  <si>
    <t xml:space="preserve">UE-TE-7.2</t>
  </si>
  <si>
    <t xml:space="preserve">Unidades Exteriores VRF 180.000 BTU/h</t>
  </si>
  <si>
    <t xml:space="preserve">UE-TE-F7.3.1</t>
  </si>
  <si>
    <t xml:space="preserve">Unidades Exteriores VRF 120.000 BTU/h</t>
  </si>
  <si>
    <t xml:space="preserve">UE-TE-F7.3.2</t>
  </si>
  <si>
    <t xml:space="preserve">Accesorios VRF</t>
  </si>
  <si>
    <t xml:space="preserve">DCC-COB-7.1</t>
  </si>
  <si>
    <t xml:space="preserve">Kit de Comunicación y Control</t>
  </si>
  <si>
    <t xml:space="preserve">DCC-COB-7.2</t>
  </si>
  <si>
    <t xml:space="preserve">Central de Control VRF</t>
  </si>
  <si>
    <t xml:space="preserve">EQUIPOS SPLIT </t>
  </si>
  <si>
    <t xml:space="preserve">AHU-COB-7.1</t>
  </si>
  <si>
    <t xml:space="preserve">Unidad Manejadora de Aire Exterior</t>
  </si>
  <si>
    <t xml:space="preserve">AHU-COB-7.2</t>
  </si>
  <si>
    <t xml:space="preserve">UES-SMT-7.1 </t>
  </si>
  <si>
    <t xml:space="preserve">Equipo Split inverter, Unidad Exterior 18.000 BTU/h</t>
  </si>
  <si>
    <t xml:space="preserve">UIS-SMT-7.1 </t>
  </si>
  <si>
    <t xml:space="preserve">Equipo Split inverter, Unidad Interior Tipo Muro 18.000 BTU/h</t>
  </si>
  <si>
    <t xml:space="preserve">UES-CWP-7.1</t>
  </si>
  <si>
    <t xml:space="preserve">Equipo Split inverter, Unidad Exterior 24.000 BTU/h</t>
  </si>
  <si>
    <t xml:space="preserve">UIS-CWP-7.1</t>
  </si>
  <si>
    <t xml:space="preserve">Equipo Split inverter, Unidad Interior Tipo Ducto (Heavy Duty) 24.000 BTU/h</t>
  </si>
  <si>
    <t xml:space="preserve">UES-CWP-7.2 </t>
  </si>
  <si>
    <t xml:space="preserve">UIS-CWP-7.2 </t>
  </si>
  <si>
    <t xml:space="preserve">UES-ADM-7.1</t>
  </si>
  <si>
    <t xml:space="preserve">Equipo Split inverter, Unidad Exterior 48.000 Btu/h </t>
  </si>
  <si>
    <t xml:space="preserve">UIS-ADM-7.1</t>
  </si>
  <si>
    <t xml:space="preserve">Equipo Split inverter, Unidad Interior Tipo Ducto 48.000 Btu/h </t>
  </si>
  <si>
    <t xml:space="preserve">UES-ADM-7.2</t>
  </si>
  <si>
    <t xml:space="preserve">UIS-ADM-7.2</t>
  </si>
  <si>
    <t xml:space="preserve">UES-ADM-7.3 </t>
  </si>
  <si>
    <t xml:space="preserve">UIS-ADM-7.3 </t>
  </si>
  <si>
    <t xml:space="preserve">UES-ADM-7.4</t>
  </si>
  <si>
    <t xml:space="preserve">UIS-ADM-7.4</t>
  </si>
  <si>
    <t xml:space="preserve">UES-COR-F.1</t>
  </si>
  <si>
    <t xml:space="preserve">Equipo Split inverter, Unidad Exterior</t>
  </si>
  <si>
    <t xml:space="preserve">UIS-COR-F.1</t>
  </si>
  <si>
    <t xml:space="preserve">Equipo Split inverter, Unidad Interior</t>
  </si>
  <si>
    <t xml:space="preserve">AUT</t>
  </si>
  <si>
    <t xml:space="preserve">EQUIPOS AUT</t>
  </si>
  <si>
    <t xml:space="preserve">BMS</t>
  </si>
  <si>
    <t xml:space="preserve">MSB-7.1-CTROL-QTHM-7.1</t>
  </si>
  <si>
    <t xml:space="preserve">Tablero de Control MSB</t>
  </si>
  <si>
    <t xml:space="preserve">MSB-7.2-CTROL-QTHM-7.2</t>
  </si>
  <si>
    <t xml:space="preserve">MSB-7.R-CTROL-QTHM-7.R</t>
  </si>
  <si>
    <t xml:space="preserve">QA-BOC-7.1</t>
  </si>
  <si>
    <t xml:space="preserve">Tablero Control BOC ( Back Out Controller)</t>
  </si>
  <si>
    <t xml:space="preserve">QA-MOC-7.1.1</t>
  </si>
  <si>
    <t xml:space="preserve">Tablero Control MCP (Master Control Panel) </t>
  </si>
  <si>
    <t xml:space="preserve">QA-MOC-7.1.2</t>
  </si>
  <si>
    <t xml:space="preserve">QA-MOC-7.1.3</t>
  </si>
  <si>
    <t xml:space="preserve">QA-CH-7.1.1-2</t>
  </si>
  <si>
    <t xml:space="preserve">Tablero Control</t>
  </si>
  <si>
    <t xml:space="preserve">Schneider Electric - Propamat</t>
  </si>
  <si>
    <t xml:space="preserve">QA-CH-7.2.1-2</t>
  </si>
  <si>
    <t xml:space="preserve">QA-CH-7.R.1-2</t>
  </si>
  <si>
    <t xml:space="preserve">QA-CWC-1</t>
  </si>
  <si>
    <t xml:space="preserve">QA-CWC-1R</t>
  </si>
  <si>
    <t xml:space="preserve">QA-AGREG-2</t>
  </si>
  <si>
    <t xml:space="preserve">QA-BMS-001</t>
  </si>
  <si>
    <t xml:space="preserve">QA-BMS-001-A</t>
  </si>
  <si>
    <t xml:space="preserve">PLC MODICON TM221</t>
  </si>
  <si>
    <t xml:space="preserve">Schneider Electric</t>
  </si>
  <si>
    <t xml:space="preserve">QA-BMS-001-B</t>
  </si>
  <si>
    <t xml:space="preserve">MODULO AMPLIACIÓN BUS RX </t>
  </si>
  <si>
    <t xml:space="preserve">QA-BMS-001-C</t>
  </si>
  <si>
    <t xml:space="preserve">MODULO AMPLIACIÓN BUS TX</t>
  </si>
  <si>
    <t xml:space="preserve">QA-BMS-001-D</t>
  </si>
  <si>
    <t xml:space="preserve">MODULO DE ENTRADA ANALOGICAS TEMPERATURA</t>
  </si>
  <si>
    <t xml:space="preserve">QA-BMS-001-E</t>
  </si>
  <si>
    <t xml:space="preserve">MODULOS ENTRADA ANALOGICA</t>
  </si>
  <si>
    <t xml:space="preserve">QA-COLO-7</t>
  </si>
  <si>
    <t xml:space="preserve">QA-COLO-7-A</t>
  </si>
  <si>
    <t xml:space="preserve">QA-COLO-7-B</t>
  </si>
  <si>
    <t xml:space="preserve">QA-COLO-7-C</t>
  </si>
  <si>
    <t xml:space="preserve">QA-COLO-7-D</t>
  </si>
  <si>
    <t xml:space="preserve">QA-COLO-7-E</t>
  </si>
  <si>
    <t xml:space="preserve">RDC-COLO-7.1</t>
  </si>
  <si>
    <t xml:space="preserve">Rack de Comunicaicones</t>
  </si>
  <si>
    <t xml:space="preserve">No son de alcance de Propamat</t>
  </si>
  <si>
    <t xml:space="preserve">RDC-COLO-7.2</t>
  </si>
  <si>
    <t xml:space="preserve">RDC-GEN7-001</t>
  </si>
  <si>
    <t xml:space="preserve">BMS-TEL</t>
  </si>
  <si>
    <t xml:space="preserve">RDC-CWP</t>
  </si>
  <si>
    <t xml:space="preserve">RDC-BMS-2.1</t>
  </si>
  <si>
    <t xml:space="preserve">RDC-BMS-2.1R</t>
  </si>
  <si>
    <t xml:space="preserve">TEL</t>
  </si>
  <si>
    <t xml:space="preserve">RDC-TEL-2.2</t>
  </si>
  <si>
    <t xml:space="preserve">RDC-TEL-2.2R</t>
  </si>
  <si>
    <t xml:space="preserve">SEG-TEL</t>
  </si>
  <si>
    <t xml:space="preserve">RDC-SEG-2.3</t>
  </si>
  <si>
    <t xml:space="preserve">RDC-SEG-2.3R</t>
  </si>
  <si>
    <t xml:space="preserve">SEG</t>
  </si>
  <si>
    <t xml:space="preserve">TCA-RC2-001</t>
  </si>
  <si>
    <t xml:space="preserve">TCA-RC2-002</t>
  </si>
  <si>
    <t xml:space="preserve">TCA-RS2-001</t>
  </si>
  <si>
    <t xml:space="preserve">TCA-RS2-001-A</t>
  </si>
  <si>
    <t xml:space="preserve">CONTROLADOR MULTIPROPOSITO SP-C-IP</t>
  </si>
  <si>
    <t xml:space="preserve">TCA-RS2-001-B</t>
  </si>
  <si>
    <t xml:space="preserve">MODULO DE EXPASIÓN SP-RMD2</t>
  </si>
  <si>
    <t xml:space="preserve">TCA-RS2-001-C</t>
  </si>
  <si>
    <t xml:space="preserve">MODULO DE EXPASIÓN 8 SALIDAS SP-08</t>
  </si>
  <si>
    <t xml:space="preserve">TCA-RS2-002</t>
  </si>
  <si>
    <t xml:space="preserve">TCA-RS2-002-A</t>
  </si>
  <si>
    <t xml:space="preserve">TCA-RS2-002-B</t>
  </si>
  <si>
    <t xml:space="preserve">TCA-CR7-001</t>
  </si>
  <si>
    <t xml:space="preserve">TCA-CR7-001-A</t>
  </si>
  <si>
    <t xml:space="preserve">TCA-CR7-001-B</t>
  </si>
  <si>
    <t xml:space="preserve">TCA-CR7-002</t>
  </si>
  <si>
    <t xml:space="preserve">TCA-CR7-002-A</t>
  </si>
  <si>
    <t xml:space="preserve">TCA-CR7-002-B</t>
  </si>
  <si>
    <t xml:space="preserve">TCA-CR7-002-C</t>
  </si>
  <si>
    <t xml:space="preserve">TCA-GEN7-001</t>
  </si>
  <si>
    <t xml:space="preserve">TCA-GEN7-001-A</t>
  </si>
  <si>
    <t xml:space="preserve">TCA-GEN7-001-B</t>
  </si>
  <si>
    <t xml:space="preserve">TIN-CR7.1-001</t>
  </si>
  <si>
    <t xml:space="preserve">por programar</t>
  </si>
  <si>
    <t xml:space="preserve">TIN-CR7.1-001-A</t>
  </si>
  <si>
    <t xml:space="preserve">TIN-GEN7-001</t>
  </si>
  <si>
    <t xml:space="preserve"> ZONA DE GENERADORES Y CHILLERS - 12.2.1</t>
  </si>
  <si>
    <t xml:space="preserve">TIN-GEN7-001-A</t>
  </si>
  <si>
    <t xml:space="preserve">DET</t>
  </si>
  <si>
    <t xml:space="preserve">01-FACP-003</t>
  </si>
  <si>
    <t xml:space="preserve">NFS2-3030 (con display, fuente de poder, chasis, puertas, tapas)</t>
  </si>
  <si>
    <t xml:space="preserve">ISTC (Notifier)</t>
  </si>
  <si>
    <t xml:space="preserve">Gabinete Baterias</t>
  </si>
  <si>
    <t xml:space="preserve">Tarjetas SLC  LCM </t>
  </si>
  <si>
    <t xml:space="preserve">Tarjetas SLC LEM </t>
  </si>
  <si>
    <t xml:space="preserve">01-DTD-001</t>
  </si>
  <si>
    <t xml:space="preserve">Detector De Temperatura Direccionable</t>
  </si>
  <si>
    <t xml:space="preserve">02-DA3-001</t>
  </si>
  <si>
    <t xml:space="preserve">Detector De Humo Por Aspiración - Tipo 1</t>
  </si>
  <si>
    <t xml:space="preserve">02-DA1-001</t>
  </si>
  <si>
    <t xml:space="preserve">Detector De Humo Por Aspiración - Tipo 3</t>
  </si>
  <si>
    <t xml:space="preserve">01-DHF-001</t>
  </si>
  <si>
    <t xml:space="preserve">Detector De Humo Fotoeléctrico</t>
  </si>
  <si>
    <t xml:space="preserve">02-DLE-001</t>
  </si>
  <si>
    <t xml:space="preserve">Detector De Humo por Haz de Luz - EMISOR</t>
  </si>
  <si>
    <t xml:space="preserve">IDF 5 - 32.1.5</t>
  </si>
  <si>
    <t xml:space="preserve">02-DLR-001</t>
  </si>
  <si>
    <t xml:space="preserve">Detector De Humo por Haz de Luz - RECEPTOR</t>
  </si>
  <si>
    <t xml:space="preserve">01-F/P1-001</t>
  </si>
  <si>
    <t xml:space="preserve">Fuente De Poder Convencional - Tipo 1</t>
  </si>
  <si>
    <t xml:space="preserve">Fuente De Poder Convencional - Tipo 2</t>
  </si>
  <si>
    <t xml:space="preserve">01-MDA-001</t>
  </si>
  <si>
    <t xml:space="preserve">Módulo De Aislación Direccionable</t>
  </si>
  <si>
    <t xml:space="preserve">CIRCULACION 05.1.12</t>
  </si>
  <si>
    <t xml:space="preserve">02-AOM-001</t>
  </si>
  <si>
    <t xml:space="preserve">Módulo De Control Direccionable</t>
  </si>
  <si>
    <t xml:space="preserve">01-MDD-001</t>
  </si>
  <si>
    <t xml:space="preserve">Módulo De Descarga Direccionable</t>
  </si>
  <si>
    <t xml:space="preserve">01-AIM-001</t>
  </si>
  <si>
    <t xml:space="preserve">Módulo De Monitoreo Direccionable</t>
  </si>
  <si>
    <t xml:space="preserve">01-MDR-001</t>
  </si>
  <si>
    <t xml:space="preserve">Módulo De Relé Direccionable</t>
  </si>
  <si>
    <t xml:space="preserve">01-PMA-001</t>
  </si>
  <si>
    <t xml:space="preserve">Pulsador De Alarma Direccionable</t>
  </si>
  <si>
    <t xml:space="preserve">CIRCULACION 05.0.8</t>
  </si>
  <si>
    <t xml:space="preserve">03/01-SL1-001</t>
  </si>
  <si>
    <t xml:space="preserve">Sirena Con Luz Estroboscópica Interior</t>
  </si>
  <si>
    <t xml:space="preserve">01/02-SL3-001</t>
  </si>
  <si>
    <t xml:space="preserve">Luz Estroboscópica Interior (VESDA)</t>
  </si>
  <si>
    <t xml:space="preserve">02/02-SL4-001</t>
  </si>
  <si>
    <t xml:space="preserve">Sirena Con Luz Estroboscópica Interior (CIELO)</t>
  </si>
  <si>
    <t xml:space="preserve">IDF 7 - 32.1.7</t>
  </si>
  <si>
    <t xml:space="preserve">01/02-SL2-001</t>
  </si>
  <si>
    <t xml:space="preserve">Sirena Con Luz Estroboscópica Exterior</t>
  </si>
  <si>
    <t xml:space="preserve">01-SMA-001</t>
  </si>
  <si>
    <t xml:space="preserve">Switch De Mantención Convencional</t>
  </si>
  <si>
    <t xml:space="preserve">Cable FPLR 2x 14AWG</t>
  </si>
  <si>
    <t xml:space="preserve">Artilec (BDN)</t>
  </si>
  <si>
    <t xml:space="preserve">Cable FPLR 2x 16 AWG</t>
  </si>
  <si>
    <t xml:space="preserve">mts</t>
  </si>
  <si>
    <t xml:space="preserve">Canalización CPVC</t>
  </si>
  <si>
    <t xml:space="preserve">Zigma (FLAMEGUARD)</t>
  </si>
  <si>
    <t xml:space="preserve"> Estado </t>
  </si>
  <si>
    <t xml:space="preserve"> RDI/TTAL </t>
  </si>
  <si>
    <t xml:space="preserve"> Fecha envio RDI/TTAL </t>
  </si>
  <si>
    <t xml:space="preserve"> Fecha respuesta RDI/TTAL </t>
  </si>
  <si>
    <t xml:space="preserve"> </t>
  </si>
  <si>
    <t xml:space="preserve">25-02-2026</t>
  </si>
  <si>
    <t xml:space="preserve">MODULO SALIDA DIGITALES </t>
  </si>
  <si>
    <t xml:space="preserve">SENSOR DE TEMPERATURA</t>
  </si>
  <si>
    <t xml:space="preserve">SENSOR DE TEMPERATURA Y HUMEDAD</t>
  </si>
  <si>
    <t xml:space="preserve">CABLE COMUNICACION RS-485</t>
  </si>
  <si>
    <t xml:space="preserve">CABLE LH UV ROC4Z1-K JZ PLUS 500V 7G1 MM2</t>
  </si>
  <si>
    <t xml:space="preserve">CABLE INSTRUMENTACION 1X2X0.75mm</t>
  </si>
  <si>
    <t xml:space="preserve">CABLE INSTRUMENTACION 2X2X0.75mm</t>
  </si>
  <si>
    <t xml:space="preserve">CCAA</t>
  </si>
  <si>
    <t xml:space="preserve">CA-TC7.1-002</t>
  </si>
  <si>
    <t xml:space="preserve">CONTROLADOR MULTIPROPOSITO</t>
  </si>
  <si>
    <t xml:space="preserve">16-03-2026</t>
  </si>
  <si>
    <t xml:space="preserve">MODULO DE EXPANSIÓN</t>
  </si>
  <si>
    <t xml:space="preserve">CA-TC2.1-001</t>
  </si>
  <si>
    <t xml:space="preserve">LECTOR DE TARJETAS ACCESO</t>
  </si>
  <si>
    <t xml:space="preserve">CA-TC2.1-002</t>
  </si>
  <si>
    <t xml:space="preserve">LETECTOR DE TARJETAS + BIOMETRÍCO</t>
  </si>
  <si>
    <t xml:space="preserve">RETENEDOR 1200LBS</t>
  </si>
  <si>
    <t xml:space="preserve">RETENEDOR 600LBS</t>
  </si>
  <si>
    <t xml:space="preserve">SENSOR MAGNETICO BLINDADO</t>
  </si>
  <si>
    <t xml:space="preserve">BOTON APERTURA EMERGENCIA</t>
  </si>
  <si>
    <t xml:space="preserve">CCTV</t>
  </si>
  <si>
    <t xml:space="preserve">CMP-GEN7-001</t>
  </si>
  <si>
    <t xml:space="preserve">CAMARA 180°</t>
  </si>
  <si>
    <t xml:space="preserve">CMB-GEN7-001</t>
  </si>
  <si>
    <t xml:space="preserve">CAMARA BULLET</t>
  </si>
  <si>
    <t xml:space="preserve">CMD-GEN7-001</t>
  </si>
  <si>
    <t xml:space="preserve">CAMARA DOMO</t>
  </si>
  <si>
    <t xml:space="preserve">ACCESORIO MONTAJE A MURO</t>
  </si>
  <si>
    <t xml:space="preserve">CMB-GEN7-010</t>
  </si>
  <si>
    <t xml:space="preserve">ACCESORIO MONTAJE POSTE</t>
  </si>
  <si>
    <t xml:space="preserve">ADAPTADOR CAMARAS DOMO</t>
  </si>
  <si>
    <t xml:space="preserve">SEGURIDAD</t>
  </si>
  <si>
    <t xml:space="preserve">TELECOM</t>
  </si>
  <si>
    <t xml:space="preserve">FIBRA OPTICA 12 HILOS OS2</t>
  </si>
  <si>
    <t xml:space="preserve">ORGANIZADOR DE FIBRA OPTICA</t>
  </si>
  <si>
    <t xml:space="preserve">BANDEJA DE EMPALME 24 HILOS</t>
  </si>
  <si>
    <t xml:space="preserve">PLACA LGX 06 POSICIONES LC/SC METALICA</t>
  </si>
  <si>
    <t xml:space="preserve">TAPAS CIEGAS LGX - METALICA</t>
  </si>
  <si>
    <t xml:space="preserve">PIGTAIL OS2 12 HILOS LC</t>
  </si>
  <si>
    <t xml:space="preserve">EMPALME DE FUSION DE FIBRA</t>
  </si>
  <si>
    <t xml:space="preserve">SIN DEFINIR</t>
  </si>
  <si>
    <t xml:space="preserve">CABLE UTP CAT6</t>
  </si>
  <si>
    <t xml:space="preserve">ORGANIZADORES DE CABLE 1U</t>
  </si>
  <si>
    <t xml:space="preserve">ORGANIZADORES DE CABLE 2U</t>
  </si>
  <si>
    <t xml:space="preserve">PATCH PANEL 24P DE 1U</t>
  </si>
  <si>
    <t xml:space="preserve">PATCH PANEL 48P DE 2U</t>
  </si>
  <si>
    <t xml:space="preserve">MODULO JACK RJ45 CAT6 GIGALAN</t>
  </si>
  <si>
    <t xml:space="preserve">JUMPER OS2 DUPLEX LC-UPC 2METROS</t>
  </si>
  <si>
    <t xml:space="preserve">PATCH CORD CAT6 LSZH -2 METROS </t>
  </si>
  <si>
    <t xml:space="preserve">FACEPLATES SIMPLE</t>
  </si>
  <si>
    <t xml:space="preserve">FACEPLATES DOBLE</t>
  </si>
  <si>
    <t xml:space="preserve">RIEL DIN Mini-Com</t>
  </si>
  <si>
    <t xml:space="preserve">ODF PARA RIEL DIN FIBRA OPTICA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</si>
</sst>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 * #,##0_ ;_ * \-#,##0_ ;_ * \-_ ;_ @_ "/>
    <numFmt numFmtId="166" formatCode="0.00\ %"/>
    <numFmt numFmtId="167" formatCode="dd/mmm"/>
    <numFmt numFmtId="168" formatCode="_ * #,##0.00_ ;_ * \-#,##0.00_ ;_ * \-_ ;_ @_ "/>
    <numFmt numFmtId="169" formatCode="dd/mm/yyyy"/>
    <numFmt numFmtId="170" formatCode="0"/>
    <numFmt numFmtId="171" formatCode="dd/mm/yy;@"/>
  </numFmts>
  <fonts count="2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  <font>
      <b val="true"/>
      <sz val="14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1F497D"/>
      <name val="Calibri"/>
      <family val="2"/>
      <charset val="1"/>
    </font>
    <font>
      <sz val="11"/>
      <name val="Calibri"/>
      <family val="2"/>
      <charset val="1"/>
    </font>
    <font>
      <sz val="14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97D"/>
        <bgColor rgb="FF2C4D75"/>
      </patternFill>
    </fill>
    <fill>
      <patternFill patternType="solid">
        <fgColor rgb="FFFFFFFF"/>
        <bgColor rgb="FFFDEADA"/>
      </patternFill>
    </fill>
    <fill>
      <patternFill patternType="solid">
        <fgColor rgb="FF808080"/>
        <bgColor rgb="FF4F81BD"/>
      </patternFill>
    </fill>
    <fill>
      <patternFill patternType="solid">
        <fgColor rgb="FFC3D69B"/>
        <bgColor rgb="FFD9D9D9"/>
      </patternFill>
    </fill>
    <fill>
      <patternFill patternType="solid">
        <fgColor rgb="FF92D050"/>
        <bgColor rgb="FF9BBB59"/>
      </patternFill>
    </fill>
    <fill>
      <patternFill patternType="solid">
        <fgColor rgb="FFF2DCDB"/>
        <bgColor rgb="FFFDEADA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79646"/>
      </patternFill>
    </fill>
    <fill>
      <patternFill patternType="solid">
        <fgColor rgb="FFC00000"/>
        <bgColor rgb="FF9C0006"/>
      </patternFill>
    </fill>
    <fill>
      <patternFill patternType="solid">
        <fgColor rgb="FF00B0F0"/>
        <bgColor rgb="FF4BACC6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6" fillId="0" borderId="0" applyFont="true" applyBorder="false" applyAlignment="true" applyProtection="false">
      <alignment horizontal="left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3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3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3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3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3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3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3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3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3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3" xfId="3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3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3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3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15" xfId="3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6" xfId="3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18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8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17" xfId="3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0" xfId="3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3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26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3" xfId="28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28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3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3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2" borderId="12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2" borderId="0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1" fillId="2" borderId="12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7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7" xfId="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7" xfId="2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8" fillId="2" borderId="1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17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8" fillId="2" borderId="1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2" borderId="1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4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4" borderId="1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4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8" fillId="4" borderId="1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4" borderId="1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5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6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7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7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7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8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8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8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8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9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0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1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1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2" borderId="1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2" borderId="20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4" borderId="17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8" fillId="4" borderId="20" xfId="3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6" fillId="7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7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8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1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11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11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11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0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7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7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3" fillId="7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7" borderId="17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24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6" fillId="0" borderId="0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7" borderId="0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7" borderId="0" xfId="3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4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4" borderId="2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4" borderId="2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4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4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2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2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3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3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6" fillId="0" borderId="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3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3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6" fillId="0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[0] 2" xfId="20"/>
    <cellStyle name="Millares [0] 2 2" xfId="21"/>
    <cellStyle name="Millares [0] 3" xfId="22"/>
    <cellStyle name="Normal 10 3 2 2" xfId="23"/>
    <cellStyle name="Normal 2 14" xfId="24"/>
    <cellStyle name="Normal 2 2 2 4" xfId="25"/>
    <cellStyle name="Normal_Hoja1 (2) 2" xfId="26"/>
    <cellStyle name="Normal_Hoja3" xfId="27"/>
    <cellStyle name="Normal_ITEMIZADO_OBRA_COPIAPO_T35" xfId="28"/>
    <cellStyle name="Campo de la tabla dinámica" xfId="29"/>
    <cellStyle name="Esquina de la tabla dinámica" xfId="30"/>
    <cellStyle name="Valor de la tabla dinámica" xfId="31"/>
    <cellStyle name="Categoría de la tabla dinámica" xfId="32"/>
    <cellStyle name="Título de la tabla dinámica" xfId="33"/>
    <cellStyle name="Resultado de la tabla dinámica" xfId="34"/>
    <cellStyle name="Excel Built-in Comma [0]" xfId="35"/>
  </cellStyles>
  <dxfs count="29">
    <dxf>
      <fill>
        <patternFill patternType="solid">
          <fgColor rgb="FF1F497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B0F0"/>
        </patternFill>
      </fill>
    </dxf>
    <dxf>
      <fill>
        <patternFill patternType="solid">
          <fgColor rgb="FF80808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F2DCDB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7030A0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0061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C3D69B"/>
        </patternFill>
      </fill>
    </dxf>
    <dxf>
      <fill>
        <patternFill patternType="solid">
          <fgColor rgb="FFFFC000"/>
        </patternFill>
      </fill>
    </dxf>
    <dxf>
      <fill>
        <patternFill>
          <bgColor rgb="FFFDEA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3D69B"/>
      <rgbColor rgb="FF808080"/>
      <rgbColor rgb="FF9999FF"/>
      <rgbColor rgb="FF7030A0"/>
      <rgbColor rgb="FFFDEA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CCFFFF"/>
      <rgbColor rgb="FFC6EFCE"/>
      <rgbColor rgb="FFF2DCDB"/>
      <rgbColor rgb="FF99CCFF"/>
      <rgbColor rgb="FFFF99CC"/>
      <rgbColor rgb="FFCC99FF"/>
      <rgbColor rgb="FFFFC7CE"/>
      <rgbColor rgb="FF4F81BD"/>
      <rgbColor rgb="FF4BACC6"/>
      <rgbColor rgb="FF92D050"/>
      <rgbColor rgb="FFFFC000"/>
      <rgbColor rgb="FFF79646"/>
      <rgbColor rgb="FFFF6600"/>
      <rgbColor rgb="FF595959"/>
      <rgbColor rgb="FF9BBB59"/>
      <rgbColor rgb="FF2C4D75"/>
      <rgbColor rgb="FF339966"/>
      <rgbColor rgb="FF003300"/>
      <rgbColor rgb="FF333300"/>
      <rgbColor rgb="FF772C2A"/>
      <rgbColor rgb="FFC0504D"/>
      <rgbColor rgb="FF1F497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Cuenta de Asset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'Resumen - TD'!$B$5</c:f>
              <c:strCache>
                <c:ptCount val="1"/>
                <c:pt idx="0">
                  <c:v>Datos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2c4d7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772c2a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'Resumen - TD'!$A$6:$A$13</c:f>
              <c:strCache>
                <c:ptCount val="8"/>
                <c:pt idx="0">
                  <c:v>Estado</c:v>
                </c:pt>
                <c:pt idx="1">
                  <c:v>Comprado</c:v>
                </c:pt>
                <c:pt idx="2">
                  <c:v>Pend. Validación por Odata</c:v>
                </c:pt>
                <c:pt idx="3">
                  <c:v>En revisión Propamat</c:v>
                </c:pt>
                <c:pt idx="4">
                  <c:v>En proceso de compra</c:v>
                </c:pt>
                <c:pt idx="5">
                  <c:v>Cotizando (BEEBE)</c:v>
                </c:pt>
                <c:pt idx="6">
                  <c:v>Revision alcance contrato</c:v>
                </c:pt>
                <c:pt idx="7">
                  <c:v>No es parte del proyecto</c:v>
                </c:pt>
              </c:strCache>
            </c:strRef>
          </c:cat>
          <c:val>
            <c:numRef>
              <c:f>'Resumen - TD'!$B$6:$B$13</c:f>
              <c:numCache>
                <c:formatCode>General</c:formatCode>
                <c:ptCount val="8"/>
                <c:pt idx="1">
                  <c:v>90</c:v>
                </c:pt>
                <c:pt idx="2">
                  <c:v>41</c:v>
                </c:pt>
                <c:pt idx="3">
                  <c:v>31</c:v>
                </c:pt>
                <c:pt idx="4">
                  <c:v>24</c:v>
                </c:pt>
                <c:pt idx="5">
                  <c:v>16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'Resumen - TD'!$C$5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2c4d7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772c2a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'Resumen - TD'!$A$6:$A$13</c:f>
              <c:strCache>
                <c:ptCount val="8"/>
                <c:pt idx="0">
                  <c:v>Estado</c:v>
                </c:pt>
                <c:pt idx="1">
                  <c:v>Comprado</c:v>
                </c:pt>
                <c:pt idx="2">
                  <c:v>Pend. Validación por Odata</c:v>
                </c:pt>
                <c:pt idx="3">
                  <c:v>En revisión Propamat</c:v>
                </c:pt>
                <c:pt idx="4">
                  <c:v>En proceso de compra</c:v>
                </c:pt>
                <c:pt idx="5">
                  <c:v>Cotizando (BEEBE)</c:v>
                </c:pt>
                <c:pt idx="6">
                  <c:v>Revision alcance contrato</c:v>
                </c:pt>
                <c:pt idx="7">
                  <c:v>No es parte del proyecto</c:v>
                </c:pt>
              </c:strCache>
            </c:strRef>
          </c:cat>
          <c:val>
            <c:numRef>
              <c:f>'Resumen - TD'!$C$6:$C$13</c:f>
              <c:numCache>
                <c:formatCode>General</c:formatCode>
                <c:ptCount val="8"/>
                <c:pt idx="1">
                  <c:v>0.439024390243902</c:v>
                </c:pt>
                <c:pt idx="2">
                  <c:v>0.2</c:v>
                </c:pt>
                <c:pt idx="3">
                  <c:v>0.151219512195122</c:v>
                </c:pt>
                <c:pt idx="4">
                  <c:v>0.117073170731707</c:v>
                </c:pt>
                <c:pt idx="5">
                  <c:v>0.0780487804878049</c:v>
                </c:pt>
                <c:pt idx="6">
                  <c:v>0.00975609756097561</c:v>
                </c:pt>
                <c:pt idx="7">
                  <c:v>0.00487804878048781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428760</xdr:colOff>
      <xdr:row>3</xdr:row>
      <xdr:rowOff>3600</xdr:rowOff>
    </xdr:from>
    <xdr:to>
      <xdr:col>15</xdr:col>
      <xdr:colOff>678600</xdr:colOff>
      <xdr:row>25</xdr:row>
      <xdr:rowOff>166320</xdr:rowOff>
    </xdr:to>
    <xdr:graphicFrame>
      <xdr:nvGraphicFramePr>
        <xdr:cNvPr id="0" name="Gráfico 1"/>
        <xdr:cNvGraphicFramePr/>
      </xdr:nvGraphicFramePr>
      <xdr:xfrm>
        <a:off x="5051520" y="546480"/>
        <a:ext cx="10775520" cy="414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30</xdr:col>
      <xdr:colOff>221400</xdr:colOff>
      <xdr:row>293</xdr:row>
      <xdr:rowOff>360</xdr:rowOff>
    </xdr:from>
    <xdr:to>
      <xdr:col>41</xdr:col>
      <xdr:colOff>496080</xdr:colOff>
      <xdr:row>395</xdr:row>
      <xdr:rowOff>122760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40937760" y="46139400"/>
          <a:ext cx="9857880" cy="19620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75" createdVersion="3">
  <cacheSource type="worksheet">
    <worksheetSource ref="B3:V378" sheet="Asset"/>
  </cacheSource>
  <cacheFields count="21">
    <cacheField name="Tipe" numFmtId="0">
      <sharedItems count="3">
        <s v="SUBTITULO"/>
        <s v="TAREA"/>
        <s v="TITULO"/>
      </sharedItems>
    </cacheField>
    <cacheField name="Especialidad" numFmtId="0">
      <sharedItems count="9">
        <s v="AUT"/>
        <s v="BMS"/>
        <s v="BMS-TEL"/>
        <s v="CLI"/>
        <s v="DET"/>
        <s v="ELE"/>
        <s v="SEG"/>
        <s v="SEG-TEL"/>
        <s v="TEL"/>
      </sharedItems>
    </cacheField>
    <cacheField name="TAG. Number" numFmtId="0">
      <sharedItems containsBlank="1" count="333">
        <s v=" PDU-7.1.1"/>
        <s v=" PDU-7.1.1.R"/>
        <s v=" PDU-7.1.2"/>
        <s v=" PDU-7.1.2.R"/>
        <s v=" PDU-7.1.3"/>
        <s v=" PDU-7.1.3.R"/>
        <s v=" PDU-7.1.4"/>
        <s v=" PDU-7.1.4.R"/>
        <s v=" PDU-7.2.1"/>
        <s v=" PDU-7.2.1.R"/>
        <s v=" PDU-7.2.2"/>
        <s v=" PDU-7.2.2.R"/>
        <s v=" PDU-7.2.3"/>
        <s v=" PDU-7.2.3.R"/>
        <s v=" PDU-7.2.4"/>
        <s v=" PDU-7.2.4.R"/>
        <s v=" STS-7.1.1"/>
        <s v=" STS-7.1.2"/>
        <s v=" STS-7.1.3"/>
        <s v=" STS-7.1.4"/>
        <s v=" STS-7.2.1"/>
        <s v=" STS-7.2.2"/>
        <s v=" STS-7.2.3"/>
        <s v=" STS-7.2.4"/>
        <s v="01-AIM-001"/>
        <s v="01-DHF-001"/>
        <s v="01-DTD-001"/>
        <s v="01-F/P1-001"/>
        <s v="01-FACP-003"/>
        <s v="01-MDA-001"/>
        <s v="01-MDD-001"/>
        <s v="01-MDR-001"/>
        <s v="01-PMA-001"/>
        <s v="01-SMA-001"/>
        <s v="01/02-SL2-001"/>
        <s v="01/02-SL3-001"/>
        <s v="02-AOM-001"/>
        <s v="02-DA1-001"/>
        <s v="02-DA3-001"/>
        <s v="02-DLE-001"/>
        <s v="02-DLR-001"/>
        <s v="02/02-SL4-001"/>
        <s v="03/01-SL1-001"/>
        <s v="AHU-COB-7.1"/>
        <s v="AHU-COB-7.2"/>
        <s v="ATS-FL-7.1"/>
        <s v="ATS-FL-7.2"/>
        <s v="ATS-FL-7.R"/>
        <s v="ATS-FL-ADM.2"/>
        <s v="B-CP-7.1"/>
        <s v="B-CP-7.X"/>
        <s v="BBAT-UPS-7.1.1"/>
        <s v="BBAT-UPS-7.1.2"/>
        <s v="BBAT-UPS-7.2,2"/>
        <s v="BBAT-UPS-7.2.1"/>
        <s v="BBAT-UPS-7.R.1"/>
        <s v="BBAT-UPS-7.R.2"/>
        <s v="BBAT-UPS-ADM.2"/>
        <s v="CH-7.1.1"/>
        <s v="CH-7.1.2"/>
        <s v="CH-7.2.1"/>
        <s v="CH-7.2.2"/>
        <s v="CH-7.R.1"/>
        <s v="CH-7.R.2"/>
        <s v="CO-CP-7.1"/>
        <s v="CO-CP-7.X"/>
        <s v="CRAC-FCU-BMS-7.1"/>
        <s v="CRAC-FCU-BMS-7.2"/>
        <s v="CRAC-UE-BMS-7.1"/>
        <s v="CRAC-UE-BMS-7.2"/>
        <s v="CRAC-UE-ERA-7.1"/>
        <s v="CRAC-UE-ERA-7.2"/>
        <s v="CRAC-UI-ERA-7.1"/>
        <s v="CRAC-UI-ERA-7.2"/>
        <s v="CRAH-ER-7.1.1"/>
        <s v="CRAH-ER-7.1.2"/>
        <s v="CRAH-ER-7.2.1"/>
        <s v="CRAH-ER-7.2.2"/>
        <s v="CRAH-ER-7.R.1"/>
        <s v="CRAH-ER-7.R.2"/>
        <s v="CRAH-IDF-5.1"/>
        <s v="CRAH-IDF-5.2"/>
        <s v="CRAH-IDF-6.1"/>
        <s v="CRAH-IDF-6.2"/>
        <s v="CRAH-IDF-7.1"/>
        <s v="CRAH-IDF-7.2"/>
        <s v="CRAH-IDF-8.1"/>
        <s v="CRAH-IDF-8.2"/>
        <s v="DC-IT-7.1.1"/>
        <s v="DC-IT-7.1.10"/>
        <s v="DC-IT-7.1.11"/>
        <s v="DC-IT-7.1.12"/>
        <s v="DC-IT-7.1.13"/>
        <s v="DC-IT-7.1.14"/>
        <s v="DC-IT-7.1.15"/>
        <s v="DC-IT-7.1.16"/>
        <s v="DC-IT-7.1.17"/>
        <s v="DC-IT-7.1.18"/>
        <s v="DC-IT-7.1.19"/>
        <s v="DC-IT-7.1.2"/>
        <s v="DC-IT-7.1.3"/>
        <s v="DC-IT-7.1.4"/>
        <s v="DC-IT-7.1.5"/>
        <s v="DC-IT-7.1.6"/>
        <s v="DC-IT-7.1.7"/>
        <s v="DC-IT-7.1.8"/>
        <s v="DC-IT-7.1.9"/>
        <s v="DCC-COB-7.1"/>
        <s v="DCC-COB-7.2"/>
        <s v="DI-7.1-1"/>
        <s v="DI-7.1-2"/>
        <s v="DI-7.2-1"/>
        <s v="DI-7.2-4"/>
        <s v="DI-7.X-1"/>
        <s v="DI-7.X-2"/>
        <s v="EEV-COB-7.1"/>
        <s v="EEV-COB-7.2"/>
        <s v="F5-TDF-FL-T.H. (TRACE HEATING PHASE 5)"/>
        <s v="GEN-7.1"/>
        <s v="GEN-7.2"/>
        <s v="GEN-7.R"/>
        <s v="GEN-ADM2"/>
        <s v="MSB-7.1-CTROL-QTHM-7.1"/>
        <s v="MSB-7.2-CTROL-QTHM-7.2"/>
        <s v="MSB-7.R-CTROL-QTHM-7.R"/>
        <s v="PF-CP-7.1"/>
        <s v="PF-CP-7.X"/>
        <s v="QA-AGREG-2"/>
        <s v="QA-BMS-001"/>
        <s v="QA-BMS-001-A"/>
        <s v="QA-BMS-001-B"/>
        <s v="QA-BMS-001-C"/>
        <s v="QA-BMS-001-D"/>
        <s v="QA-BMS-001-E"/>
        <s v="QA-BOC-7.1"/>
        <s v="QA-CH-7.1.1-2"/>
        <s v="QA-CH-7.2.1-2"/>
        <s v="QA-CH-7.R.1-2"/>
        <s v="QA-COLO-7"/>
        <s v="QA-COLO-7-A"/>
        <s v="QA-COLO-7-B"/>
        <s v="QA-COLO-7-C"/>
        <s v="QA-COLO-7-D"/>
        <s v="QA-COLO-7-E"/>
        <s v="QA-CWC-1"/>
        <s v="QA-CWC-1R"/>
        <s v="QA-MOC-7.1.1"/>
        <s v="QA-MOC-7.1.2"/>
        <s v="QA-MOC-7.1.3"/>
        <s v="QDCL-QC-AHU-IT-7.1"/>
        <s v="QDCL-QC-AHU-IT-7.2"/>
        <s v="RDC-BMS-2.1"/>
        <s v="RDC-BMS-2.1R"/>
        <s v="RDC-COLO-7.1"/>
        <s v="RDC-COLO-7.2"/>
        <s v="RDC-CWP"/>
        <s v="RDC-GEN7-001"/>
        <s v="RDC-SEG-2.3"/>
        <s v="RDC-SEG-2.3R"/>
        <s v="RDC-TEL-2.2"/>
        <s v="RDC-TEL-2.2R"/>
        <s v="RMU-7.1"/>
        <s v="RMU-7.2"/>
        <s v="RMU-7.R"/>
        <s v="RPP-7.1.3.2"/>
        <s v="RPP-7.1.3.2.R"/>
        <s v="RPP-7.1.4.2"/>
        <s v="RPP-7.1.4.2.R"/>
        <s v="RPP-7.2.1.2"/>
        <s v="RPP-7.2.1.2.R"/>
        <s v="RPP-7.2.1.3"/>
        <s v="RPP-7.2.1.3.R"/>
        <s v="RPP-7.2.2.1"/>
        <s v="RPP-7.2.2.1.R"/>
        <s v="RPP-7.2.2.2"/>
        <s v="RPP-7.2.2.2.R"/>
        <s v="RPP-7.2.2.3"/>
        <s v="RPP-7.2.2.3.R"/>
        <s v="RPP-7.2.3.1"/>
        <s v="RPP-7.2.3.1.R"/>
        <s v="RPP-7.2.3.2"/>
        <s v="RPP-7.2.3.2.R"/>
        <s v="RPP-7.2.4.1"/>
        <s v="RPP-7.2.4.1.R"/>
        <s v="RPP-7.2.4.2"/>
        <s v="RPP-7.2.4.2.R"/>
        <s v="SF-CP-7.1"/>
        <s v="SF-CP-7.X"/>
        <s v="SWT-7.1 "/>
        <s v="SWT-7.2"/>
        <s v="T.D.A.F-BBAS-ADM.2"/>
        <s v="T.D.A.F. y Cl.-FL-LP-7.1"/>
        <s v="T.D.A.F. y Cl.-FL-LP-7.2"/>
        <s v="T.D.A.F.-FL-ADM2-01"/>
        <s v="T.D.A.F.-FL-ADM2-02"/>
        <s v="T.D.A.F.-FL-LP-IT.7.1"/>
        <s v="T.D.A.F.-FL-LP-IT.7.2"/>
        <s v="T.D.A.F.-FL-LP-IT.7.R"/>
        <s v="T.D.F-EMERG-ADM2.01"/>
        <s v="T.D.F-EMERG-ADM2.02"/>
        <s v="T.D.F-NOC-ADM.2"/>
        <s v="T.D.F.-DP-FL-7.1"/>
        <s v="T.D.F.-DP-FL-7.2"/>
        <s v="T.D.F.-DP-FL-7.R"/>
        <s v="T.D.F.-HVAC-7.1"/>
        <s v="T.D.F.-HVAC-7.1.R"/>
        <s v="T.D.F.-HVAC-7.2"/>
        <s v="T.D.F.-HVAC-7.2.R"/>
        <s v="T.D.F.-HVAC-7.R"/>
        <s v="T.D.F.-HVAC-ADM2-01"/>
        <s v="T.D.F.-HVAC-ADM2-02"/>
        <s v="T.D.F.-MSB-7.1"/>
        <s v="T.D.F.-MSB-7.2"/>
        <s v="T.D.F.-MSB-7.R"/>
        <s v="T.D.F.-MSB-ADM.2"/>
        <s v="T.D.F.-QBM-7.1"/>
        <s v="T.D.F.-QBM-7.2"/>
        <s v="T.D.F.-QBM-7.R1"/>
        <s v="T.D.F.-SDU-AUT-7.1"/>
        <s v="T.D.F.-SDU-AUT-7.2"/>
        <s v="T.D.F.-SDU-AUT-7.R"/>
        <s v="T.D.F.-SDU-AUT-ADM2"/>
        <s v="T.D.F.-SDU-AUT-ADM2.R"/>
        <s v="T.D.U.7.1-DP-UPS-7.1"/>
        <s v="T.D.U.7.1-DP-UPS-7.2"/>
        <s v="T.D.U.7.R.1-DP-UPS-7.R"/>
        <s v="T.D.U.ADM.2-DP-UPS-ADM.2"/>
        <s v="TCA-CR7-001"/>
        <s v="TCA-CR7-001-A"/>
        <s v="TCA-CR7-001-B"/>
        <s v="TCA-CR7-002"/>
        <s v="TCA-CR7-002-A"/>
        <s v="TCA-CR7-002-B"/>
        <s v="TCA-CR7-002-C"/>
        <s v="TCA-GEN7-001"/>
        <s v="TCA-GEN7-001-A"/>
        <s v="TCA-GEN7-001-B"/>
        <s v="TCA-RC2-001"/>
        <s v="TCA-RC2-002"/>
        <s v="TCA-RS2-001"/>
        <s v="TCA-RS2-001-A"/>
        <s v="TCA-RS2-001-B"/>
        <s v="TCA-RS2-001-C"/>
        <s v="TCA-RS2-002"/>
        <s v="TCA-RS2-002-A"/>
        <s v="TCA-RS2-002-B"/>
        <s v="TDF-FL-7.R"/>
        <s v="TIN-CR7.1-001"/>
        <s v="TIN-CR7.1-001-A"/>
        <s v="TIN-GEN7-001"/>
        <s v="TIN-GEN7-001-A"/>
        <s v="TQAG-7.1.1"/>
        <s v="TQAG-7.1.2"/>
        <s v="TQAG-7.2.1"/>
        <s v="TQAG-7.2.2"/>
        <s v="TQAG-7.R.1"/>
        <s v="TQAG-7.R.2"/>
        <s v="TSA-7.1"/>
        <s v="TSA-7.2"/>
        <s v="U-COB-7.1.1"/>
        <s v="U-COB-7.1.2"/>
        <s v="U-COB-7.2.1"/>
        <s v="U-COB-7.2.2"/>
        <s v="UE-TE-7.1"/>
        <s v="UE-TE-7.2"/>
        <s v="UE-TE-F7.3.1"/>
        <s v="UE-TE-F7.3.2"/>
        <s v="UES-ADM-7.1"/>
        <s v="UES-ADM-7.2"/>
        <s v="UES-ADM-7.3 "/>
        <s v="UES-ADM-7.4"/>
        <s v="UES-ALM-7.1"/>
        <s v="UES-ALM-7.2"/>
        <s v="UES-COR-F.1"/>
        <s v="UES-CWP-7.1"/>
        <s v="UES-CWP-7.2 "/>
        <s v="UES-SMT-7.1 "/>
        <s v="UI-TE-7.1.1"/>
        <s v="UI-TE-7.1.2"/>
        <s v="UI-TE-7.1.3"/>
        <s v="UI-TE-7.1.4"/>
        <s v="UI-TE-7.1.5"/>
        <s v="UI-TE-7.1.6"/>
        <s v="UI-TE-7.1.7"/>
        <s v="UI-TE-7.2.1"/>
        <s v="UI-TE-7.2.2"/>
        <s v="UI-TE-7.2.3"/>
        <s v="UI-TE-7.2.4"/>
        <s v="UI-TE-7.2.5"/>
        <s v="UI-TE-7.2.6"/>
        <s v="UI-TE-7.2.7"/>
        <s v="UIS-ADM-7.1"/>
        <s v="UIS-ADM-7.2"/>
        <s v="UIS-ADM-7.3 "/>
        <s v="UIS-ADM-7.4"/>
        <s v="UIS-ALM-7.1"/>
        <s v="UIS-ALM-7.2"/>
        <s v="UIS-COR-F.1"/>
        <s v="UIS-CWP-7.1"/>
        <s v="UIS-CWP-7.2 "/>
        <s v="UIS-SMT-7.1 "/>
        <s v="UPS-7.1.1"/>
        <s v="UPS-7.1.2"/>
        <s v="UPS-7.2.1"/>
        <s v="UPS-7.2.2"/>
        <s v="UPS-7.R.1"/>
        <s v="UPS-7.R.2"/>
        <s v="UPS-ADM.2"/>
        <s v="VE-TE-7.1"/>
        <s v="VE-TE-ADM-7.1"/>
        <s v="VE-TE-ADM-7.2"/>
        <s v="VE-TE-ADM-7.3"/>
        <s v="VE-TE-ADM-7.5"/>
        <s v="VI-TE-ADM-7.1"/>
        <s v="VI-TE-ADM-7.2"/>
        <s v="VI-TE-ADM-7.3"/>
        <s v="WRT-7.1"/>
        <s v="WRT-7.2"/>
        <s v="WRT-7.3"/>
        <s v="WRT-7.4"/>
        <s v="WRT-7.5"/>
        <s v="WRT-7.6"/>
        <s v="XFMR-7.1"/>
        <s v="XFMR-7.2"/>
        <s v="XFMR-7.R"/>
        <s v="XFMR-ADM.2"/>
        <s v="XFMR-ATS-ADM2"/>
        <s v="XFMR-DP-FL-7.1"/>
        <s v="XFMR-DP-FL-7.2"/>
        <s v="XFMR-DP-FL-7.R"/>
        <s v="XFMR-SDU-AUT.7.1"/>
        <s v="XFMR-SDU-AUT.7.2"/>
        <m/>
      </sharedItems>
    </cacheField>
    <cacheField name="Asset" numFmtId="0">
      <sharedItems count="134">
        <s v="Accesorios VRF"/>
        <s v="Banco de Baterias"/>
        <s v="Bomba de Circulación"/>
        <s v="Bomba de Circulación (Repuesto)"/>
        <s v="Cable FPLR 2x 14AWG"/>
        <s v="Cable FPLR 2x 16 AWG"/>
        <s v="Caja de Ventilación Centrífuga 1002 L/s"/>
        <s v="Caja de Ventilación Centrífuga 1065 L/s"/>
        <s v="Caja de Ventilación Centrífuga 1082 L/s"/>
        <s v="Caja de Ventilación Centrífuga 140 L/s"/>
        <s v="Caja de Ventilación Centrífuga 210 L/s"/>
        <s v="Caja de Ventilación Centrífuga 473 L/s"/>
        <s v="Canalización CPVC"/>
        <s v="Central de Control VRF"/>
        <s v="Chiller 291 TR (incluye bomba de recirculación primaria)"/>
        <s v="Conmutador De Transferencia Automatica"/>
        <s v="Conmutador de Transferencia Estática"/>
        <s v="CONTROLADOR MULTIPROPOSITO SP-C-IP"/>
        <s v="CRAC Unidad Exterior"/>
        <s v="CRAC Unidad Interior Tipo Cabina"/>
        <s v="CRAC Unidad Interior Tipo Fancoil"/>
        <s v="CRAH"/>
        <s v="Cupón de Corrosión"/>
        <s v="Cupón de Corrosión (Repuesto)"/>
        <s v="DeltaCube"/>
        <s v="DeltaCube y Unidades CRAH"/>
        <s v="Detector De Humo Fotoeléctrico"/>
        <s v="Detector De Humo Por Aspiración - Tipo 1"/>
        <s v="Detector De Humo Por Aspiración - Tipo 3"/>
        <s v="Detector De Humo por Haz de Luz - EMISOR"/>
        <s v="Detector De Humo por Haz de Luz - RECEPTOR"/>
        <s v="Detector De Temperatura Direccionable"/>
        <s v="Ducto de Barra"/>
        <s v="Equipo Split inverter, Unidad Exterior"/>
        <s v="Equipo Split inverter, Unidad Exterior 18.000 BTU/h"/>
        <s v="Equipo Split inverter, Unidad Exterior 24.000 BTU/h"/>
        <s v="Equipo Split inverter, Unidad Exterior 36.000 BTU/h"/>
        <s v="Equipo Split inverter, Unidad Exterior 48.000 Btu/h "/>
        <s v="Equipo Split inverter, Unidad Interior"/>
        <s v="Equipo Split inverter, Unidad Interior Tipo Ducto (Heavy Duty) 24.000 BTU/h"/>
        <s v="Equipo Split inverter, Unidad Interior Tipo Ducto 36.000 BTU/h"/>
        <s v="Equipo Split inverter, Unidad Interior Tipo Ducto 48.000 Btu/h "/>
        <s v="Equipo Split inverter, Unidad Interior Tipo Muro 18.000 BTU/h"/>
        <s v="EQUIPOS AUT"/>
        <s v="EQUIPOS CRAC"/>
        <s v="EQUIPOS ELÉCTRICOS"/>
        <s v="EQUIPOS HIDRÁULICOS"/>
        <s v="EQUIPOS SPLIT "/>
        <s v="EQUIPOS VRF"/>
        <s v="Estanque de Acumulación Térmica 2.000 Lts (1,5 kW)"/>
        <s v="Estanque de Expansión 500Lts"/>
        <s v="Estanque de Filtrado en Paralelo"/>
        <s v="Estanque de Filtrado en Paralelo (Repuesto)"/>
        <s v="Estanque de Productos Químicos"/>
        <s v="Estanque de Productos Químicos (Repuesto)"/>
        <s v="Estanque Separador de Aire"/>
        <s v="Estanques"/>
        <s v="Estanques Desionizador"/>
        <s v="Estanques Desionizador (Repuesto)"/>
        <s v="Fuente De Poder Convencional - Tipo 1"/>
        <s v="Fuente De Poder Convencional - Tipo 2"/>
        <s v="Gabinete Baterias"/>
        <s v="Generadores"/>
        <s v="Grupo Generador"/>
        <s v="Kit de Comunicación y Control"/>
        <s v="Kit de Expansión Directa Manejadora"/>
        <s v="Luz Estroboscópica Interior (VESDA)"/>
        <s v="Manejadoras de Aire"/>
        <s v="MODULO AMPLIACIÓN BUS RX "/>
        <s v="MODULO AMPLIACIÓN BUS TX"/>
        <s v="Módulo De Aislación Direccionable"/>
        <s v="Módulo De Control Direccionable"/>
        <s v="Módulo De Descarga Direccionable"/>
        <s v="MODULO DE ENTRADA ANALOGICAS TEMPERATURA"/>
        <s v="MODULO DE EXPASIÓN 8 SALIDAS SP-08"/>
        <s v="MODULO DE EXPASIÓN SP-RMD2"/>
        <s v="Módulo De Monitoreo Direccionable"/>
        <s v="Módulo De Relé Direccionable"/>
        <s v="MODULOS ENTRADA ANALOGICA"/>
        <s v="NFS2-3030 (con display, fuente de poder, chasis, puertas, tapas)"/>
        <s v="OTROS"/>
        <s v="Planta de Tratamiento Químico"/>
        <s v="PLC MODICON TM221"/>
        <s v="Pulsador De Alarma Direccionable"/>
        <s v="Rack de Comunicaicones"/>
        <s v="Sirena Con Luz Estroboscópica Exterior"/>
        <s v="Sirena Con Luz Estroboscópica Interior"/>
        <s v="Sirena Con Luz Estroboscópica Interior (CIELO)"/>
        <s v="Sistema de Alimentación Ininterrumpida"/>
        <s v="Sistema UPS"/>
        <s v="SISTEMA VENTILACIÓN"/>
        <s v="Switch De Mantención Convencional"/>
        <s v="Tablero Control"/>
        <s v="Tablero Control BOC ( Back Out Controller)"/>
        <s v="Tablero Control MCP (Master Control Panel) "/>
        <s v="Tablero de Control MSB"/>
        <s v="Tablero de Distribución"/>
        <s v="Tablero de Distribución Principal"/>
        <s v="Tableros Baja Tensión"/>
        <s v="TABLEROS ELÉCTRICOS"/>
        <s v="Tableros Principales"/>
        <s v="Tableros RPP (Remote Power Panel)"/>
        <s v="Tarjetas SLC  LCM "/>
        <s v="Tarjetas SLC LEM "/>
        <s v="Tramo 1"/>
        <s v="Tramo 2"/>
        <s v="Tramo 3"/>
        <s v="Transformador (100KVA/415V)"/>
        <s v="Transformador (25KVA/415V)"/>
        <s v="Transformador (75KVA/415V)"/>
        <s v="Transformadores"/>
        <s v="Transformadores 23kV/415V"/>
        <s v="Unidad de Distribución Energética"/>
        <s v="Unidad de presurización para llenado de sistema"/>
        <s v="Unidad Interior tipo ducto media presión 12.000 BTU/h"/>
        <s v="Unidad Interior tipo ducto media presión 24.000 BTU/h"/>
        <s v="Unidad Interior tipo ducto media presión 28.000 BTU/h"/>
        <s v="Unidad Interior tipo ducto media presión 36.000 BTU/h"/>
        <s v="Unidad Interior tipo ducto media presión 42000 BTU/h"/>
        <s v="Unidad Interior tipo ducto media presión 7.000 BTU/h"/>
        <s v="Unidad Interior tipo Muro 5000 BTU/h"/>
        <s v="Unidad Manejadora de Aire Exterior"/>
        <s v="Unidad Presurización"/>
        <s v="Unidad Principal de Anillo"/>
        <s v="Unidades Exteriores "/>
        <s v="Unidades Exteriores VRF"/>
        <s v="Unidades Exteriores VRF 120.000 BTU/h"/>
        <s v="Unidades Exteriores VRF 140.000 BTU/h"/>
        <s v="Unidades Exteriores VRF 180.000 BTU/h"/>
        <s v="Unidades Interiores VRF"/>
        <s v="Ventilador en linea 362 L/s"/>
        <s v="Ventilador en linea 70 L/s"/>
        <s v="Ventiladores Extracción"/>
        <s v="Ventiladores Inyección"/>
      </sharedItems>
    </cacheField>
    <cacheField name="Space&#10;(Room Number)" numFmtId="0">
      <sharedItems containsBlank="1" count="57">
        <s v=" ZONA DE GENERADORES Y CHILLERS - 12.2.1"/>
        <s v="ACCESO - 22.0.1"/>
        <s v="ACCESO BAÑOS - 08.1.1"/>
        <s v="ACERAS SUR - 39.0.0"/>
        <s v="ACERAS, ACCESO Y BICICLETEROS - 38.0.0"/>
        <s v="ALMACENAMIENTO DE ALTO VALOR - 04.1.2"/>
        <s v="ALMACENAMIENTO DE ALTO VALOR - 04.1.4"/>
        <s v="ÁREA DE DESCANSO - 18.0.1"/>
        <s v="ÁREA DE DESCANSO - 18.0.2"/>
        <s v="BAÑO DE HOMBRES - 08.0.4"/>
        <s v="BAÑO DE HOMBRES - 08.0.9"/>
        <s v="CIRCULACIÓN (hasta el eje CL) - 05.1.13"/>
        <s v="CIRCULACION 05.0.8"/>
        <s v="CIRCULACION 05.1.12"/>
        <s v="CIRCULACION 5.1.10"/>
        <s v="CORREDOR TÉCNICO - 02.1.1"/>
        <s v="CORREDOR TÉCNICO - 02.1.2"/>
        <s v="CORREDOR TÉCNICO - 02.1.3"/>
        <s v="CORREDOR TÉCNICO - 02.1.4"/>
        <s v="CORREDOR TÉCNICO - 02.1.5"/>
        <s v="CORREDOR TÉCNICO - 02.1.6"/>
        <s v="CORREDOR TÉCNICO - 02.1.7"/>
        <s v="CORREDOR TÉCNICO - 02.1.8"/>
        <s v="CORREDOR TÉCNICO - 02.7.1"/>
        <s v="CORREDOR TÉCNICO - 02.7.2"/>
        <s v="ESTANQUE APO - 33.2.1"/>
        <s v="EXTERIOR NORTE"/>
        <s v="IDF 5 - 32.1.5"/>
        <s v="IDF 7 - 32.1.7"/>
        <s v="MGMT - 19.0.1"/>
        <s v="MGMT - 19.0.3"/>
        <s v="MUELLE DE CARGA Y DESCARGA - 14.0.1"/>
        <s v="NOC - 20.0.1"/>
        <s v="OFICINA RECEPCIÓN - 16.0.2"/>
        <s v="OFICINAS CLIENTES  - 16.0.3"/>
        <s v="OFICINAS DE ODATA - 16.0.1"/>
        <s v="PASILLO ENTRE FASE 4/5 - 40.0.0"/>
        <s v="RACK - 30.0.1"/>
        <s v="RACK BMS - 24.0.1"/>
        <s v="SALA DATOS COLO 7 - 01.7.0"/>
        <s v="SALA DE REUNIONES - 17.0.1"/>
        <s v="SALA DE REUNIONES - 17.0.2"/>
        <s v="SALA DE REUNIONES - 17.0.3"/>
        <s v="SALA DE TRATAMIENTO QUÍMICO - 35.1.1"/>
        <s v="SALA ELÉCTRICA - 03.0.1"/>
        <s v="SALA ELÉCTRICA - CWP - 03.7.4"/>
        <s v="SALA ELÉCTRICA 7.1 - 03.7.1"/>
        <s v="SALA ELÉCTRICA 7.2 - 03.7.2"/>
        <s v="SALA ELÉCTRICA 7.R - 03.7.3"/>
        <s v="SALA ELECTRICA CWP 03.7.4"/>
        <s v="SALA MULTIUSO - 34.0.1"/>
        <s v="SALA PMT - 06.2.4"/>
        <s v="SALA SEGURIDAD - 31.0.1"/>
        <s v="SHAFT - 25.0.1"/>
        <s v="ZONA DE EQUIPOS DE CLIMA - 13.0.1"/>
        <s v="ZONA DE GENERADORES Y CHILLERS - 12.2.1"/>
        <m/>
      </sharedItems>
    </cacheField>
    <cacheField name="Unit" numFmtId="0">
      <sharedItems containsBlank="1" containsMixedTypes="1" containsNumber="1" containsInteger="1" minValue="4" maxValue="4" count="5">
        <n v="4"/>
        <s v="mts"/>
        <s v="uni"/>
        <s v="uni."/>
        <m/>
      </sharedItems>
    </cacheField>
    <cacheField name="Quantity" numFmtId="0">
      <sharedItems containsString="0" containsBlank="1" containsNumber="1" containsInteger="1" minValue="1" maxValue="7015" count="22">
        <n v="1"/>
        <n v="2"/>
        <n v="5"/>
        <n v="6"/>
        <n v="7"/>
        <n v="8"/>
        <n v="10"/>
        <n v="14"/>
        <n v="16"/>
        <n v="24"/>
        <n v="29"/>
        <n v="31"/>
        <n v="32"/>
        <n v="42"/>
        <n v="44"/>
        <n v="65"/>
        <n v="210"/>
        <n v="232"/>
        <n v="1000"/>
        <n v="2135"/>
        <n v="7015"/>
        <m/>
      </sharedItems>
    </cacheField>
    <cacheField name="Phase" numFmtId="0">
      <sharedItems containsString="0" containsBlank="1" containsNumber="1" containsInteger="1" minValue="5" maxValue="5" count="2">
        <n v="5"/>
        <m/>
      </sharedItems>
    </cacheField>
    <cacheField name="Zones" numFmtId="0">
      <sharedItems containsBlank="1" count="16">
        <s v="Acceso"/>
        <s v="Administracion"/>
        <s v="Bodega"/>
        <s v="Circulación"/>
        <s v="Colo 7"/>
        <s v="Estacionamiento EXP05"/>
        <s v="Exterior Sur"/>
        <s v="IDF"/>
        <s v="Muelle Carga"/>
        <s v="Oficina Cliente 1"/>
        <s v="Oficina Odata"/>
        <s v="Patio Equipos EXP05"/>
        <s v="Plataforma Equipos"/>
        <s v="Recinto Técnico"/>
        <s v="Servicios"/>
        <m/>
      </sharedItems>
    </cacheField>
    <cacheField name="Proveedor" numFmtId="0">
      <sharedItems containsBlank="1" count="3">
        <s v="General Contractor"/>
        <s v="Odata"/>
        <m/>
      </sharedItems>
    </cacheField>
    <cacheField name="Vendor" numFmtId="0">
      <sharedItems containsBlank="1" count="24">
        <s v="A definir"/>
        <s v="Alpa"/>
        <s v="Artilec (BDN)"/>
        <s v="Daikin"/>
        <s v="Eecol"/>
        <s v="Fab. Nacional (Socoval)"/>
        <s v="Finning"/>
        <s v="Hitachi"/>
        <s v="Icofel"/>
        <s v="imera"/>
        <s v="Instaplan Stulz"/>
        <s v="ISTC (Notifier)"/>
        <s v="JCI"/>
        <s v="Munters"/>
        <s v="PROVEEDOR NACIONAL"/>
        <s v="Reggio"/>
        <s v="S&amp;P"/>
        <s v="Schneider"/>
        <s v="Schneider Electric"/>
        <s v="Schneider Electric - Propamat"/>
        <s v="Sin información"/>
        <s v="Vertiv"/>
        <s v="Zigma (FLAMEGUARD)"/>
        <m/>
      </sharedItems>
    </cacheField>
    <cacheField name="Estado" numFmtId="0">
      <sharedItems containsBlank="1" count="15">
        <s v="Comprado"/>
        <s v="Cotizando (BEEBE)"/>
        <s v="En Bodegas ODATA"/>
        <s v="En Bodegas Vendor (por pruebas FAT)"/>
        <s v="En Compra"/>
        <s v="En proceso de compra"/>
        <s v="En revisión Propamat"/>
        <s v="En sitio"/>
        <s v="No es parte del proyecto"/>
        <s v="No son de alcance de Propamat"/>
        <s v="Pend. Validación por Odata"/>
        <s v="Revision alcance contrato"/>
        <s v="Se cambia Proveedor, no son de Propamat, son parte del MSB"/>
        <s v="Se cambia Proveedor, no son de Propamat. De acuerdo a nota en planos"/>
        <m/>
      </sharedItems>
    </cacheField>
    <cacheField name="Con OC" numFmtId="0">
      <sharedItems containsBlank="1" count="3">
        <s v="No"/>
        <s v="SI"/>
        <m/>
      </sharedItems>
    </cacheField>
    <cacheField name="Fecha Compra" numFmtId="0">
      <sharedItems containsNonDate="0" containsDate="1" containsString="0" containsBlank="1" minDate="2025-08-10T00:00:00" maxDate="2026-07-30T00:00:00" count="17">
        <d v="2025-08-10T00:00:00"/>
        <d v="2025-09-05T00:00:00"/>
        <d v="2025-09-15T00:00:00"/>
        <d v="2025-10-07T00:00:00"/>
        <d v="2025-10-15T00:00:00"/>
        <d v="2025-11-26T00:00:00"/>
        <d v="2025-12-22T00:00:00"/>
        <d v="2026-02-16T00:00:00"/>
        <d v="2026-02-20T00:00:00"/>
        <d v="2026-03-09T00:00:00"/>
        <d v="2026-03-30T00:00:00"/>
        <d v="2026-04-01T00:00:00"/>
        <d v="2026-04-02T00:00:00"/>
        <d v="2026-04-06T00:00:00"/>
        <d v="2026-04-08T00:00:00"/>
        <d v="2026-07-30T00:00:00"/>
        <m/>
      </sharedItems>
    </cacheField>
    <cacheField name="RDI/TTAL" numFmtId="0">
      <sharedItems containsString="0" containsBlank="1" containsNumber="1" containsInteger="1" minValue="34" maxValue="42" count="7">
        <n v="34"/>
        <n v="35"/>
        <n v="36"/>
        <n v="38"/>
        <n v="41"/>
        <n v="42"/>
        <m/>
      </sharedItems>
    </cacheField>
    <cacheField name="Fecha de llegada a obra" numFmtId="0">
      <sharedItems containsDate="1" containsBlank="1" containsMixedTypes="1" minDate="2026-04-08T00:00:00" maxDate="2026-08-14T00:00:00" count="23">
        <d v="2026-04-08T00:00:00"/>
        <d v="2026-04-15T00:00:00"/>
        <d v="2026-04-20T00:00:00"/>
        <d v="2026-04-21T00:00:00"/>
        <d v="2026-04-27T00:00:00"/>
        <d v="2026-05-11T00:00:00"/>
        <d v="2026-05-14T00:00:00"/>
        <d v="2026-05-15T00:00:00"/>
        <d v="2026-05-18T00:00:00"/>
        <d v="2026-05-20T00:00:00"/>
        <d v="2026-05-25T00:00:00"/>
        <d v="2026-05-26T00:00:00"/>
        <d v="2026-05-27T00:00:00"/>
        <d v="2026-06-01T00:00:00"/>
        <d v="2026-06-05T00:00:00"/>
        <d v="2026-06-15T00:00:00"/>
        <d v="2026-06-19T00:00:00"/>
        <d v="2026-06-29T00:00:00"/>
        <d v="2026-07-20T00:00:00"/>
        <d v="2026-07-27T00:00:00"/>
        <d v="2026-08-14T00:00:00"/>
        <s v="TBD"/>
        <m/>
      </sharedItems>
    </cacheField>
    <cacheField name="Fecha Planificacion" numFmtId="0">
      <sharedItems containsDate="1" containsBlank="1" containsMixedTypes="1" minDate="2026-05-04T00:00:00" maxDate="2026-07-27T00:00:00" count="37">
        <d v="2026-05-04T00:00:00"/>
        <d v="2026-05-06T00:00:00"/>
        <d v="2026-05-13T00:00:00"/>
        <d v="2026-05-15T00:00:00"/>
        <d v="2026-05-18T00:00:00"/>
        <d v="2026-05-20T00:00:00"/>
        <d v="2026-05-25T00:00:00"/>
        <d v="2026-05-27T00:00:00"/>
        <d v="2026-05-29T00:00:00"/>
        <d v="2026-06-01T00:00:00"/>
        <d v="2026-06-03T00:00:00"/>
        <d v="2026-06-04T00:00:00"/>
        <d v="2026-06-05T00:00:00"/>
        <d v="2026-06-09T00:00:00"/>
        <d v="2026-06-10T00:00:00"/>
        <d v="2026-06-12T00:00:00"/>
        <d v="2026-06-16T00:00:00"/>
        <d v="2026-06-17T00:00:00"/>
        <d v="2026-06-20T00:00:00"/>
        <d v="2026-06-22T00:00:00"/>
        <d v="2026-06-23T00:00:00"/>
        <d v="2026-06-24T00:00:00"/>
        <d v="2026-06-26T00:00:00"/>
        <d v="2026-06-30T00:00:00"/>
        <d v="2026-07-02T00:00:00"/>
        <d v="2026-07-06T00:00:00"/>
        <d v="2026-07-07T00:00:00"/>
        <d v="2026-07-08T00:00:00"/>
        <d v="2026-07-09T00:00:00"/>
        <d v="2026-07-10T00:00:00"/>
        <d v="2026-07-14T00:00:00"/>
        <d v="2026-07-17T00:00:00"/>
        <d v="2026-07-20T00:00:00"/>
        <d v="2026-07-21T00:00:00"/>
        <d v="2026-07-27T00:00:00"/>
        <s v="por programar"/>
        <m/>
      </sharedItems>
    </cacheField>
    <cacheField name="Cumple" numFmtId="0">
      <sharedItems containsBlank="1" count="3">
        <s v="NO"/>
        <s v="SI"/>
        <m/>
      </sharedItems>
    </cacheField>
    <cacheField name="DIAS" numFmtId="0">
      <sharedItems containsBlank="1" containsMixedTypes="1" containsNumber="1" containsInteger="1" minValue="-28" maxValue="46197" count="47">
        <n v="-28"/>
        <n v="-27"/>
        <n v="-24"/>
        <n v="-20"/>
        <n v="-18"/>
        <n v="-17"/>
        <n v="-10"/>
        <n v="-3"/>
        <n v="0"/>
        <n v="1"/>
        <n v="2"/>
        <n v="3"/>
        <n v="4"/>
        <n v="5"/>
        <n v="6"/>
        <n v="7"/>
        <n v="9"/>
        <n v="10"/>
        <n v="11"/>
        <n v="15"/>
        <n v="16"/>
        <n v="17"/>
        <n v="18"/>
        <n v="19"/>
        <n v="22"/>
        <n v="23"/>
        <n v="24"/>
        <n v="28"/>
        <n v="30"/>
        <n v="32"/>
        <n v="35"/>
        <n v="36"/>
        <n v="37"/>
        <n v="40"/>
        <n v="47"/>
        <n v="51"/>
        <n v="54"/>
        <n v="74"/>
        <n v="77"/>
        <n v="78"/>
        <n v="80"/>
        <n v="85"/>
        <n v="91"/>
        <n v="98"/>
        <n v="46197"/>
        <e v="#¡VALOR!"/>
        <m/>
      </sharedItems>
    </cacheField>
    <cacheField name="Avance de Montaje" numFmtId="0">
      <sharedItems containsString="0" containsBlank="1" count="1">
        <m/>
      </sharedItems>
    </cacheField>
    <cacheField name="Avance de Conexión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5">
  <r>
    <x v="0"/>
    <x v="5"/>
    <x v="332"/>
    <x v="45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2"/>
    <x v="5"/>
    <x v="332"/>
    <x v="123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5"/>
    <x v="161"/>
    <x v="123"/>
    <x v="46"/>
    <x v="2"/>
    <x v="0"/>
    <x v="0"/>
    <x v="4"/>
    <x v="1"/>
    <x v="17"/>
    <x v="7"/>
    <x v="2"/>
    <x v="5"/>
    <x v="6"/>
    <x v="22"/>
    <x v="36"/>
    <x v="0"/>
    <x v="46"/>
    <x v="0"/>
    <x v="0"/>
  </r>
  <r>
    <x v="1"/>
    <x v="5"/>
    <x v="162"/>
    <x v="123"/>
    <x v="47"/>
    <x v="2"/>
    <x v="0"/>
    <x v="0"/>
    <x v="4"/>
    <x v="1"/>
    <x v="17"/>
    <x v="7"/>
    <x v="2"/>
    <x v="5"/>
    <x v="6"/>
    <x v="22"/>
    <x v="36"/>
    <x v="0"/>
    <x v="46"/>
    <x v="0"/>
    <x v="0"/>
  </r>
  <r>
    <x v="1"/>
    <x v="5"/>
    <x v="163"/>
    <x v="123"/>
    <x v="48"/>
    <x v="2"/>
    <x v="0"/>
    <x v="0"/>
    <x v="4"/>
    <x v="1"/>
    <x v="17"/>
    <x v="7"/>
    <x v="2"/>
    <x v="5"/>
    <x v="6"/>
    <x v="22"/>
    <x v="36"/>
    <x v="0"/>
    <x v="46"/>
    <x v="0"/>
    <x v="0"/>
  </r>
  <r>
    <x v="2"/>
    <x v="5"/>
    <x v="332"/>
    <x v="111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5"/>
    <x v="322"/>
    <x v="111"/>
    <x v="55"/>
    <x v="2"/>
    <x v="0"/>
    <x v="0"/>
    <x v="11"/>
    <x v="1"/>
    <x v="7"/>
    <x v="14"/>
    <x v="2"/>
    <x v="8"/>
    <x v="6"/>
    <x v="22"/>
    <x v="36"/>
    <x v="0"/>
    <x v="46"/>
    <x v="0"/>
    <x v="0"/>
  </r>
  <r>
    <x v="1"/>
    <x v="5"/>
    <x v="323"/>
    <x v="111"/>
    <x v="55"/>
    <x v="2"/>
    <x v="0"/>
    <x v="0"/>
    <x v="11"/>
    <x v="1"/>
    <x v="7"/>
    <x v="14"/>
    <x v="2"/>
    <x v="8"/>
    <x v="6"/>
    <x v="22"/>
    <x v="36"/>
    <x v="0"/>
    <x v="46"/>
    <x v="0"/>
    <x v="0"/>
  </r>
  <r>
    <x v="1"/>
    <x v="5"/>
    <x v="324"/>
    <x v="111"/>
    <x v="55"/>
    <x v="2"/>
    <x v="0"/>
    <x v="0"/>
    <x v="11"/>
    <x v="1"/>
    <x v="7"/>
    <x v="14"/>
    <x v="2"/>
    <x v="8"/>
    <x v="6"/>
    <x v="22"/>
    <x v="36"/>
    <x v="0"/>
    <x v="46"/>
    <x v="0"/>
    <x v="0"/>
  </r>
  <r>
    <x v="1"/>
    <x v="5"/>
    <x v="325"/>
    <x v="111"/>
    <x v="55"/>
    <x v="2"/>
    <x v="0"/>
    <x v="0"/>
    <x v="11"/>
    <x v="1"/>
    <x v="7"/>
    <x v="14"/>
    <x v="2"/>
    <x v="8"/>
    <x v="6"/>
    <x v="22"/>
    <x v="36"/>
    <x v="0"/>
    <x v="46"/>
    <x v="0"/>
    <x v="0"/>
  </r>
  <r>
    <x v="2"/>
    <x v="5"/>
    <x v="332"/>
    <x v="15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5"/>
    <x v="45"/>
    <x v="15"/>
    <x v="46"/>
    <x v="2"/>
    <x v="0"/>
    <x v="0"/>
    <x v="4"/>
    <x v="0"/>
    <x v="8"/>
    <x v="0"/>
    <x v="1"/>
    <x v="7"/>
    <x v="6"/>
    <x v="4"/>
    <x v="3"/>
    <x v="1"/>
    <x v="22"/>
    <x v="0"/>
    <x v="0"/>
  </r>
  <r>
    <x v="1"/>
    <x v="5"/>
    <x v="46"/>
    <x v="15"/>
    <x v="47"/>
    <x v="2"/>
    <x v="0"/>
    <x v="0"/>
    <x v="4"/>
    <x v="0"/>
    <x v="8"/>
    <x v="0"/>
    <x v="1"/>
    <x v="7"/>
    <x v="6"/>
    <x v="4"/>
    <x v="6"/>
    <x v="1"/>
    <x v="27"/>
    <x v="0"/>
    <x v="0"/>
  </r>
  <r>
    <x v="1"/>
    <x v="5"/>
    <x v="47"/>
    <x v="15"/>
    <x v="48"/>
    <x v="2"/>
    <x v="0"/>
    <x v="0"/>
    <x v="4"/>
    <x v="0"/>
    <x v="8"/>
    <x v="0"/>
    <x v="1"/>
    <x v="7"/>
    <x v="6"/>
    <x v="4"/>
    <x v="9"/>
    <x v="1"/>
    <x v="30"/>
    <x v="0"/>
    <x v="0"/>
  </r>
  <r>
    <x v="1"/>
    <x v="5"/>
    <x v="48"/>
    <x v="15"/>
    <x v="44"/>
    <x v="2"/>
    <x v="0"/>
    <x v="0"/>
    <x v="1"/>
    <x v="0"/>
    <x v="8"/>
    <x v="0"/>
    <x v="1"/>
    <x v="7"/>
    <x v="6"/>
    <x v="4"/>
    <x v="6"/>
    <x v="1"/>
    <x v="27"/>
    <x v="0"/>
    <x v="0"/>
  </r>
  <r>
    <x v="2"/>
    <x v="5"/>
    <x v="332"/>
    <x v="62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5"/>
    <x v="118"/>
    <x v="63"/>
    <x v="55"/>
    <x v="2"/>
    <x v="0"/>
    <x v="0"/>
    <x v="11"/>
    <x v="1"/>
    <x v="6"/>
    <x v="14"/>
    <x v="2"/>
    <x v="9"/>
    <x v="6"/>
    <x v="22"/>
    <x v="36"/>
    <x v="0"/>
    <x v="46"/>
    <x v="0"/>
    <x v="0"/>
  </r>
  <r>
    <x v="1"/>
    <x v="5"/>
    <x v="119"/>
    <x v="63"/>
    <x v="55"/>
    <x v="2"/>
    <x v="0"/>
    <x v="0"/>
    <x v="11"/>
    <x v="1"/>
    <x v="6"/>
    <x v="14"/>
    <x v="2"/>
    <x v="9"/>
    <x v="6"/>
    <x v="22"/>
    <x v="36"/>
    <x v="0"/>
    <x v="46"/>
    <x v="0"/>
    <x v="0"/>
  </r>
  <r>
    <x v="1"/>
    <x v="5"/>
    <x v="120"/>
    <x v="63"/>
    <x v="55"/>
    <x v="2"/>
    <x v="0"/>
    <x v="0"/>
    <x v="11"/>
    <x v="1"/>
    <x v="6"/>
    <x v="14"/>
    <x v="2"/>
    <x v="9"/>
    <x v="6"/>
    <x v="22"/>
    <x v="36"/>
    <x v="0"/>
    <x v="46"/>
    <x v="0"/>
    <x v="0"/>
  </r>
  <r>
    <x v="1"/>
    <x v="5"/>
    <x v="121"/>
    <x v="63"/>
    <x v="55"/>
    <x v="2"/>
    <x v="0"/>
    <x v="0"/>
    <x v="11"/>
    <x v="1"/>
    <x v="6"/>
    <x v="14"/>
    <x v="2"/>
    <x v="9"/>
    <x v="6"/>
    <x v="22"/>
    <x v="36"/>
    <x v="0"/>
    <x v="46"/>
    <x v="0"/>
    <x v="0"/>
  </r>
  <r>
    <x v="2"/>
    <x v="5"/>
    <x v="332"/>
    <x v="88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5"/>
    <x v="301"/>
    <x v="89"/>
    <x v="46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302"/>
    <x v="89"/>
    <x v="46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303"/>
    <x v="89"/>
    <x v="47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304"/>
    <x v="89"/>
    <x v="47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305"/>
    <x v="89"/>
    <x v="48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306"/>
    <x v="89"/>
    <x v="48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307"/>
    <x v="89"/>
    <x v="44"/>
    <x v="2"/>
    <x v="0"/>
    <x v="0"/>
    <x v="13"/>
    <x v="1"/>
    <x v="21"/>
    <x v="7"/>
    <x v="2"/>
    <x v="3"/>
    <x v="6"/>
    <x v="22"/>
    <x v="36"/>
    <x v="0"/>
    <x v="46"/>
    <x v="0"/>
    <x v="0"/>
  </r>
  <r>
    <x v="1"/>
    <x v="5"/>
    <x v="51"/>
    <x v="1"/>
    <x v="46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52"/>
    <x v="1"/>
    <x v="46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54"/>
    <x v="1"/>
    <x v="47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53"/>
    <x v="1"/>
    <x v="47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55"/>
    <x v="1"/>
    <x v="48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56"/>
    <x v="1"/>
    <x v="48"/>
    <x v="2"/>
    <x v="0"/>
    <x v="0"/>
    <x v="4"/>
    <x v="1"/>
    <x v="21"/>
    <x v="7"/>
    <x v="2"/>
    <x v="3"/>
    <x v="6"/>
    <x v="22"/>
    <x v="36"/>
    <x v="0"/>
    <x v="46"/>
    <x v="0"/>
    <x v="0"/>
  </r>
  <r>
    <x v="1"/>
    <x v="5"/>
    <x v="57"/>
    <x v="1"/>
    <x v="44"/>
    <x v="2"/>
    <x v="0"/>
    <x v="0"/>
    <x v="13"/>
    <x v="1"/>
    <x v="21"/>
    <x v="7"/>
    <x v="2"/>
    <x v="3"/>
    <x v="6"/>
    <x v="22"/>
    <x v="36"/>
    <x v="0"/>
    <x v="46"/>
    <x v="0"/>
    <x v="0"/>
  </r>
  <r>
    <x v="2"/>
    <x v="5"/>
    <x v="332"/>
    <x v="16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5"/>
    <x v="16"/>
    <x v="16"/>
    <x v="24"/>
    <x v="2"/>
    <x v="0"/>
    <x v="0"/>
    <x v="4"/>
    <x v="1"/>
    <x v="21"/>
    <x v="7"/>
    <x v="2"/>
    <x v="2"/>
    <x v="6"/>
    <x v="22"/>
    <x v="36"/>
    <x v="0"/>
    <x v="46"/>
    <x v="0"/>
    <x v="0"/>
  </r>
  <r>
    <x v="1"/>
    <x v="5"/>
    <x v="17"/>
    <x v="16"/>
    <x v="24"/>
    <x v="2"/>
    <x v="0"/>
    <x v="0"/>
    <x v="4"/>
    <x v="1"/>
    <x v="21"/>
    <x v="7"/>
    <x v="2"/>
    <x v="2"/>
    <x v="6"/>
    <x v="22"/>
    <x v="36"/>
    <x v="0"/>
    <x v="46"/>
    <x v="0"/>
    <x v="0"/>
  </r>
  <r>
    <x v="1"/>
    <x v="5"/>
    <x v="18"/>
    <x v="16"/>
    <x v="24"/>
    <x v="2"/>
    <x v="0"/>
    <x v="0"/>
    <x v="4"/>
    <x v="1"/>
    <x v="21"/>
    <x v="7"/>
    <x v="2"/>
    <x v="2"/>
    <x v="6"/>
    <x v="22"/>
    <x v="36"/>
    <x v="0"/>
    <x v="46"/>
    <x v="0"/>
    <x v="0"/>
  </r>
  <r>
    <x v="1"/>
    <x v="5"/>
    <x v="19"/>
    <x v="16"/>
    <x v="24"/>
    <x v="2"/>
    <x v="0"/>
    <x v="0"/>
    <x v="4"/>
    <x v="1"/>
    <x v="21"/>
    <x v="7"/>
    <x v="2"/>
    <x v="2"/>
    <x v="6"/>
    <x v="22"/>
    <x v="36"/>
    <x v="0"/>
    <x v="46"/>
    <x v="0"/>
    <x v="0"/>
  </r>
  <r>
    <x v="1"/>
    <x v="5"/>
    <x v="20"/>
    <x v="16"/>
    <x v="24"/>
    <x v="2"/>
    <x v="0"/>
    <x v="0"/>
    <x v="4"/>
    <x v="1"/>
    <x v="21"/>
    <x v="7"/>
    <x v="2"/>
    <x v="2"/>
    <x v="6"/>
    <x v="22"/>
    <x v="36"/>
    <x v="0"/>
    <x v="46"/>
    <x v="0"/>
    <x v="0"/>
  </r>
  <r>
    <x v="1"/>
    <x v="5"/>
    <x v="21"/>
    <x v="16"/>
    <x v="24"/>
    <x v="2"/>
    <x v="0"/>
    <x v="0"/>
    <x v="4"/>
    <x v="1"/>
    <x v="21"/>
    <x v="7"/>
    <x v="2"/>
    <x v="2"/>
    <x v="6"/>
    <x v="22"/>
    <x v="36"/>
    <x v="0"/>
    <x v="46"/>
    <x v="0"/>
    <x v="0"/>
  </r>
  <r>
    <x v="1"/>
    <x v="5"/>
    <x v="22"/>
    <x v="16"/>
    <x v="24"/>
    <x v="2"/>
    <x v="0"/>
    <x v="0"/>
    <x v="4"/>
    <x v="1"/>
    <x v="21"/>
    <x v="7"/>
    <x v="2"/>
    <x v="2"/>
    <x v="6"/>
    <x v="22"/>
    <x v="36"/>
    <x v="0"/>
    <x v="46"/>
    <x v="0"/>
    <x v="0"/>
  </r>
  <r>
    <x v="1"/>
    <x v="5"/>
    <x v="23"/>
    <x v="16"/>
    <x v="24"/>
    <x v="2"/>
    <x v="0"/>
    <x v="0"/>
    <x v="4"/>
    <x v="1"/>
    <x v="21"/>
    <x v="7"/>
    <x v="2"/>
    <x v="2"/>
    <x v="6"/>
    <x v="22"/>
    <x v="36"/>
    <x v="0"/>
    <x v="46"/>
    <x v="0"/>
    <x v="0"/>
  </r>
  <r>
    <x v="2"/>
    <x v="5"/>
    <x v="332"/>
    <x v="112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5"/>
    <x v="0"/>
    <x v="112"/>
    <x v="46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2"/>
    <x v="112"/>
    <x v="46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4"/>
    <x v="112"/>
    <x v="46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6"/>
    <x v="112"/>
    <x v="46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8"/>
    <x v="112"/>
    <x v="47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10"/>
    <x v="112"/>
    <x v="47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12"/>
    <x v="112"/>
    <x v="47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14"/>
    <x v="112"/>
    <x v="47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1"/>
    <x v="112"/>
    <x v="24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3"/>
    <x v="112"/>
    <x v="24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5"/>
    <x v="112"/>
    <x v="24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7"/>
    <x v="112"/>
    <x v="24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9"/>
    <x v="112"/>
    <x v="24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11"/>
    <x v="112"/>
    <x v="24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13"/>
    <x v="112"/>
    <x v="24"/>
    <x v="2"/>
    <x v="0"/>
    <x v="0"/>
    <x v="4"/>
    <x v="1"/>
    <x v="21"/>
    <x v="7"/>
    <x v="2"/>
    <x v="6"/>
    <x v="6"/>
    <x v="22"/>
    <x v="36"/>
    <x v="0"/>
    <x v="46"/>
    <x v="0"/>
    <x v="0"/>
  </r>
  <r>
    <x v="1"/>
    <x v="5"/>
    <x v="15"/>
    <x v="112"/>
    <x v="24"/>
    <x v="2"/>
    <x v="0"/>
    <x v="0"/>
    <x v="4"/>
    <x v="1"/>
    <x v="21"/>
    <x v="7"/>
    <x v="2"/>
    <x v="6"/>
    <x v="6"/>
    <x v="22"/>
    <x v="36"/>
    <x v="0"/>
    <x v="46"/>
    <x v="0"/>
    <x v="0"/>
  </r>
  <r>
    <x v="2"/>
    <x v="5"/>
    <x v="332"/>
    <x v="101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5"/>
    <x v="168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70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76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72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74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78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82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69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71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77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73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75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79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83"/>
    <x v="101"/>
    <x v="39"/>
    <x v="2"/>
    <x v="0"/>
    <x v="0"/>
    <x v="4"/>
    <x v="1"/>
    <x v="0"/>
    <x v="4"/>
    <x v="2"/>
    <x v="15"/>
    <x v="6"/>
    <x v="22"/>
    <x v="36"/>
    <x v="0"/>
    <x v="46"/>
    <x v="0"/>
    <x v="0"/>
  </r>
  <r>
    <x v="1"/>
    <x v="5"/>
    <x v="166"/>
    <x v="101"/>
    <x v="15"/>
    <x v="2"/>
    <x v="0"/>
    <x v="0"/>
    <x v="7"/>
    <x v="1"/>
    <x v="0"/>
    <x v="4"/>
    <x v="2"/>
    <x v="15"/>
    <x v="6"/>
    <x v="22"/>
    <x v="36"/>
    <x v="0"/>
    <x v="46"/>
    <x v="0"/>
    <x v="0"/>
  </r>
  <r>
    <x v="1"/>
    <x v="5"/>
    <x v="167"/>
    <x v="101"/>
    <x v="17"/>
    <x v="2"/>
    <x v="0"/>
    <x v="0"/>
    <x v="7"/>
    <x v="1"/>
    <x v="0"/>
    <x v="4"/>
    <x v="2"/>
    <x v="15"/>
    <x v="6"/>
    <x v="22"/>
    <x v="36"/>
    <x v="0"/>
    <x v="46"/>
    <x v="0"/>
    <x v="0"/>
  </r>
  <r>
    <x v="1"/>
    <x v="5"/>
    <x v="164"/>
    <x v="101"/>
    <x v="16"/>
    <x v="2"/>
    <x v="0"/>
    <x v="0"/>
    <x v="7"/>
    <x v="1"/>
    <x v="0"/>
    <x v="4"/>
    <x v="2"/>
    <x v="15"/>
    <x v="6"/>
    <x v="22"/>
    <x v="36"/>
    <x v="0"/>
    <x v="46"/>
    <x v="0"/>
    <x v="0"/>
  </r>
  <r>
    <x v="1"/>
    <x v="5"/>
    <x v="165"/>
    <x v="101"/>
    <x v="18"/>
    <x v="2"/>
    <x v="0"/>
    <x v="0"/>
    <x v="7"/>
    <x v="1"/>
    <x v="0"/>
    <x v="4"/>
    <x v="2"/>
    <x v="15"/>
    <x v="6"/>
    <x v="22"/>
    <x v="36"/>
    <x v="0"/>
    <x v="46"/>
    <x v="0"/>
    <x v="0"/>
  </r>
  <r>
    <x v="1"/>
    <x v="5"/>
    <x v="184"/>
    <x v="101"/>
    <x v="19"/>
    <x v="2"/>
    <x v="0"/>
    <x v="0"/>
    <x v="7"/>
    <x v="1"/>
    <x v="0"/>
    <x v="4"/>
    <x v="2"/>
    <x v="15"/>
    <x v="6"/>
    <x v="22"/>
    <x v="36"/>
    <x v="0"/>
    <x v="46"/>
    <x v="0"/>
    <x v="0"/>
  </r>
  <r>
    <x v="1"/>
    <x v="5"/>
    <x v="185"/>
    <x v="101"/>
    <x v="21"/>
    <x v="2"/>
    <x v="0"/>
    <x v="0"/>
    <x v="7"/>
    <x v="1"/>
    <x v="0"/>
    <x v="4"/>
    <x v="2"/>
    <x v="15"/>
    <x v="6"/>
    <x v="22"/>
    <x v="36"/>
    <x v="0"/>
    <x v="46"/>
    <x v="0"/>
    <x v="0"/>
  </r>
  <r>
    <x v="1"/>
    <x v="5"/>
    <x v="180"/>
    <x v="101"/>
    <x v="20"/>
    <x v="2"/>
    <x v="0"/>
    <x v="0"/>
    <x v="7"/>
    <x v="1"/>
    <x v="0"/>
    <x v="4"/>
    <x v="2"/>
    <x v="15"/>
    <x v="6"/>
    <x v="22"/>
    <x v="36"/>
    <x v="0"/>
    <x v="46"/>
    <x v="0"/>
    <x v="0"/>
  </r>
  <r>
    <x v="1"/>
    <x v="5"/>
    <x v="181"/>
    <x v="101"/>
    <x v="22"/>
    <x v="2"/>
    <x v="0"/>
    <x v="0"/>
    <x v="7"/>
    <x v="1"/>
    <x v="0"/>
    <x v="4"/>
    <x v="2"/>
    <x v="15"/>
    <x v="6"/>
    <x v="22"/>
    <x v="36"/>
    <x v="0"/>
    <x v="46"/>
    <x v="0"/>
    <x v="0"/>
  </r>
  <r>
    <x v="2"/>
    <x v="5"/>
    <x v="332"/>
    <x v="110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5"/>
    <x v="330"/>
    <x v="107"/>
    <x v="46"/>
    <x v="2"/>
    <x v="0"/>
    <x v="0"/>
    <x v="4"/>
    <x v="0"/>
    <x v="15"/>
    <x v="0"/>
    <x v="1"/>
    <x v="8"/>
    <x v="6"/>
    <x v="1"/>
    <x v="3"/>
    <x v="1"/>
    <x v="28"/>
    <x v="0"/>
    <x v="0"/>
  </r>
  <r>
    <x v="1"/>
    <x v="5"/>
    <x v="331"/>
    <x v="107"/>
    <x v="47"/>
    <x v="2"/>
    <x v="0"/>
    <x v="0"/>
    <x v="4"/>
    <x v="0"/>
    <x v="15"/>
    <x v="0"/>
    <x v="1"/>
    <x v="8"/>
    <x v="6"/>
    <x v="1"/>
    <x v="6"/>
    <x v="1"/>
    <x v="33"/>
    <x v="0"/>
    <x v="0"/>
  </r>
  <r>
    <x v="1"/>
    <x v="5"/>
    <x v="326"/>
    <x v="108"/>
    <x v="44"/>
    <x v="2"/>
    <x v="0"/>
    <x v="0"/>
    <x v="13"/>
    <x v="0"/>
    <x v="15"/>
    <x v="0"/>
    <x v="1"/>
    <x v="8"/>
    <x v="6"/>
    <x v="1"/>
    <x v="6"/>
    <x v="1"/>
    <x v="33"/>
    <x v="0"/>
    <x v="0"/>
  </r>
  <r>
    <x v="1"/>
    <x v="5"/>
    <x v="327"/>
    <x v="109"/>
    <x v="46"/>
    <x v="2"/>
    <x v="0"/>
    <x v="0"/>
    <x v="4"/>
    <x v="0"/>
    <x v="15"/>
    <x v="0"/>
    <x v="1"/>
    <x v="8"/>
    <x v="6"/>
    <x v="1"/>
    <x v="3"/>
    <x v="1"/>
    <x v="28"/>
    <x v="0"/>
    <x v="0"/>
  </r>
  <r>
    <x v="1"/>
    <x v="5"/>
    <x v="328"/>
    <x v="109"/>
    <x v="47"/>
    <x v="2"/>
    <x v="0"/>
    <x v="0"/>
    <x v="4"/>
    <x v="0"/>
    <x v="15"/>
    <x v="0"/>
    <x v="1"/>
    <x v="8"/>
    <x v="6"/>
    <x v="1"/>
    <x v="6"/>
    <x v="1"/>
    <x v="33"/>
    <x v="0"/>
    <x v="0"/>
  </r>
  <r>
    <x v="1"/>
    <x v="5"/>
    <x v="329"/>
    <x v="109"/>
    <x v="48"/>
    <x v="2"/>
    <x v="0"/>
    <x v="0"/>
    <x v="4"/>
    <x v="0"/>
    <x v="15"/>
    <x v="0"/>
    <x v="1"/>
    <x v="8"/>
    <x v="6"/>
    <x v="1"/>
    <x v="9"/>
    <x v="1"/>
    <x v="34"/>
    <x v="0"/>
    <x v="0"/>
  </r>
  <r>
    <x v="0"/>
    <x v="5"/>
    <x v="332"/>
    <x v="99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2"/>
    <x v="5"/>
    <x v="332"/>
    <x v="100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5"/>
    <x v="211"/>
    <x v="97"/>
    <x v="46"/>
    <x v="2"/>
    <x v="0"/>
    <x v="0"/>
    <x v="4"/>
    <x v="1"/>
    <x v="4"/>
    <x v="14"/>
    <x v="2"/>
    <x v="10"/>
    <x v="6"/>
    <x v="22"/>
    <x v="36"/>
    <x v="0"/>
    <x v="46"/>
    <x v="0"/>
    <x v="0"/>
  </r>
  <r>
    <x v="1"/>
    <x v="5"/>
    <x v="212"/>
    <x v="97"/>
    <x v="47"/>
    <x v="2"/>
    <x v="0"/>
    <x v="0"/>
    <x v="4"/>
    <x v="1"/>
    <x v="4"/>
    <x v="14"/>
    <x v="2"/>
    <x v="10"/>
    <x v="6"/>
    <x v="22"/>
    <x v="36"/>
    <x v="0"/>
    <x v="46"/>
    <x v="0"/>
    <x v="0"/>
  </r>
  <r>
    <x v="1"/>
    <x v="5"/>
    <x v="213"/>
    <x v="97"/>
    <x v="48"/>
    <x v="2"/>
    <x v="0"/>
    <x v="0"/>
    <x v="4"/>
    <x v="1"/>
    <x v="4"/>
    <x v="14"/>
    <x v="2"/>
    <x v="10"/>
    <x v="6"/>
    <x v="22"/>
    <x v="36"/>
    <x v="0"/>
    <x v="46"/>
    <x v="0"/>
    <x v="0"/>
  </r>
  <r>
    <x v="1"/>
    <x v="5"/>
    <x v="214"/>
    <x v="97"/>
    <x v="44"/>
    <x v="2"/>
    <x v="0"/>
    <x v="0"/>
    <x v="13"/>
    <x v="1"/>
    <x v="4"/>
    <x v="14"/>
    <x v="2"/>
    <x v="10"/>
    <x v="6"/>
    <x v="22"/>
    <x v="36"/>
    <x v="0"/>
    <x v="46"/>
    <x v="0"/>
    <x v="0"/>
  </r>
  <r>
    <x v="1"/>
    <x v="5"/>
    <x v="223"/>
    <x v="96"/>
    <x v="46"/>
    <x v="2"/>
    <x v="0"/>
    <x v="0"/>
    <x v="4"/>
    <x v="1"/>
    <x v="23"/>
    <x v="12"/>
    <x v="2"/>
    <x v="16"/>
    <x v="6"/>
    <x v="22"/>
    <x v="36"/>
    <x v="0"/>
    <x v="46"/>
    <x v="0"/>
    <x v="0"/>
  </r>
  <r>
    <x v="1"/>
    <x v="5"/>
    <x v="224"/>
    <x v="96"/>
    <x v="47"/>
    <x v="2"/>
    <x v="0"/>
    <x v="0"/>
    <x v="4"/>
    <x v="1"/>
    <x v="23"/>
    <x v="12"/>
    <x v="2"/>
    <x v="16"/>
    <x v="6"/>
    <x v="22"/>
    <x v="36"/>
    <x v="0"/>
    <x v="46"/>
    <x v="0"/>
    <x v="0"/>
  </r>
  <r>
    <x v="1"/>
    <x v="5"/>
    <x v="225"/>
    <x v="96"/>
    <x v="48"/>
    <x v="2"/>
    <x v="0"/>
    <x v="0"/>
    <x v="4"/>
    <x v="1"/>
    <x v="23"/>
    <x v="12"/>
    <x v="2"/>
    <x v="16"/>
    <x v="6"/>
    <x v="22"/>
    <x v="36"/>
    <x v="0"/>
    <x v="46"/>
    <x v="0"/>
    <x v="0"/>
  </r>
  <r>
    <x v="1"/>
    <x v="5"/>
    <x v="226"/>
    <x v="96"/>
    <x v="44"/>
    <x v="2"/>
    <x v="0"/>
    <x v="0"/>
    <x v="13"/>
    <x v="1"/>
    <x v="23"/>
    <x v="12"/>
    <x v="2"/>
    <x v="16"/>
    <x v="6"/>
    <x v="22"/>
    <x v="36"/>
    <x v="0"/>
    <x v="46"/>
    <x v="0"/>
    <x v="0"/>
  </r>
  <r>
    <x v="1"/>
    <x v="5"/>
    <x v="215"/>
    <x v="96"/>
    <x v="46"/>
    <x v="2"/>
    <x v="0"/>
    <x v="0"/>
    <x v="4"/>
    <x v="1"/>
    <x v="23"/>
    <x v="13"/>
    <x v="2"/>
    <x v="16"/>
    <x v="6"/>
    <x v="22"/>
    <x v="36"/>
    <x v="0"/>
    <x v="46"/>
    <x v="0"/>
    <x v="0"/>
  </r>
  <r>
    <x v="1"/>
    <x v="5"/>
    <x v="216"/>
    <x v="96"/>
    <x v="47"/>
    <x v="2"/>
    <x v="0"/>
    <x v="0"/>
    <x v="4"/>
    <x v="1"/>
    <x v="23"/>
    <x v="13"/>
    <x v="2"/>
    <x v="16"/>
    <x v="6"/>
    <x v="22"/>
    <x v="36"/>
    <x v="0"/>
    <x v="46"/>
    <x v="0"/>
    <x v="0"/>
  </r>
  <r>
    <x v="1"/>
    <x v="5"/>
    <x v="217"/>
    <x v="96"/>
    <x v="48"/>
    <x v="2"/>
    <x v="0"/>
    <x v="0"/>
    <x v="4"/>
    <x v="1"/>
    <x v="23"/>
    <x v="13"/>
    <x v="2"/>
    <x v="16"/>
    <x v="6"/>
    <x v="22"/>
    <x v="36"/>
    <x v="0"/>
    <x v="46"/>
    <x v="0"/>
    <x v="0"/>
  </r>
  <r>
    <x v="2"/>
    <x v="5"/>
    <x v="332"/>
    <x v="98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5"/>
    <x v="201"/>
    <x v="98"/>
    <x v="46"/>
    <x v="2"/>
    <x v="0"/>
    <x v="0"/>
    <x v="4"/>
    <x v="0"/>
    <x v="8"/>
    <x v="0"/>
    <x v="1"/>
    <x v="7"/>
    <x v="6"/>
    <x v="4"/>
    <x v="3"/>
    <x v="1"/>
    <x v="22"/>
    <x v="0"/>
    <x v="0"/>
  </r>
  <r>
    <x v="1"/>
    <x v="5"/>
    <x v="202"/>
    <x v="98"/>
    <x v="47"/>
    <x v="2"/>
    <x v="0"/>
    <x v="0"/>
    <x v="4"/>
    <x v="0"/>
    <x v="8"/>
    <x v="0"/>
    <x v="1"/>
    <x v="7"/>
    <x v="6"/>
    <x v="4"/>
    <x v="6"/>
    <x v="1"/>
    <x v="27"/>
    <x v="0"/>
    <x v="0"/>
  </r>
  <r>
    <x v="1"/>
    <x v="5"/>
    <x v="203"/>
    <x v="98"/>
    <x v="48"/>
    <x v="2"/>
    <x v="0"/>
    <x v="0"/>
    <x v="4"/>
    <x v="0"/>
    <x v="8"/>
    <x v="0"/>
    <x v="1"/>
    <x v="7"/>
    <x v="6"/>
    <x v="4"/>
    <x v="9"/>
    <x v="1"/>
    <x v="30"/>
    <x v="0"/>
    <x v="0"/>
  </r>
  <r>
    <x v="1"/>
    <x v="5"/>
    <x v="195"/>
    <x v="98"/>
    <x v="46"/>
    <x v="2"/>
    <x v="0"/>
    <x v="0"/>
    <x v="4"/>
    <x v="0"/>
    <x v="8"/>
    <x v="0"/>
    <x v="1"/>
    <x v="7"/>
    <x v="6"/>
    <x v="4"/>
    <x v="3"/>
    <x v="1"/>
    <x v="22"/>
    <x v="0"/>
    <x v="0"/>
  </r>
  <r>
    <x v="1"/>
    <x v="5"/>
    <x v="196"/>
    <x v="98"/>
    <x v="47"/>
    <x v="2"/>
    <x v="0"/>
    <x v="0"/>
    <x v="4"/>
    <x v="0"/>
    <x v="8"/>
    <x v="0"/>
    <x v="1"/>
    <x v="7"/>
    <x v="6"/>
    <x v="4"/>
    <x v="6"/>
    <x v="1"/>
    <x v="27"/>
    <x v="0"/>
    <x v="0"/>
  </r>
  <r>
    <x v="1"/>
    <x v="5"/>
    <x v="197"/>
    <x v="98"/>
    <x v="48"/>
    <x v="2"/>
    <x v="0"/>
    <x v="0"/>
    <x v="4"/>
    <x v="0"/>
    <x v="8"/>
    <x v="0"/>
    <x v="1"/>
    <x v="7"/>
    <x v="6"/>
    <x v="4"/>
    <x v="9"/>
    <x v="1"/>
    <x v="30"/>
    <x v="0"/>
    <x v="0"/>
  </r>
  <r>
    <x v="1"/>
    <x v="5"/>
    <x v="193"/>
    <x v="98"/>
    <x v="44"/>
    <x v="2"/>
    <x v="0"/>
    <x v="0"/>
    <x v="13"/>
    <x v="0"/>
    <x v="8"/>
    <x v="0"/>
    <x v="1"/>
    <x v="7"/>
    <x v="6"/>
    <x v="4"/>
    <x v="6"/>
    <x v="1"/>
    <x v="27"/>
    <x v="0"/>
    <x v="0"/>
  </r>
  <r>
    <x v="1"/>
    <x v="5"/>
    <x v="194"/>
    <x v="98"/>
    <x v="53"/>
    <x v="2"/>
    <x v="0"/>
    <x v="0"/>
    <x v="13"/>
    <x v="0"/>
    <x v="8"/>
    <x v="0"/>
    <x v="1"/>
    <x v="7"/>
    <x v="6"/>
    <x v="4"/>
    <x v="6"/>
    <x v="1"/>
    <x v="27"/>
    <x v="0"/>
    <x v="0"/>
  </r>
  <r>
    <x v="1"/>
    <x v="5"/>
    <x v="204"/>
    <x v="98"/>
    <x v="24"/>
    <x v="2"/>
    <x v="0"/>
    <x v="0"/>
    <x v="4"/>
    <x v="0"/>
    <x v="8"/>
    <x v="0"/>
    <x v="1"/>
    <x v="7"/>
    <x v="6"/>
    <x v="4"/>
    <x v="2"/>
    <x v="1"/>
    <x v="20"/>
    <x v="0"/>
    <x v="0"/>
  </r>
  <r>
    <x v="1"/>
    <x v="5"/>
    <x v="205"/>
    <x v="98"/>
    <x v="24"/>
    <x v="2"/>
    <x v="0"/>
    <x v="0"/>
    <x v="4"/>
    <x v="0"/>
    <x v="8"/>
    <x v="0"/>
    <x v="1"/>
    <x v="7"/>
    <x v="6"/>
    <x v="4"/>
    <x v="2"/>
    <x v="1"/>
    <x v="20"/>
    <x v="0"/>
    <x v="0"/>
  </r>
  <r>
    <x v="1"/>
    <x v="5"/>
    <x v="206"/>
    <x v="98"/>
    <x v="24"/>
    <x v="2"/>
    <x v="0"/>
    <x v="0"/>
    <x v="4"/>
    <x v="0"/>
    <x v="8"/>
    <x v="0"/>
    <x v="1"/>
    <x v="7"/>
    <x v="6"/>
    <x v="4"/>
    <x v="2"/>
    <x v="1"/>
    <x v="20"/>
    <x v="0"/>
    <x v="0"/>
  </r>
  <r>
    <x v="1"/>
    <x v="5"/>
    <x v="207"/>
    <x v="98"/>
    <x v="24"/>
    <x v="2"/>
    <x v="0"/>
    <x v="0"/>
    <x v="4"/>
    <x v="0"/>
    <x v="8"/>
    <x v="0"/>
    <x v="1"/>
    <x v="7"/>
    <x v="6"/>
    <x v="4"/>
    <x v="2"/>
    <x v="1"/>
    <x v="20"/>
    <x v="0"/>
    <x v="0"/>
  </r>
  <r>
    <x v="1"/>
    <x v="5"/>
    <x v="208"/>
    <x v="98"/>
    <x v="48"/>
    <x v="2"/>
    <x v="0"/>
    <x v="0"/>
    <x v="4"/>
    <x v="0"/>
    <x v="8"/>
    <x v="0"/>
    <x v="1"/>
    <x v="7"/>
    <x v="6"/>
    <x v="4"/>
    <x v="9"/>
    <x v="1"/>
    <x v="30"/>
    <x v="0"/>
    <x v="0"/>
  </r>
  <r>
    <x v="1"/>
    <x v="5"/>
    <x v="209"/>
    <x v="98"/>
    <x v="44"/>
    <x v="2"/>
    <x v="0"/>
    <x v="0"/>
    <x v="13"/>
    <x v="0"/>
    <x v="8"/>
    <x v="0"/>
    <x v="1"/>
    <x v="7"/>
    <x v="6"/>
    <x v="7"/>
    <x v="6"/>
    <x v="1"/>
    <x v="17"/>
    <x v="0"/>
    <x v="0"/>
  </r>
  <r>
    <x v="1"/>
    <x v="5"/>
    <x v="210"/>
    <x v="98"/>
    <x v="53"/>
    <x v="2"/>
    <x v="0"/>
    <x v="0"/>
    <x v="13"/>
    <x v="0"/>
    <x v="8"/>
    <x v="0"/>
    <x v="1"/>
    <x v="7"/>
    <x v="6"/>
    <x v="7"/>
    <x v="6"/>
    <x v="1"/>
    <x v="17"/>
    <x v="0"/>
    <x v="0"/>
  </r>
  <r>
    <x v="1"/>
    <x v="5"/>
    <x v="218"/>
    <x v="98"/>
    <x v="46"/>
    <x v="2"/>
    <x v="0"/>
    <x v="0"/>
    <x v="4"/>
    <x v="0"/>
    <x v="8"/>
    <x v="0"/>
    <x v="1"/>
    <x v="7"/>
    <x v="6"/>
    <x v="7"/>
    <x v="4"/>
    <x v="1"/>
    <x v="11"/>
    <x v="0"/>
    <x v="0"/>
  </r>
  <r>
    <x v="1"/>
    <x v="5"/>
    <x v="219"/>
    <x v="98"/>
    <x v="47"/>
    <x v="2"/>
    <x v="0"/>
    <x v="0"/>
    <x v="4"/>
    <x v="0"/>
    <x v="8"/>
    <x v="0"/>
    <x v="1"/>
    <x v="7"/>
    <x v="6"/>
    <x v="7"/>
    <x v="6"/>
    <x v="1"/>
    <x v="17"/>
    <x v="0"/>
    <x v="0"/>
  </r>
  <r>
    <x v="1"/>
    <x v="5"/>
    <x v="220"/>
    <x v="98"/>
    <x v="48"/>
    <x v="2"/>
    <x v="0"/>
    <x v="0"/>
    <x v="4"/>
    <x v="0"/>
    <x v="8"/>
    <x v="0"/>
    <x v="1"/>
    <x v="7"/>
    <x v="6"/>
    <x v="7"/>
    <x v="9"/>
    <x v="1"/>
    <x v="21"/>
    <x v="0"/>
    <x v="0"/>
  </r>
  <r>
    <x v="1"/>
    <x v="5"/>
    <x v="198"/>
    <x v="98"/>
    <x v="44"/>
    <x v="2"/>
    <x v="0"/>
    <x v="0"/>
    <x v="13"/>
    <x v="0"/>
    <x v="8"/>
    <x v="0"/>
    <x v="1"/>
    <x v="7"/>
    <x v="6"/>
    <x v="7"/>
    <x v="6"/>
    <x v="1"/>
    <x v="17"/>
    <x v="0"/>
    <x v="0"/>
  </r>
  <r>
    <x v="1"/>
    <x v="5"/>
    <x v="199"/>
    <x v="98"/>
    <x v="53"/>
    <x v="2"/>
    <x v="0"/>
    <x v="0"/>
    <x v="13"/>
    <x v="0"/>
    <x v="8"/>
    <x v="0"/>
    <x v="1"/>
    <x v="7"/>
    <x v="6"/>
    <x v="7"/>
    <x v="6"/>
    <x v="1"/>
    <x v="17"/>
    <x v="0"/>
    <x v="0"/>
  </r>
  <r>
    <x v="1"/>
    <x v="5"/>
    <x v="190"/>
    <x v="98"/>
    <x v="25"/>
    <x v="2"/>
    <x v="0"/>
    <x v="0"/>
    <x v="5"/>
    <x v="0"/>
    <x v="20"/>
    <x v="6"/>
    <x v="0"/>
    <x v="16"/>
    <x v="6"/>
    <x v="11"/>
    <x v="9"/>
    <x v="1"/>
    <x v="14"/>
    <x v="0"/>
    <x v="0"/>
  </r>
  <r>
    <x v="1"/>
    <x v="5"/>
    <x v="200"/>
    <x v="98"/>
    <x v="32"/>
    <x v="2"/>
    <x v="0"/>
    <x v="0"/>
    <x v="13"/>
    <x v="0"/>
    <x v="8"/>
    <x v="0"/>
    <x v="1"/>
    <x v="7"/>
    <x v="6"/>
    <x v="7"/>
    <x v="9"/>
    <x v="1"/>
    <x v="21"/>
    <x v="0"/>
    <x v="0"/>
  </r>
  <r>
    <x v="1"/>
    <x v="5"/>
    <x v="221"/>
    <x v="98"/>
    <x v="38"/>
    <x v="2"/>
    <x v="0"/>
    <x v="0"/>
    <x v="13"/>
    <x v="0"/>
    <x v="8"/>
    <x v="0"/>
    <x v="1"/>
    <x v="7"/>
    <x v="6"/>
    <x v="7"/>
    <x v="4"/>
    <x v="1"/>
    <x v="11"/>
    <x v="0"/>
    <x v="0"/>
  </r>
  <r>
    <x v="1"/>
    <x v="5"/>
    <x v="222"/>
    <x v="98"/>
    <x v="38"/>
    <x v="2"/>
    <x v="0"/>
    <x v="0"/>
    <x v="13"/>
    <x v="0"/>
    <x v="8"/>
    <x v="0"/>
    <x v="1"/>
    <x v="7"/>
    <x v="6"/>
    <x v="7"/>
    <x v="4"/>
    <x v="1"/>
    <x v="11"/>
    <x v="0"/>
    <x v="0"/>
  </r>
  <r>
    <x v="1"/>
    <x v="5"/>
    <x v="117"/>
    <x v="98"/>
    <x v="49"/>
    <x v="2"/>
    <x v="0"/>
    <x v="0"/>
    <x v="4"/>
    <x v="0"/>
    <x v="8"/>
    <x v="0"/>
    <x v="1"/>
    <x v="7"/>
    <x v="6"/>
    <x v="4"/>
    <x v="3"/>
    <x v="1"/>
    <x v="22"/>
    <x v="0"/>
    <x v="0"/>
  </r>
  <r>
    <x v="1"/>
    <x v="5"/>
    <x v="149"/>
    <x v="98"/>
    <x v="26"/>
    <x v="2"/>
    <x v="0"/>
    <x v="0"/>
    <x v="4"/>
    <x v="0"/>
    <x v="8"/>
    <x v="0"/>
    <x v="1"/>
    <x v="7"/>
    <x v="6"/>
    <x v="4"/>
    <x v="10"/>
    <x v="1"/>
    <x v="32"/>
    <x v="0"/>
    <x v="0"/>
  </r>
  <r>
    <x v="1"/>
    <x v="5"/>
    <x v="150"/>
    <x v="98"/>
    <x v="26"/>
    <x v="2"/>
    <x v="0"/>
    <x v="0"/>
    <x v="4"/>
    <x v="0"/>
    <x v="8"/>
    <x v="0"/>
    <x v="1"/>
    <x v="7"/>
    <x v="6"/>
    <x v="4"/>
    <x v="10"/>
    <x v="1"/>
    <x v="32"/>
    <x v="0"/>
    <x v="0"/>
  </r>
  <r>
    <x v="1"/>
    <x v="5"/>
    <x v="246"/>
    <x v="98"/>
    <x v="48"/>
    <x v="2"/>
    <x v="0"/>
    <x v="0"/>
    <x v="4"/>
    <x v="0"/>
    <x v="8"/>
    <x v="0"/>
    <x v="1"/>
    <x v="7"/>
    <x v="6"/>
    <x v="4"/>
    <x v="9"/>
    <x v="1"/>
    <x v="30"/>
    <x v="0"/>
    <x v="0"/>
  </r>
  <r>
    <x v="1"/>
    <x v="5"/>
    <x v="191"/>
    <x v="98"/>
    <x v="46"/>
    <x v="2"/>
    <x v="0"/>
    <x v="0"/>
    <x v="4"/>
    <x v="0"/>
    <x v="8"/>
    <x v="11"/>
    <x v="1"/>
    <x v="7"/>
    <x v="6"/>
    <x v="6"/>
    <x v="3"/>
    <x v="1"/>
    <x v="9"/>
    <x v="0"/>
    <x v="0"/>
  </r>
  <r>
    <x v="1"/>
    <x v="5"/>
    <x v="192"/>
    <x v="98"/>
    <x v="47"/>
    <x v="2"/>
    <x v="0"/>
    <x v="0"/>
    <x v="4"/>
    <x v="0"/>
    <x v="8"/>
    <x v="11"/>
    <x v="1"/>
    <x v="7"/>
    <x v="6"/>
    <x v="7"/>
    <x v="6"/>
    <x v="1"/>
    <x v="17"/>
    <x v="0"/>
    <x v="0"/>
  </r>
  <r>
    <x v="0"/>
    <x v="5"/>
    <x v="332"/>
    <x v="80"/>
    <x v="56"/>
    <x v="4"/>
    <x v="21"/>
    <x v="1"/>
    <x v="15"/>
    <x v="2"/>
    <x v="23"/>
    <x v="14"/>
    <x v="2"/>
    <x v="16"/>
    <x v="6"/>
    <x v="22"/>
    <x v="36"/>
    <x v="0"/>
    <x v="8"/>
    <x v="0"/>
    <x v="0"/>
  </r>
  <r>
    <x v="2"/>
    <x v="5"/>
    <x v="332"/>
    <x v="32"/>
    <x v="56"/>
    <x v="4"/>
    <x v="21"/>
    <x v="1"/>
    <x v="15"/>
    <x v="2"/>
    <x v="23"/>
    <x v="14"/>
    <x v="2"/>
    <x v="16"/>
    <x v="6"/>
    <x v="22"/>
    <x v="36"/>
    <x v="0"/>
    <x v="8"/>
    <x v="0"/>
    <x v="0"/>
  </r>
  <r>
    <x v="1"/>
    <x v="5"/>
    <x v="332"/>
    <x v="104"/>
    <x v="14"/>
    <x v="2"/>
    <x v="21"/>
    <x v="0"/>
    <x v="4"/>
    <x v="0"/>
    <x v="1"/>
    <x v="0"/>
    <x v="1"/>
    <x v="8"/>
    <x v="6"/>
    <x v="19"/>
    <x v="23"/>
    <x v="0"/>
    <x v="1"/>
    <x v="0"/>
    <x v="0"/>
  </r>
  <r>
    <x v="1"/>
    <x v="5"/>
    <x v="332"/>
    <x v="105"/>
    <x v="24"/>
    <x v="2"/>
    <x v="21"/>
    <x v="0"/>
    <x v="4"/>
    <x v="0"/>
    <x v="1"/>
    <x v="0"/>
    <x v="1"/>
    <x v="8"/>
    <x v="6"/>
    <x v="19"/>
    <x v="26"/>
    <x v="0"/>
    <x v="3"/>
    <x v="0"/>
    <x v="0"/>
  </r>
  <r>
    <x v="1"/>
    <x v="5"/>
    <x v="332"/>
    <x v="106"/>
    <x v="48"/>
    <x v="2"/>
    <x v="21"/>
    <x v="0"/>
    <x v="4"/>
    <x v="0"/>
    <x v="1"/>
    <x v="0"/>
    <x v="1"/>
    <x v="8"/>
    <x v="6"/>
    <x v="19"/>
    <x v="31"/>
    <x v="0"/>
    <x v="6"/>
    <x v="0"/>
    <x v="0"/>
  </r>
  <r>
    <x v="0"/>
    <x v="3"/>
    <x v="332"/>
    <x v="46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2"/>
    <x v="3"/>
    <x v="332"/>
    <x v="124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58"/>
    <x v="14"/>
    <x v="55"/>
    <x v="2"/>
    <x v="0"/>
    <x v="0"/>
    <x v="11"/>
    <x v="1"/>
    <x v="12"/>
    <x v="7"/>
    <x v="2"/>
    <x v="4"/>
    <x v="6"/>
    <x v="22"/>
    <x v="36"/>
    <x v="2"/>
    <x v="46"/>
    <x v="0"/>
    <x v="0"/>
  </r>
  <r>
    <x v="1"/>
    <x v="3"/>
    <x v="59"/>
    <x v="14"/>
    <x v="55"/>
    <x v="2"/>
    <x v="0"/>
    <x v="0"/>
    <x v="11"/>
    <x v="1"/>
    <x v="12"/>
    <x v="7"/>
    <x v="2"/>
    <x v="4"/>
    <x v="6"/>
    <x v="22"/>
    <x v="36"/>
    <x v="2"/>
    <x v="46"/>
    <x v="0"/>
    <x v="0"/>
  </r>
  <r>
    <x v="1"/>
    <x v="3"/>
    <x v="60"/>
    <x v="14"/>
    <x v="55"/>
    <x v="2"/>
    <x v="0"/>
    <x v="0"/>
    <x v="11"/>
    <x v="1"/>
    <x v="12"/>
    <x v="7"/>
    <x v="2"/>
    <x v="4"/>
    <x v="6"/>
    <x v="22"/>
    <x v="36"/>
    <x v="2"/>
    <x v="46"/>
    <x v="0"/>
    <x v="0"/>
  </r>
  <r>
    <x v="1"/>
    <x v="3"/>
    <x v="61"/>
    <x v="14"/>
    <x v="55"/>
    <x v="2"/>
    <x v="0"/>
    <x v="0"/>
    <x v="11"/>
    <x v="1"/>
    <x v="12"/>
    <x v="7"/>
    <x v="2"/>
    <x v="4"/>
    <x v="6"/>
    <x v="22"/>
    <x v="36"/>
    <x v="2"/>
    <x v="46"/>
    <x v="0"/>
    <x v="0"/>
  </r>
  <r>
    <x v="1"/>
    <x v="3"/>
    <x v="62"/>
    <x v="14"/>
    <x v="55"/>
    <x v="2"/>
    <x v="0"/>
    <x v="0"/>
    <x v="11"/>
    <x v="1"/>
    <x v="12"/>
    <x v="7"/>
    <x v="2"/>
    <x v="4"/>
    <x v="6"/>
    <x v="22"/>
    <x v="36"/>
    <x v="2"/>
    <x v="46"/>
    <x v="0"/>
    <x v="0"/>
  </r>
  <r>
    <x v="1"/>
    <x v="3"/>
    <x v="63"/>
    <x v="14"/>
    <x v="55"/>
    <x v="2"/>
    <x v="0"/>
    <x v="0"/>
    <x v="11"/>
    <x v="1"/>
    <x v="12"/>
    <x v="7"/>
    <x v="2"/>
    <x v="4"/>
    <x v="6"/>
    <x v="22"/>
    <x v="36"/>
    <x v="2"/>
    <x v="46"/>
    <x v="0"/>
    <x v="0"/>
  </r>
  <r>
    <x v="2"/>
    <x v="3"/>
    <x v="332"/>
    <x v="56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259"/>
    <x v="125"/>
    <x v="55"/>
    <x v="2"/>
    <x v="0"/>
    <x v="0"/>
    <x v="11"/>
    <x v="0"/>
    <x v="3"/>
    <x v="0"/>
    <x v="1"/>
    <x v="12"/>
    <x v="6"/>
    <x v="5"/>
    <x v="7"/>
    <x v="1"/>
    <x v="20"/>
    <x v="0"/>
    <x v="0"/>
  </r>
  <r>
    <x v="1"/>
    <x v="3"/>
    <x v="260"/>
    <x v="125"/>
    <x v="55"/>
    <x v="2"/>
    <x v="0"/>
    <x v="0"/>
    <x v="11"/>
    <x v="0"/>
    <x v="3"/>
    <x v="0"/>
    <x v="1"/>
    <x v="12"/>
    <x v="6"/>
    <x v="5"/>
    <x v="7"/>
    <x v="1"/>
    <x v="20"/>
    <x v="0"/>
    <x v="0"/>
  </r>
  <r>
    <x v="1"/>
    <x v="3"/>
    <x v="261"/>
    <x v="125"/>
    <x v="55"/>
    <x v="2"/>
    <x v="0"/>
    <x v="0"/>
    <x v="11"/>
    <x v="0"/>
    <x v="3"/>
    <x v="0"/>
    <x v="1"/>
    <x v="12"/>
    <x v="6"/>
    <x v="5"/>
    <x v="7"/>
    <x v="1"/>
    <x v="20"/>
    <x v="0"/>
    <x v="0"/>
  </r>
  <r>
    <x v="1"/>
    <x v="3"/>
    <x v="262"/>
    <x v="125"/>
    <x v="55"/>
    <x v="2"/>
    <x v="0"/>
    <x v="0"/>
    <x v="11"/>
    <x v="0"/>
    <x v="3"/>
    <x v="0"/>
    <x v="1"/>
    <x v="12"/>
    <x v="6"/>
    <x v="5"/>
    <x v="7"/>
    <x v="1"/>
    <x v="20"/>
    <x v="0"/>
    <x v="0"/>
  </r>
  <r>
    <x v="1"/>
    <x v="3"/>
    <x v="115"/>
    <x v="65"/>
    <x v="55"/>
    <x v="2"/>
    <x v="0"/>
    <x v="0"/>
    <x v="11"/>
    <x v="0"/>
    <x v="3"/>
    <x v="0"/>
    <x v="1"/>
    <x v="12"/>
    <x v="6"/>
    <x v="5"/>
    <x v="7"/>
    <x v="1"/>
    <x v="20"/>
    <x v="0"/>
    <x v="0"/>
  </r>
  <r>
    <x v="1"/>
    <x v="3"/>
    <x v="116"/>
    <x v="65"/>
    <x v="55"/>
    <x v="2"/>
    <x v="0"/>
    <x v="0"/>
    <x v="11"/>
    <x v="0"/>
    <x v="3"/>
    <x v="0"/>
    <x v="1"/>
    <x v="12"/>
    <x v="6"/>
    <x v="5"/>
    <x v="7"/>
    <x v="1"/>
    <x v="20"/>
    <x v="0"/>
    <x v="0"/>
  </r>
  <r>
    <x v="1"/>
    <x v="3"/>
    <x v="257"/>
    <x v="55"/>
    <x v="55"/>
    <x v="2"/>
    <x v="0"/>
    <x v="0"/>
    <x v="11"/>
    <x v="0"/>
    <x v="9"/>
    <x v="0"/>
    <x v="1"/>
    <x v="12"/>
    <x v="6"/>
    <x v="17"/>
    <x v="24"/>
    <x v="1"/>
    <x v="11"/>
    <x v="0"/>
    <x v="0"/>
  </r>
  <r>
    <x v="1"/>
    <x v="3"/>
    <x v="258"/>
    <x v="55"/>
    <x v="55"/>
    <x v="2"/>
    <x v="0"/>
    <x v="0"/>
    <x v="11"/>
    <x v="0"/>
    <x v="9"/>
    <x v="0"/>
    <x v="1"/>
    <x v="12"/>
    <x v="6"/>
    <x v="17"/>
    <x v="34"/>
    <x v="1"/>
    <x v="27"/>
    <x v="0"/>
    <x v="0"/>
  </r>
  <r>
    <x v="1"/>
    <x v="3"/>
    <x v="251"/>
    <x v="49"/>
    <x v="55"/>
    <x v="2"/>
    <x v="0"/>
    <x v="0"/>
    <x v="11"/>
    <x v="0"/>
    <x v="5"/>
    <x v="6"/>
    <x v="0"/>
    <x v="16"/>
    <x v="6"/>
    <x v="15"/>
    <x v="17"/>
    <x v="1"/>
    <x v="10"/>
    <x v="0"/>
    <x v="0"/>
  </r>
  <r>
    <x v="1"/>
    <x v="3"/>
    <x v="252"/>
    <x v="49"/>
    <x v="55"/>
    <x v="2"/>
    <x v="0"/>
    <x v="0"/>
    <x v="11"/>
    <x v="0"/>
    <x v="5"/>
    <x v="6"/>
    <x v="0"/>
    <x v="16"/>
    <x v="6"/>
    <x v="15"/>
    <x v="17"/>
    <x v="1"/>
    <x v="10"/>
    <x v="0"/>
    <x v="0"/>
  </r>
  <r>
    <x v="1"/>
    <x v="3"/>
    <x v="253"/>
    <x v="49"/>
    <x v="55"/>
    <x v="2"/>
    <x v="0"/>
    <x v="0"/>
    <x v="11"/>
    <x v="0"/>
    <x v="5"/>
    <x v="6"/>
    <x v="0"/>
    <x v="16"/>
    <x v="6"/>
    <x v="15"/>
    <x v="24"/>
    <x v="1"/>
    <x v="21"/>
    <x v="0"/>
    <x v="0"/>
  </r>
  <r>
    <x v="1"/>
    <x v="3"/>
    <x v="254"/>
    <x v="49"/>
    <x v="55"/>
    <x v="2"/>
    <x v="0"/>
    <x v="0"/>
    <x v="11"/>
    <x v="0"/>
    <x v="5"/>
    <x v="6"/>
    <x v="0"/>
    <x v="16"/>
    <x v="6"/>
    <x v="15"/>
    <x v="24"/>
    <x v="1"/>
    <x v="21"/>
    <x v="0"/>
    <x v="0"/>
  </r>
  <r>
    <x v="1"/>
    <x v="3"/>
    <x v="255"/>
    <x v="49"/>
    <x v="55"/>
    <x v="2"/>
    <x v="0"/>
    <x v="0"/>
    <x v="11"/>
    <x v="0"/>
    <x v="5"/>
    <x v="6"/>
    <x v="0"/>
    <x v="16"/>
    <x v="6"/>
    <x v="15"/>
    <x v="31"/>
    <x v="1"/>
    <x v="29"/>
    <x v="0"/>
    <x v="0"/>
  </r>
  <r>
    <x v="1"/>
    <x v="3"/>
    <x v="256"/>
    <x v="49"/>
    <x v="55"/>
    <x v="2"/>
    <x v="0"/>
    <x v="0"/>
    <x v="11"/>
    <x v="0"/>
    <x v="5"/>
    <x v="6"/>
    <x v="0"/>
    <x v="16"/>
    <x v="6"/>
    <x v="15"/>
    <x v="31"/>
    <x v="1"/>
    <x v="29"/>
    <x v="0"/>
    <x v="0"/>
  </r>
  <r>
    <x v="2"/>
    <x v="3"/>
    <x v="332"/>
    <x v="25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88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99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100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101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102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103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104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105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106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89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90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91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92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93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94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95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96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97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98"/>
    <x v="24"/>
    <x v="39"/>
    <x v="2"/>
    <x v="0"/>
    <x v="0"/>
    <x v="4"/>
    <x v="1"/>
    <x v="13"/>
    <x v="14"/>
    <x v="2"/>
    <x v="13"/>
    <x v="6"/>
    <x v="22"/>
    <x v="36"/>
    <x v="2"/>
    <x v="46"/>
    <x v="0"/>
    <x v="0"/>
  </r>
  <r>
    <x v="1"/>
    <x v="3"/>
    <x v="80"/>
    <x v="21"/>
    <x v="18"/>
    <x v="2"/>
    <x v="0"/>
    <x v="0"/>
    <x v="7"/>
    <x v="1"/>
    <x v="21"/>
    <x v="2"/>
    <x v="2"/>
    <x v="1"/>
    <x v="6"/>
    <x v="22"/>
    <x v="36"/>
    <x v="2"/>
    <x v="46"/>
    <x v="0"/>
    <x v="0"/>
  </r>
  <r>
    <x v="1"/>
    <x v="3"/>
    <x v="81"/>
    <x v="21"/>
    <x v="16"/>
    <x v="2"/>
    <x v="0"/>
    <x v="0"/>
    <x v="7"/>
    <x v="1"/>
    <x v="21"/>
    <x v="2"/>
    <x v="2"/>
    <x v="1"/>
    <x v="6"/>
    <x v="22"/>
    <x v="36"/>
    <x v="2"/>
    <x v="46"/>
    <x v="0"/>
    <x v="0"/>
  </r>
  <r>
    <x v="1"/>
    <x v="3"/>
    <x v="82"/>
    <x v="21"/>
    <x v="22"/>
    <x v="2"/>
    <x v="0"/>
    <x v="0"/>
    <x v="7"/>
    <x v="1"/>
    <x v="21"/>
    <x v="2"/>
    <x v="2"/>
    <x v="1"/>
    <x v="6"/>
    <x v="22"/>
    <x v="36"/>
    <x v="2"/>
    <x v="46"/>
    <x v="0"/>
    <x v="0"/>
  </r>
  <r>
    <x v="1"/>
    <x v="3"/>
    <x v="83"/>
    <x v="21"/>
    <x v="20"/>
    <x v="2"/>
    <x v="0"/>
    <x v="0"/>
    <x v="7"/>
    <x v="1"/>
    <x v="21"/>
    <x v="2"/>
    <x v="2"/>
    <x v="1"/>
    <x v="6"/>
    <x v="22"/>
    <x v="36"/>
    <x v="2"/>
    <x v="46"/>
    <x v="0"/>
    <x v="0"/>
  </r>
  <r>
    <x v="1"/>
    <x v="3"/>
    <x v="84"/>
    <x v="21"/>
    <x v="17"/>
    <x v="2"/>
    <x v="0"/>
    <x v="0"/>
    <x v="7"/>
    <x v="1"/>
    <x v="21"/>
    <x v="2"/>
    <x v="2"/>
    <x v="1"/>
    <x v="6"/>
    <x v="22"/>
    <x v="36"/>
    <x v="2"/>
    <x v="46"/>
    <x v="0"/>
    <x v="0"/>
  </r>
  <r>
    <x v="1"/>
    <x v="3"/>
    <x v="85"/>
    <x v="21"/>
    <x v="15"/>
    <x v="2"/>
    <x v="0"/>
    <x v="0"/>
    <x v="7"/>
    <x v="1"/>
    <x v="21"/>
    <x v="2"/>
    <x v="2"/>
    <x v="1"/>
    <x v="6"/>
    <x v="22"/>
    <x v="36"/>
    <x v="2"/>
    <x v="46"/>
    <x v="0"/>
    <x v="0"/>
  </r>
  <r>
    <x v="1"/>
    <x v="3"/>
    <x v="86"/>
    <x v="21"/>
    <x v="21"/>
    <x v="2"/>
    <x v="0"/>
    <x v="0"/>
    <x v="7"/>
    <x v="1"/>
    <x v="21"/>
    <x v="2"/>
    <x v="2"/>
    <x v="1"/>
    <x v="6"/>
    <x v="22"/>
    <x v="36"/>
    <x v="2"/>
    <x v="46"/>
    <x v="0"/>
    <x v="0"/>
  </r>
  <r>
    <x v="1"/>
    <x v="3"/>
    <x v="87"/>
    <x v="21"/>
    <x v="19"/>
    <x v="2"/>
    <x v="0"/>
    <x v="0"/>
    <x v="7"/>
    <x v="1"/>
    <x v="21"/>
    <x v="3"/>
    <x v="2"/>
    <x v="1"/>
    <x v="6"/>
    <x v="22"/>
    <x v="36"/>
    <x v="2"/>
    <x v="46"/>
    <x v="0"/>
    <x v="0"/>
  </r>
  <r>
    <x v="1"/>
    <x v="3"/>
    <x v="74"/>
    <x v="21"/>
    <x v="46"/>
    <x v="2"/>
    <x v="0"/>
    <x v="0"/>
    <x v="4"/>
    <x v="1"/>
    <x v="21"/>
    <x v="2"/>
    <x v="2"/>
    <x v="0"/>
    <x v="6"/>
    <x v="22"/>
    <x v="36"/>
    <x v="2"/>
    <x v="46"/>
    <x v="0"/>
    <x v="0"/>
  </r>
  <r>
    <x v="1"/>
    <x v="3"/>
    <x v="75"/>
    <x v="21"/>
    <x v="46"/>
    <x v="2"/>
    <x v="0"/>
    <x v="0"/>
    <x v="4"/>
    <x v="1"/>
    <x v="21"/>
    <x v="2"/>
    <x v="2"/>
    <x v="0"/>
    <x v="6"/>
    <x v="22"/>
    <x v="36"/>
    <x v="2"/>
    <x v="46"/>
    <x v="0"/>
    <x v="0"/>
  </r>
  <r>
    <x v="1"/>
    <x v="3"/>
    <x v="76"/>
    <x v="21"/>
    <x v="47"/>
    <x v="2"/>
    <x v="0"/>
    <x v="0"/>
    <x v="4"/>
    <x v="1"/>
    <x v="21"/>
    <x v="2"/>
    <x v="2"/>
    <x v="0"/>
    <x v="6"/>
    <x v="22"/>
    <x v="36"/>
    <x v="2"/>
    <x v="46"/>
    <x v="0"/>
    <x v="0"/>
  </r>
  <r>
    <x v="1"/>
    <x v="3"/>
    <x v="77"/>
    <x v="21"/>
    <x v="47"/>
    <x v="2"/>
    <x v="0"/>
    <x v="0"/>
    <x v="4"/>
    <x v="1"/>
    <x v="21"/>
    <x v="2"/>
    <x v="2"/>
    <x v="0"/>
    <x v="6"/>
    <x v="22"/>
    <x v="36"/>
    <x v="2"/>
    <x v="46"/>
    <x v="0"/>
    <x v="0"/>
  </r>
  <r>
    <x v="1"/>
    <x v="3"/>
    <x v="78"/>
    <x v="21"/>
    <x v="48"/>
    <x v="2"/>
    <x v="0"/>
    <x v="0"/>
    <x v="4"/>
    <x v="1"/>
    <x v="21"/>
    <x v="2"/>
    <x v="2"/>
    <x v="0"/>
    <x v="6"/>
    <x v="22"/>
    <x v="36"/>
    <x v="2"/>
    <x v="46"/>
    <x v="0"/>
    <x v="0"/>
  </r>
  <r>
    <x v="1"/>
    <x v="3"/>
    <x v="79"/>
    <x v="21"/>
    <x v="48"/>
    <x v="2"/>
    <x v="0"/>
    <x v="0"/>
    <x v="4"/>
    <x v="1"/>
    <x v="21"/>
    <x v="2"/>
    <x v="2"/>
    <x v="0"/>
    <x v="6"/>
    <x v="22"/>
    <x v="36"/>
    <x v="2"/>
    <x v="46"/>
    <x v="0"/>
    <x v="0"/>
  </r>
  <r>
    <x v="2"/>
    <x v="3"/>
    <x v="332"/>
    <x v="44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70"/>
    <x v="18"/>
    <x v="54"/>
    <x v="2"/>
    <x v="0"/>
    <x v="0"/>
    <x v="12"/>
    <x v="0"/>
    <x v="10"/>
    <x v="10"/>
    <x v="0"/>
    <x v="16"/>
    <x v="6"/>
    <x v="20"/>
    <x v="31"/>
    <x v="0"/>
    <x v="0"/>
    <x v="0"/>
    <x v="0"/>
  </r>
  <r>
    <x v="1"/>
    <x v="3"/>
    <x v="71"/>
    <x v="18"/>
    <x v="54"/>
    <x v="2"/>
    <x v="0"/>
    <x v="0"/>
    <x v="12"/>
    <x v="0"/>
    <x v="10"/>
    <x v="10"/>
    <x v="0"/>
    <x v="16"/>
    <x v="6"/>
    <x v="20"/>
    <x v="31"/>
    <x v="0"/>
    <x v="0"/>
    <x v="0"/>
    <x v="0"/>
  </r>
  <r>
    <x v="1"/>
    <x v="3"/>
    <x v="68"/>
    <x v="18"/>
    <x v="54"/>
    <x v="2"/>
    <x v="0"/>
    <x v="0"/>
    <x v="12"/>
    <x v="0"/>
    <x v="10"/>
    <x v="10"/>
    <x v="0"/>
    <x v="16"/>
    <x v="6"/>
    <x v="20"/>
    <x v="31"/>
    <x v="0"/>
    <x v="0"/>
    <x v="0"/>
    <x v="0"/>
  </r>
  <r>
    <x v="1"/>
    <x v="3"/>
    <x v="69"/>
    <x v="18"/>
    <x v="54"/>
    <x v="2"/>
    <x v="0"/>
    <x v="0"/>
    <x v="12"/>
    <x v="0"/>
    <x v="10"/>
    <x v="10"/>
    <x v="0"/>
    <x v="16"/>
    <x v="6"/>
    <x v="20"/>
    <x v="31"/>
    <x v="0"/>
    <x v="0"/>
    <x v="0"/>
    <x v="0"/>
  </r>
  <r>
    <x v="1"/>
    <x v="3"/>
    <x v="66"/>
    <x v="20"/>
    <x v="38"/>
    <x v="2"/>
    <x v="0"/>
    <x v="0"/>
    <x v="13"/>
    <x v="0"/>
    <x v="10"/>
    <x v="10"/>
    <x v="0"/>
    <x v="16"/>
    <x v="6"/>
    <x v="20"/>
    <x v="34"/>
    <x v="0"/>
    <x v="4"/>
    <x v="0"/>
    <x v="0"/>
  </r>
  <r>
    <x v="1"/>
    <x v="3"/>
    <x v="67"/>
    <x v="20"/>
    <x v="38"/>
    <x v="2"/>
    <x v="0"/>
    <x v="0"/>
    <x v="13"/>
    <x v="0"/>
    <x v="10"/>
    <x v="10"/>
    <x v="0"/>
    <x v="16"/>
    <x v="6"/>
    <x v="20"/>
    <x v="34"/>
    <x v="0"/>
    <x v="4"/>
    <x v="0"/>
    <x v="0"/>
  </r>
  <r>
    <x v="1"/>
    <x v="3"/>
    <x v="72"/>
    <x v="19"/>
    <x v="44"/>
    <x v="2"/>
    <x v="0"/>
    <x v="0"/>
    <x v="13"/>
    <x v="0"/>
    <x v="10"/>
    <x v="10"/>
    <x v="0"/>
    <x v="16"/>
    <x v="6"/>
    <x v="20"/>
    <x v="33"/>
    <x v="0"/>
    <x v="2"/>
    <x v="0"/>
    <x v="0"/>
  </r>
  <r>
    <x v="1"/>
    <x v="3"/>
    <x v="73"/>
    <x v="19"/>
    <x v="44"/>
    <x v="2"/>
    <x v="0"/>
    <x v="0"/>
    <x v="13"/>
    <x v="0"/>
    <x v="10"/>
    <x v="10"/>
    <x v="0"/>
    <x v="16"/>
    <x v="6"/>
    <x v="20"/>
    <x v="33"/>
    <x v="0"/>
    <x v="2"/>
    <x v="0"/>
    <x v="0"/>
  </r>
  <r>
    <x v="1"/>
    <x v="3"/>
    <x v="295"/>
    <x v="40"/>
    <x v="5"/>
    <x v="2"/>
    <x v="0"/>
    <x v="0"/>
    <x v="2"/>
    <x v="0"/>
    <x v="23"/>
    <x v="10"/>
    <x v="0"/>
    <x v="16"/>
    <x v="6"/>
    <x v="2"/>
    <x v="25"/>
    <x v="1"/>
    <x v="38"/>
    <x v="0"/>
    <x v="0"/>
  </r>
  <r>
    <x v="1"/>
    <x v="3"/>
    <x v="296"/>
    <x v="40"/>
    <x v="6"/>
    <x v="2"/>
    <x v="0"/>
    <x v="0"/>
    <x v="2"/>
    <x v="0"/>
    <x v="23"/>
    <x v="10"/>
    <x v="0"/>
    <x v="16"/>
    <x v="6"/>
    <x v="2"/>
    <x v="28"/>
    <x v="1"/>
    <x v="40"/>
    <x v="0"/>
    <x v="0"/>
  </r>
  <r>
    <x v="1"/>
    <x v="3"/>
    <x v="272"/>
    <x v="36"/>
    <x v="4"/>
    <x v="2"/>
    <x v="0"/>
    <x v="0"/>
    <x v="5"/>
    <x v="0"/>
    <x v="23"/>
    <x v="10"/>
    <x v="0"/>
    <x v="16"/>
    <x v="6"/>
    <x v="2"/>
    <x v="32"/>
    <x v="1"/>
    <x v="42"/>
    <x v="0"/>
    <x v="0"/>
  </r>
  <r>
    <x v="1"/>
    <x v="3"/>
    <x v="271"/>
    <x v="36"/>
    <x v="55"/>
    <x v="2"/>
    <x v="0"/>
    <x v="0"/>
    <x v="11"/>
    <x v="0"/>
    <x v="23"/>
    <x v="10"/>
    <x v="0"/>
    <x v="16"/>
    <x v="6"/>
    <x v="2"/>
    <x v="34"/>
    <x v="1"/>
    <x v="43"/>
    <x v="0"/>
    <x v="0"/>
  </r>
  <r>
    <x v="2"/>
    <x v="3"/>
    <x v="332"/>
    <x v="122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316"/>
    <x v="50"/>
    <x v="55"/>
    <x v="2"/>
    <x v="0"/>
    <x v="0"/>
    <x v="11"/>
    <x v="0"/>
    <x v="9"/>
    <x v="10"/>
    <x v="0"/>
    <x v="16"/>
    <x v="6"/>
    <x v="10"/>
    <x v="7"/>
    <x v="1"/>
    <x v="10"/>
    <x v="0"/>
    <x v="0"/>
  </r>
  <r>
    <x v="1"/>
    <x v="3"/>
    <x v="317"/>
    <x v="50"/>
    <x v="55"/>
    <x v="2"/>
    <x v="0"/>
    <x v="0"/>
    <x v="11"/>
    <x v="0"/>
    <x v="9"/>
    <x v="10"/>
    <x v="0"/>
    <x v="16"/>
    <x v="6"/>
    <x v="10"/>
    <x v="7"/>
    <x v="1"/>
    <x v="10"/>
    <x v="0"/>
    <x v="0"/>
  </r>
  <r>
    <x v="1"/>
    <x v="3"/>
    <x v="318"/>
    <x v="50"/>
    <x v="55"/>
    <x v="2"/>
    <x v="0"/>
    <x v="0"/>
    <x v="11"/>
    <x v="0"/>
    <x v="9"/>
    <x v="10"/>
    <x v="0"/>
    <x v="16"/>
    <x v="6"/>
    <x v="10"/>
    <x v="7"/>
    <x v="1"/>
    <x v="10"/>
    <x v="0"/>
    <x v="0"/>
  </r>
  <r>
    <x v="1"/>
    <x v="3"/>
    <x v="319"/>
    <x v="50"/>
    <x v="55"/>
    <x v="2"/>
    <x v="0"/>
    <x v="0"/>
    <x v="11"/>
    <x v="0"/>
    <x v="9"/>
    <x v="10"/>
    <x v="0"/>
    <x v="16"/>
    <x v="6"/>
    <x v="10"/>
    <x v="7"/>
    <x v="1"/>
    <x v="10"/>
    <x v="0"/>
    <x v="0"/>
  </r>
  <r>
    <x v="1"/>
    <x v="3"/>
    <x v="320"/>
    <x v="50"/>
    <x v="55"/>
    <x v="2"/>
    <x v="0"/>
    <x v="0"/>
    <x v="11"/>
    <x v="0"/>
    <x v="9"/>
    <x v="10"/>
    <x v="0"/>
    <x v="16"/>
    <x v="6"/>
    <x v="10"/>
    <x v="7"/>
    <x v="1"/>
    <x v="10"/>
    <x v="0"/>
    <x v="0"/>
  </r>
  <r>
    <x v="1"/>
    <x v="3"/>
    <x v="321"/>
    <x v="50"/>
    <x v="55"/>
    <x v="2"/>
    <x v="0"/>
    <x v="0"/>
    <x v="11"/>
    <x v="0"/>
    <x v="9"/>
    <x v="10"/>
    <x v="0"/>
    <x v="16"/>
    <x v="6"/>
    <x v="10"/>
    <x v="7"/>
    <x v="1"/>
    <x v="10"/>
    <x v="0"/>
    <x v="0"/>
  </r>
  <r>
    <x v="2"/>
    <x v="3"/>
    <x v="332"/>
    <x v="81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188"/>
    <x v="113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189"/>
    <x v="113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125"/>
    <x v="53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126"/>
    <x v="54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186"/>
    <x v="51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187"/>
    <x v="52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64"/>
    <x v="22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65"/>
    <x v="23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49"/>
    <x v="2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50"/>
    <x v="3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109"/>
    <x v="57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110"/>
    <x v="57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111"/>
    <x v="57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112"/>
    <x v="57"/>
    <x v="43"/>
    <x v="2"/>
    <x v="0"/>
    <x v="0"/>
    <x v="13"/>
    <x v="0"/>
    <x v="14"/>
    <x v="1"/>
    <x v="0"/>
    <x v="16"/>
    <x v="6"/>
    <x v="21"/>
    <x v="29"/>
    <x v="0"/>
    <x v="45"/>
    <x v="0"/>
    <x v="0"/>
  </r>
  <r>
    <x v="1"/>
    <x v="3"/>
    <x v="113"/>
    <x v="58"/>
    <x v="43"/>
    <x v="2"/>
    <x v="0"/>
    <x v="0"/>
    <x v="13"/>
    <x v="0"/>
    <x v="14"/>
    <x v="1"/>
    <x v="0"/>
    <x v="16"/>
    <x v="6"/>
    <x v="21"/>
    <x v="26"/>
    <x v="0"/>
    <x v="45"/>
    <x v="0"/>
    <x v="0"/>
  </r>
  <r>
    <x v="1"/>
    <x v="3"/>
    <x v="114"/>
    <x v="58"/>
    <x v="43"/>
    <x v="2"/>
    <x v="0"/>
    <x v="0"/>
    <x v="13"/>
    <x v="0"/>
    <x v="14"/>
    <x v="1"/>
    <x v="0"/>
    <x v="16"/>
    <x v="6"/>
    <x v="21"/>
    <x v="26"/>
    <x v="0"/>
    <x v="45"/>
    <x v="0"/>
    <x v="0"/>
  </r>
  <r>
    <x v="0"/>
    <x v="3"/>
    <x v="332"/>
    <x v="90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2"/>
    <x v="3"/>
    <x v="332"/>
    <x v="67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2"/>
    <x v="3"/>
    <x v="332"/>
    <x v="133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313"/>
    <x v="8"/>
    <x v="43"/>
    <x v="3"/>
    <x v="0"/>
    <x v="0"/>
    <x v="13"/>
    <x v="0"/>
    <x v="16"/>
    <x v="0"/>
    <x v="1"/>
    <x v="13"/>
    <x v="6"/>
    <x v="4"/>
    <x v="29"/>
    <x v="1"/>
    <x v="37"/>
    <x v="0"/>
    <x v="0"/>
  </r>
  <r>
    <x v="1"/>
    <x v="3"/>
    <x v="315"/>
    <x v="9"/>
    <x v="43"/>
    <x v="3"/>
    <x v="0"/>
    <x v="0"/>
    <x v="13"/>
    <x v="0"/>
    <x v="16"/>
    <x v="0"/>
    <x v="1"/>
    <x v="13"/>
    <x v="6"/>
    <x v="4"/>
    <x v="29"/>
    <x v="1"/>
    <x v="37"/>
    <x v="0"/>
    <x v="0"/>
  </r>
  <r>
    <x v="1"/>
    <x v="3"/>
    <x v="314"/>
    <x v="7"/>
    <x v="43"/>
    <x v="3"/>
    <x v="0"/>
    <x v="0"/>
    <x v="13"/>
    <x v="0"/>
    <x v="16"/>
    <x v="6"/>
    <x v="0"/>
    <x v="16"/>
    <x v="6"/>
    <x v="19"/>
    <x v="29"/>
    <x v="0"/>
    <x v="5"/>
    <x v="0"/>
    <x v="0"/>
  </r>
  <r>
    <x v="2"/>
    <x v="3"/>
    <x v="332"/>
    <x v="132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308"/>
    <x v="131"/>
    <x v="2"/>
    <x v="3"/>
    <x v="0"/>
    <x v="0"/>
    <x v="14"/>
    <x v="0"/>
    <x v="16"/>
    <x v="5"/>
    <x v="1"/>
    <x v="13"/>
    <x v="6"/>
    <x v="4"/>
    <x v="33"/>
    <x v="1"/>
    <x v="41"/>
    <x v="0"/>
    <x v="0"/>
  </r>
  <r>
    <x v="1"/>
    <x v="3"/>
    <x v="309"/>
    <x v="10"/>
    <x v="43"/>
    <x v="3"/>
    <x v="0"/>
    <x v="0"/>
    <x v="13"/>
    <x v="0"/>
    <x v="16"/>
    <x v="6"/>
    <x v="1"/>
    <x v="13"/>
    <x v="6"/>
    <x v="4"/>
    <x v="29"/>
    <x v="1"/>
    <x v="37"/>
    <x v="0"/>
    <x v="0"/>
  </r>
  <r>
    <x v="1"/>
    <x v="3"/>
    <x v="310"/>
    <x v="6"/>
    <x v="9"/>
    <x v="3"/>
    <x v="0"/>
    <x v="0"/>
    <x v="10"/>
    <x v="0"/>
    <x v="16"/>
    <x v="5"/>
    <x v="1"/>
    <x v="13"/>
    <x v="6"/>
    <x v="4"/>
    <x v="30"/>
    <x v="1"/>
    <x v="39"/>
    <x v="0"/>
    <x v="0"/>
  </r>
  <r>
    <x v="1"/>
    <x v="3"/>
    <x v="311"/>
    <x v="11"/>
    <x v="43"/>
    <x v="3"/>
    <x v="0"/>
    <x v="0"/>
    <x v="13"/>
    <x v="0"/>
    <x v="16"/>
    <x v="6"/>
    <x v="1"/>
    <x v="13"/>
    <x v="6"/>
    <x v="4"/>
    <x v="29"/>
    <x v="1"/>
    <x v="37"/>
    <x v="0"/>
    <x v="0"/>
  </r>
  <r>
    <x v="1"/>
    <x v="3"/>
    <x v="312"/>
    <x v="130"/>
    <x v="10"/>
    <x v="3"/>
    <x v="0"/>
    <x v="0"/>
    <x v="9"/>
    <x v="0"/>
    <x v="16"/>
    <x v="5"/>
    <x v="1"/>
    <x v="13"/>
    <x v="6"/>
    <x v="4"/>
    <x v="30"/>
    <x v="1"/>
    <x v="39"/>
    <x v="0"/>
    <x v="0"/>
  </r>
  <r>
    <x v="0"/>
    <x v="3"/>
    <x v="332"/>
    <x v="48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2"/>
    <x v="3"/>
    <x v="332"/>
    <x v="129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277"/>
    <x v="120"/>
    <x v="33"/>
    <x v="2"/>
    <x v="0"/>
    <x v="0"/>
    <x v="8"/>
    <x v="0"/>
    <x v="3"/>
    <x v="10"/>
    <x v="0"/>
    <x v="16"/>
    <x v="6"/>
    <x v="4"/>
    <x v="18"/>
    <x v="1"/>
    <x v="36"/>
    <x v="0"/>
    <x v="0"/>
  </r>
  <r>
    <x v="1"/>
    <x v="3"/>
    <x v="278"/>
    <x v="119"/>
    <x v="29"/>
    <x v="2"/>
    <x v="0"/>
    <x v="0"/>
    <x v="10"/>
    <x v="0"/>
    <x v="3"/>
    <x v="10"/>
    <x v="0"/>
    <x v="16"/>
    <x v="6"/>
    <x v="4"/>
    <x v="18"/>
    <x v="1"/>
    <x v="36"/>
    <x v="0"/>
    <x v="0"/>
  </r>
  <r>
    <x v="1"/>
    <x v="3"/>
    <x v="279"/>
    <x v="115"/>
    <x v="41"/>
    <x v="2"/>
    <x v="0"/>
    <x v="0"/>
    <x v="10"/>
    <x v="0"/>
    <x v="3"/>
    <x v="10"/>
    <x v="0"/>
    <x v="16"/>
    <x v="6"/>
    <x v="4"/>
    <x v="18"/>
    <x v="1"/>
    <x v="36"/>
    <x v="0"/>
    <x v="0"/>
  </r>
  <r>
    <x v="1"/>
    <x v="3"/>
    <x v="280"/>
    <x v="117"/>
    <x v="35"/>
    <x v="2"/>
    <x v="0"/>
    <x v="0"/>
    <x v="10"/>
    <x v="0"/>
    <x v="3"/>
    <x v="10"/>
    <x v="0"/>
    <x v="16"/>
    <x v="6"/>
    <x v="4"/>
    <x v="18"/>
    <x v="1"/>
    <x v="36"/>
    <x v="0"/>
    <x v="0"/>
  </r>
  <r>
    <x v="1"/>
    <x v="3"/>
    <x v="281"/>
    <x v="116"/>
    <x v="7"/>
    <x v="2"/>
    <x v="0"/>
    <x v="0"/>
    <x v="10"/>
    <x v="0"/>
    <x v="3"/>
    <x v="10"/>
    <x v="0"/>
    <x v="16"/>
    <x v="6"/>
    <x v="4"/>
    <x v="18"/>
    <x v="1"/>
    <x v="36"/>
    <x v="0"/>
    <x v="0"/>
  </r>
  <r>
    <x v="1"/>
    <x v="3"/>
    <x v="282"/>
    <x v="115"/>
    <x v="1"/>
    <x v="2"/>
    <x v="0"/>
    <x v="0"/>
    <x v="0"/>
    <x v="0"/>
    <x v="3"/>
    <x v="10"/>
    <x v="0"/>
    <x v="16"/>
    <x v="6"/>
    <x v="4"/>
    <x v="18"/>
    <x v="1"/>
    <x v="36"/>
    <x v="0"/>
    <x v="0"/>
  </r>
  <r>
    <x v="1"/>
    <x v="3"/>
    <x v="283"/>
    <x v="114"/>
    <x v="40"/>
    <x v="2"/>
    <x v="0"/>
    <x v="0"/>
    <x v="10"/>
    <x v="0"/>
    <x v="3"/>
    <x v="10"/>
    <x v="0"/>
    <x v="16"/>
    <x v="6"/>
    <x v="4"/>
    <x v="18"/>
    <x v="1"/>
    <x v="36"/>
    <x v="0"/>
    <x v="0"/>
  </r>
  <r>
    <x v="1"/>
    <x v="3"/>
    <x v="284"/>
    <x v="118"/>
    <x v="34"/>
    <x v="2"/>
    <x v="0"/>
    <x v="0"/>
    <x v="9"/>
    <x v="0"/>
    <x v="3"/>
    <x v="10"/>
    <x v="0"/>
    <x v="16"/>
    <x v="6"/>
    <x v="4"/>
    <x v="18"/>
    <x v="1"/>
    <x v="36"/>
    <x v="0"/>
    <x v="0"/>
  </r>
  <r>
    <x v="1"/>
    <x v="3"/>
    <x v="285"/>
    <x v="118"/>
    <x v="34"/>
    <x v="2"/>
    <x v="0"/>
    <x v="0"/>
    <x v="9"/>
    <x v="0"/>
    <x v="3"/>
    <x v="10"/>
    <x v="0"/>
    <x v="16"/>
    <x v="6"/>
    <x v="4"/>
    <x v="18"/>
    <x v="1"/>
    <x v="36"/>
    <x v="0"/>
    <x v="0"/>
  </r>
  <r>
    <x v="1"/>
    <x v="3"/>
    <x v="286"/>
    <x v="120"/>
    <x v="50"/>
    <x v="2"/>
    <x v="0"/>
    <x v="0"/>
    <x v="13"/>
    <x v="0"/>
    <x v="3"/>
    <x v="10"/>
    <x v="0"/>
    <x v="16"/>
    <x v="6"/>
    <x v="4"/>
    <x v="18"/>
    <x v="1"/>
    <x v="36"/>
    <x v="0"/>
    <x v="0"/>
  </r>
  <r>
    <x v="1"/>
    <x v="3"/>
    <x v="287"/>
    <x v="120"/>
    <x v="52"/>
    <x v="2"/>
    <x v="0"/>
    <x v="0"/>
    <x v="13"/>
    <x v="0"/>
    <x v="3"/>
    <x v="10"/>
    <x v="0"/>
    <x v="16"/>
    <x v="6"/>
    <x v="4"/>
    <x v="18"/>
    <x v="1"/>
    <x v="36"/>
    <x v="0"/>
    <x v="0"/>
  </r>
  <r>
    <x v="1"/>
    <x v="3"/>
    <x v="288"/>
    <x v="115"/>
    <x v="30"/>
    <x v="2"/>
    <x v="0"/>
    <x v="0"/>
    <x v="9"/>
    <x v="0"/>
    <x v="3"/>
    <x v="10"/>
    <x v="0"/>
    <x v="16"/>
    <x v="6"/>
    <x v="4"/>
    <x v="18"/>
    <x v="1"/>
    <x v="36"/>
    <x v="0"/>
    <x v="0"/>
  </r>
  <r>
    <x v="1"/>
    <x v="3"/>
    <x v="289"/>
    <x v="115"/>
    <x v="42"/>
    <x v="2"/>
    <x v="0"/>
    <x v="0"/>
    <x v="9"/>
    <x v="0"/>
    <x v="3"/>
    <x v="10"/>
    <x v="0"/>
    <x v="16"/>
    <x v="6"/>
    <x v="4"/>
    <x v="18"/>
    <x v="1"/>
    <x v="36"/>
    <x v="0"/>
    <x v="0"/>
  </r>
  <r>
    <x v="1"/>
    <x v="3"/>
    <x v="290"/>
    <x v="117"/>
    <x v="8"/>
    <x v="2"/>
    <x v="0"/>
    <x v="0"/>
    <x v="9"/>
    <x v="0"/>
    <x v="3"/>
    <x v="10"/>
    <x v="0"/>
    <x v="16"/>
    <x v="6"/>
    <x v="4"/>
    <x v="18"/>
    <x v="1"/>
    <x v="36"/>
    <x v="0"/>
    <x v="0"/>
  </r>
  <r>
    <x v="2"/>
    <x v="3"/>
    <x v="332"/>
    <x v="125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263"/>
    <x v="127"/>
    <x v="54"/>
    <x v="2"/>
    <x v="0"/>
    <x v="0"/>
    <x v="12"/>
    <x v="0"/>
    <x v="3"/>
    <x v="10"/>
    <x v="0"/>
    <x v="16"/>
    <x v="6"/>
    <x v="9"/>
    <x v="7"/>
    <x v="1"/>
    <x v="15"/>
    <x v="0"/>
    <x v="0"/>
  </r>
  <r>
    <x v="1"/>
    <x v="3"/>
    <x v="264"/>
    <x v="128"/>
    <x v="54"/>
    <x v="2"/>
    <x v="0"/>
    <x v="0"/>
    <x v="12"/>
    <x v="0"/>
    <x v="3"/>
    <x v="10"/>
    <x v="0"/>
    <x v="16"/>
    <x v="6"/>
    <x v="9"/>
    <x v="7"/>
    <x v="1"/>
    <x v="15"/>
    <x v="0"/>
    <x v="0"/>
  </r>
  <r>
    <x v="1"/>
    <x v="3"/>
    <x v="265"/>
    <x v="126"/>
    <x v="54"/>
    <x v="2"/>
    <x v="0"/>
    <x v="0"/>
    <x v="12"/>
    <x v="0"/>
    <x v="3"/>
    <x v="10"/>
    <x v="0"/>
    <x v="16"/>
    <x v="6"/>
    <x v="9"/>
    <x v="7"/>
    <x v="1"/>
    <x v="15"/>
    <x v="0"/>
    <x v="0"/>
  </r>
  <r>
    <x v="1"/>
    <x v="3"/>
    <x v="266"/>
    <x v="126"/>
    <x v="54"/>
    <x v="2"/>
    <x v="0"/>
    <x v="0"/>
    <x v="12"/>
    <x v="0"/>
    <x v="3"/>
    <x v="10"/>
    <x v="0"/>
    <x v="16"/>
    <x v="6"/>
    <x v="9"/>
    <x v="7"/>
    <x v="1"/>
    <x v="15"/>
    <x v="0"/>
    <x v="0"/>
  </r>
  <r>
    <x v="2"/>
    <x v="3"/>
    <x v="332"/>
    <x v="0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107"/>
    <x v="64"/>
    <x v="55"/>
    <x v="2"/>
    <x v="0"/>
    <x v="0"/>
    <x v="11"/>
    <x v="0"/>
    <x v="3"/>
    <x v="10"/>
    <x v="0"/>
    <x v="16"/>
    <x v="6"/>
    <x v="9"/>
    <x v="7"/>
    <x v="1"/>
    <x v="15"/>
    <x v="0"/>
    <x v="0"/>
  </r>
  <r>
    <x v="1"/>
    <x v="3"/>
    <x v="108"/>
    <x v="64"/>
    <x v="55"/>
    <x v="2"/>
    <x v="0"/>
    <x v="0"/>
    <x v="11"/>
    <x v="0"/>
    <x v="3"/>
    <x v="10"/>
    <x v="0"/>
    <x v="16"/>
    <x v="6"/>
    <x v="9"/>
    <x v="7"/>
    <x v="1"/>
    <x v="15"/>
    <x v="0"/>
    <x v="0"/>
  </r>
  <r>
    <x v="1"/>
    <x v="3"/>
    <x v="332"/>
    <x v="13"/>
    <x v="55"/>
    <x v="2"/>
    <x v="0"/>
    <x v="0"/>
    <x v="11"/>
    <x v="0"/>
    <x v="3"/>
    <x v="10"/>
    <x v="0"/>
    <x v="16"/>
    <x v="6"/>
    <x v="9"/>
    <x v="7"/>
    <x v="1"/>
    <x v="15"/>
    <x v="0"/>
    <x v="0"/>
  </r>
  <r>
    <x v="0"/>
    <x v="3"/>
    <x v="332"/>
    <x v="47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3"/>
    <x v="43"/>
    <x v="121"/>
    <x v="55"/>
    <x v="2"/>
    <x v="0"/>
    <x v="0"/>
    <x v="11"/>
    <x v="0"/>
    <x v="3"/>
    <x v="0"/>
    <x v="1"/>
    <x v="11"/>
    <x v="6"/>
    <x v="18"/>
    <x v="31"/>
    <x v="0"/>
    <x v="7"/>
    <x v="0"/>
    <x v="0"/>
  </r>
  <r>
    <x v="1"/>
    <x v="3"/>
    <x v="44"/>
    <x v="121"/>
    <x v="55"/>
    <x v="2"/>
    <x v="0"/>
    <x v="0"/>
    <x v="11"/>
    <x v="0"/>
    <x v="3"/>
    <x v="0"/>
    <x v="1"/>
    <x v="11"/>
    <x v="6"/>
    <x v="18"/>
    <x v="31"/>
    <x v="0"/>
    <x v="7"/>
    <x v="0"/>
    <x v="0"/>
  </r>
  <r>
    <x v="1"/>
    <x v="3"/>
    <x v="276"/>
    <x v="34"/>
    <x v="51"/>
    <x v="2"/>
    <x v="0"/>
    <x v="0"/>
    <x v="11"/>
    <x v="0"/>
    <x v="23"/>
    <x v="6"/>
    <x v="0"/>
    <x v="16"/>
    <x v="6"/>
    <x v="17"/>
    <x v="31"/>
    <x v="1"/>
    <x v="22"/>
    <x v="0"/>
    <x v="0"/>
  </r>
  <r>
    <x v="1"/>
    <x v="3"/>
    <x v="300"/>
    <x v="42"/>
    <x v="51"/>
    <x v="2"/>
    <x v="0"/>
    <x v="0"/>
    <x v="11"/>
    <x v="0"/>
    <x v="23"/>
    <x v="6"/>
    <x v="0"/>
    <x v="16"/>
    <x v="6"/>
    <x v="17"/>
    <x v="31"/>
    <x v="1"/>
    <x v="22"/>
    <x v="0"/>
    <x v="0"/>
  </r>
  <r>
    <x v="1"/>
    <x v="3"/>
    <x v="274"/>
    <x v="35"/>
    <x v="55"/>
    <x v="2"/>
    <x v="0"/>
    <x v="0"/>
    <x v="11"/>
    <x v="0"/>
    <x v="23"/>
    <x v="6"/>
    <x v="0"/>
    <x v="16"/>
    <x v="6"/>
    <x v="15"/>
    <x v="31"/>
    <x v="1"/>
    <x v="29"/>
    <x v="0"/>
    <x v="0"/>
  </r>
  <r>
    <x v="1"/>
    <x v="3"/>
    <x v="298"/>
    <x v="39"/>
    <x v="45"/>
    <x v="2"/>
    <x v="0"/>
    <x v="0"/>
    <x v="4"/>
    <x v="0"/>
    <x v="23"/>
    <x v="6"/>
    <x v="0"/>
    <x v="16"/>
    <x v="6"/>
    <x v="15"/>
    <x v="22"/>
    <x v="1"/>
    <x v="18"/>
    <x v="0"/>
    <x v="0"/>
  </r>
  <r>
    <x v="1"/>
    <x v="3"/>
    <x v="275"/>
    <x v="35"/>
    <x v="55"/>
    <x v="2"/>
    <x v="0"/>
    <x v="0"/>
    <x v="11"/>
    <x v="0"/>
    <x v="23"/>
    <x v="6"/>
    <x v="0"/>
    <x v="16"/>
    <x v="6"/>
    <x v="15"/>
    <x v="31"/>
    <x v="1"/>
    <x v="29"/>
    <x v="0"/>
    <x v="0"/>
  </r>
  <r>
    <x v="1"/>
    <x v="3"/>
    <x v="299"/>
    <x v="39"/>
    <x v="45"/>
    <x v="2"/>
    <x v="0"/>
    <x v="0"/>
    <x v="4"/>
    <x v="0"/>
    <x v="23"/>
    <x v="6"/>
    <x v="0"/>
    <x v="16"/>
    <x v="6"/>
    <x v="15"/>
    <x v="22"/>
    <x v="1"/>
    <x v="18"/>
    <x v="0"/>
    <x v="0"/>
  </r>
  <r>
    <x v="1"/>
    <x v="3"/>
    <x v="267"/>
    <x v="37"/>
    <x v="54"/>
    <x v="2"/>
    <x v="0"/>
    <x v="0"/>
    <x v="12"/>
    <x v="0"/>
    <x v="23"/>
    <x v="6"/>
    <x v="0"/>
    <x v="16"/>
    <x v="6"/>
    <x v="15"/>
    <x v="31"/>
    <x v="1"/>
    <x v="29"/>
    <x v="0"/>
    <x v="0"/>
  </r>
  <r>
    <x v="1"/>
    <x v="3"/>
    <x v="291"/>
    <x v="41"/>
    <x v="32"/>
    <x v="2"/>
    <x v="0"/>
    <x v="0"/>
    <x v="13"/>
    <x v="0"/>
    <x v="23"/>
    <x v="6"/>
    <x v="0"/>
    <x v="16"/>
    <x v="6"/>
    <x v="15"/>
    <x v="33"/>
    <x v="1"/>
    <x v="31"/>
    <x v="0"/>
    <x v="0"/>
  </r>
  <r>
    <x v="1"/>
    <x v="3"/>
    <x v="268"/>
    <x v="37"/>
    <x v="54"/>
    <x v="2"/>
    <x v="0"/>
    <x v="0"/>
    <x v="12"/>
    <x v="0"/>
    <x v="23"/>
    <x v="6"/>
    <x v="0"/>
    <x v="16"/>
    <x v="6"/>
    <x v="15"/>
    <x v="31"/>
    <x v="1"/>
    <x v="29"/>
    <x v="0"/>
    <x v="0"/>
  </r>
  <r>
    <x v="1"/>
    <x v="3"/>
    <x v="292"/>
    <x v="41"/>
    <x v="32"/>
    <x v="2"/>
    <x v="0"/>
    <x v="0"/>
    <x v="13"/>
    <x v="0"/>
    <x v="23"/>
    <x v="6"/>
    <x v="0"/>
    <x v="16"/>
    <x v="6"/>
    <x v="17"/>
    <x v="33"/>
    <x v="1"/>
    <x v="24"/>
    <x v="0"/>
    <x v="0"/>
  </r>
  <r>
    <x v="1"/>
    <x v="3"/>
    <x v="269"/>
    <x v="34"/>
    <x v="36"/>
    <x v="2"/>
    <x v="0"/>
    <x v="0"/>
    <x v="3"/>
    <x v="0"/>
    <x v="23"/>
    <x v="6"/>
    <x v="0"/>
    <x v="16"/>
    <x v="6"/>
    <x v="17"/>
    <x v="29"/>
    <x v="1"/>
    <x v="18"/>
    <x v="0"/>
    <x v="0"/>
  </r>
  <r>
    <x v="1"/>
    <x v="3"/>
    <x v="293"/>
    <x v="42"/>
    <x v="37"/>
    <x v="2"/>
    <x v="0"/>
    <x v="0"/>
    <x v="13"/>
    <x v="0"/>
    <x v="23"/>
    <x v="6"/>
    <x v="0"/>
    <x v="16"/>
    <x v="6"/>
    <x v="17"/>
    <x v="34"/>
    <x v="1"/>
    <x v="27"/>
    <x v="0"/>
    <x v="0"/>
  </r>
  <r>
    <x v="1"/>
    <x v="3"/>
    <x v="270"/>
    <x v="34"/>
    <x v="36"/>
    <x v="2"/>
    <x v="0"/>
    <x v="0"/>
    <x v="3"/>
    <x v="0"/>
    <x v="23"/>
    <x v="6"/>
    <x v="0"/>
    <x v="16"/>
    <x v="6"/>
    <x v="17"/>
    <x v="29"/>
    <x v="1"/>
    <x v="18"/>
    <x v="0"/>
    <x v="0"/>
  </r>
  <r>
    <x v="1"/>
    <x v="3"/>
    <x v="294"/>
    <x v="42"/>
    <x v="37"/>
    <x v="2"/>
    <x v="0"/>
    <x v="0"/>
    <x v="13"/>
    <x v="0"/>
    <x v="23"/>
    <x v="6"/>
    <x v="0"/>
    <x v="16"/>
    <x v="6"/>
    <x v="17"/>
    <x v="34"/>
    <x v="1"/>
    <x v="27"/>
    <x v="0"/>
    <x v="0"/>
  </r>
  <r>
    <x v="1"/>
    <x v="3"/>
    <x v="273"/>
    <x v="33"/>
    <x v="3"/>
    <x v="2"/>
    <x v="0"/>
    <x v="0"/>
    <x v="6"/>
    <x v="0"/>
    <x v="23"/>
    <x v="6"/>
    <x v="0"/>
    <x v="16"/>
    <x v="6"/>
    <x v="9"/>
    <x v="29"/>
    <x v="1"/>
    <x v="35"/>
    <x v="0"/>
    <x v="0"/>
  </r>
  <r>
    <x v="1"/>
    <x v="3"/>
    <x v="297"/>
    <x v="38"/>
    <x v="11"/>
    <x v="2"/>
    <x v="0"/>
    <x v="0"/>
    <x v="3"/>
    <x v="0"/>
    <x v="23"/>
    <x v="6"/>
    <x v="0"/>
    <x v="16"/>
    <x v="6"/>
    <x v="8"/>
    <x v="5"/>
    <x v="1"/>
    <x v="10"/>
    <x v="0"/>
    <x v="0"/>
  </r>
  <r>
    <x v="0"/>
    <x v="0"/>
    <x v="332"/>
    <x v="43"/>
    <x v="56"/>
    <x v="4"/>
    <x v="21"/>
    <x v="1"/>
    <x v="15"/>
    <x v="2"/>
    <x v="23"/>
    <x v="14"/>
    <x v="2"/>
    <x v="16"/>
    <x v="6"/>
    <x v="22"/>
    <x v="36"/>
    <x v="2"/>
    <x v="46"/>
    <x v="0"/>
    <x v="0"/>
  </r>
  <r>
    <x v="1"/>
    <x v="1"/>
    <x v="122"/>
    <x v="95"/>
    <x v="46"/>
    <x v="2"/>
    <x v="0"/>
    <x v="0"/>
    <x v="4"/>
    <x v="1"/>
    <x v="4"/>
    <x v="14"/>
    <x v="2"/>
    <x v="10"/>
    <x v="6"/>
    <x v="22"/>
    <x v="36"/>
    <x v="2"/>
    <x v="46"/>
    <x v="0"/>
    <x v="0"/>
  </r>
  <r>
    <x v="1"/>
    <x v="1"/>
    <x v="123"/>
    <x v="95"/>
    <x v="47"/>
    <x v="2"/>
    <x v="0"/>
    <x v="0"/>
    <x v="4"/>
    <x v="1"/>
    <x v="4"/>
    <x v="14"/>
    <x v="2"/>
    <x v="10"/>
    <x v="6"/>
    <x v="22"/>
    <x v="36"/>
    <x v="2"/>
    <x v="46"/>
    <x v="0"/>
    <x v="0"/>
  </r>
  <r>
    <x v="1"/>
    <x v="1"/>
    <x v="124"/>
    <x v="95"/>
    <x v="48"/>
    <x v="2"/>
    <x v="0"/>
    <x v="0"/>
    <x v="4"/>
    <x v="1"/>
    <x v="4"/>
    <x v="14"/>
    <x v="2"/>
    <x v="10"/>
    <x v="6"/>
    <x v="22"/>
    <x v="36"/>
    <x v="2"/>
    <x v="46"/>
    <x v="0"/>
    <x v="0"/>
  </r>
  <r>
    <x v="1"/>
    <x v="1"/>
    <x v="134"/>
    <x v="93"/>
    <x v="23"/>
    <x v="2"/>
    <x v="0"/>
    <x v="0"/>
    <x v="4"/>
    <x v="1"/>
    <x v="13"/>
    <x v="14"/>
    <x v="2"/>
    <x v="16"/>
    <x v="6"/>
    <x v="22"/>
    <x v="36"/>
    <x v="2"/>
    <x v="46"/>
    <x v="0"/>
    <x v="0"/>
  </r>
  <r>
    <x v="1"/>
    <x v="1"/>
    <x v="146"/>
    <x v="94"/>
    <x v="23"/>
    <x v="2"/>
    <x v="0"/>
    <x v="0"/>
    <x v="4"/>
    <x v="1"/>
    <x v="13"/>
    <x v="14"/>
    <x v="2"/>
    <x v="16"/>
    <x v="6"/>
    <x v="22"/>
    <x v="36"/>
    <x v="2"/>
    <x v="46"/>
    <x v="0"/>
    <x v="0"/>
  </r>
  <r>
    <x v="1"/>
    <x v="1"/>
    <x v="147"/>
    <x v="94"/>
    <x v="23"/>
    <x v="2"/>
    <x v="0"/>
    <x v="0"/>
    <x v="4"/>
    <x v="1"/>
    <x v="13"/>
    <x v="14"/>
    <x v="2"/>
    <x v="16"/>
    <x v="6"/>
    <x v="22"/>
    <x v="36"/>
    <x v="2"/>
    <x v="46"/>
    <x v="0"/>
    <x v="0"/>
  </r>
  <r>
    <x v="1"/>
    <x v="1"/>
    <x v="148"/>
    <x v="94"/>
    <x v="23"/>
    <x v="2"/>
    <x v="0"/>
    <x v="0"/>
    <x v="4"/>
    <x v="1"/>
    <x v="13"/>
    <x v="14"/>
    <x v="2"/>
    <x v="16"/>
    <x v="6"/>
    <x v="22"/>
    <x v="36"/>
    <x v="2"/>
    <x v="46"/>
    <x v="0"/>
    <x v="0"/>
  </r>
  <r>
    <x v="1"/>
    <x v="1"/>
    <x v="135"/>
    <x v="92"/>
    <x v="45"/>
    <x v="2"/>
    <x v="0"/>
    <x v="0"/>
    <x v="4"/>
    <x v="0"/>
    <x v="19"/>
    <x v="6"/>
    <x v="0"/>
    <x v="16"/>
    <x v="6"/>
    <x v="16"/>
    <x v="19"/>
    <x v="1"/>
    <x v="11"/>
    <x v="0"/>
    <x v="0"/>
  </r>
  <r>
    <x v="1"/>
    <x v="1"/>
    <x v="136"/>
    <x v="92"/>
    <x v="45"/>
    <x v="2"/>
    <x v="0"/>
    <x v="0"/>
    <x v="4"/>
    <x v="0"/>
    <x v="19"/>
    <x v="6"/>
    <x v="0"/>
    <x v="16"/>
    <x v="6"/>
    <x v="16"/>
    <x v="19"/>
    <x v="1"/>
    <x v="11"/>
    <x v="0"/>
    <x v="0"/>
  </r>
  <r>
    <x v="1"/>
    <x v="1"/>
    <x v="137"/>
    <x v="92"/>
    <x v="45"/>
    <x v="2"/>
    <x v="0"/>
    <x v="0"/>
    <x v="4"/>
    <x v="0"/>
    <x v="19"/>
    <x v="6"/>
    <x v="0"/>
    <x v="16"/>
    <x v="6"/>
    <x v="16"/>
    <x v="19"/>
    <x v="1"/>
    <x v="11"/>
    <x v="0"/>
    <x v="0"/>
  </r>
  <r>
    <x v="1"/>
    <x v="1"/>
    <x v="144"/>
    <x v="92"/>
    <x v="45"/>
    <x v="2"/>
    <x v="0"/>
    <x v="0"/>
    <x v="4"/>
    <x v="0"/>
    <x v="19"/>
    <x v="6"/>
    <x v="0"/>
    <x v="16"/>
    <x v="6"/>
    <x v="16"/>
    <x v="19"/>
    <x v="1"/>
    <x v="11"/>
    <x v="0"/>
    <x v="0"/>
  </r>
  <r>
    <x v="1"/>
    <x v="1"/>
    <x v="145"/>
    <x v="92"/>
    <x v="45"/>
    <x v="2"/>
    <x v="0"/>
    <x v="0"/>
    <x v="4"/>
    <x v="0"/>
    <x v="19"/>
    <x v="6"/>
    <x v="0"/>
    <x v="16"/>
    <x v="6"/>
    <x v="16"/>
    <x v="19"/>
    <x v="1"/>
    <x v="11"/>
    <x v="0"/>
    <x v="0"/>
  </r>
  <r>
    <x v="1"/>
    <x v="1"/>
    <x v="127"/>
    <x v="92"/>
    <x v="38"/>
    <x v="2"/>
    <x v="0"/>
    <x v="0"/>
    <x v="13"/>
    <x v="0"/>
    <x v="23"/>
    <x v="8"/>
    <x v="2"/>
    <x v="16"/>
    <x v="6"/>
    <x v="14"/>
    <x v="13"/>
    <x v="1"/>
    <x v="12"/>
    <x v="0"/>
    <x v="0"/>
  </r>
  <r>
    <x v="1"/>
    <x v="1"/>
    <x v="128"/>
    <x v="92"/>
    <x v="38"/>
    <x v="2"/>
    <x v="0"/>
    <x v="0"/>
    <x v="13"/>
    <x v="0"/>
    <x v="19"/>
    <x v="5"/>
    <x v="0"/>
    <x v="16"/>
    <x v="6"/>
    <x v="14"/>
    <x v="13"/>
    <x v="1"/>
    <x v="12"/>
    <x v="0"/>
    <x v="0"/>
  </r>
  <r>
    <x v="1"/>
    <x v="1"/>
    <x v="129"/>
    <x v="82"/>
    <x v="38"/>
    <x v="2"/>
    <x v="0"/>
    <x v="0"/>
    <x v="13"/>
    <x v="0"/>
    <x v="18"/>
    <x v="5"/>
    <x v="0"/>
    <x v="16"/>
    <x v="1"/>
    <x v="13"/>
    <x v="14"/>
    <x v="1"/>
    <x v="16"/>
    <x v="0"/>
    <x v="0"/>
  </r>
  <r>
    <x v="1"/>
    <x v="1"/>
    <x v="130"/>
    <x v="68"/>
    <x v="38"/>
    <x v="2"/>
    <x v="0"/>
    <x v="0"/>
    <x v="13"/>
    <x v="0"/>
    <x v="18"/>
    <x v="5"/>
    <x v="0"/>
    <x v="16"/>
    <x v="1"/>
    <x v="13"/>
    <x v="14"/>
    <x v="1"/>
    <x v="16"/>
    <x v="0"/>
    <x v="0"/>
  </r>
  <r>
    <x v="1"/>
    <x v="1"/>
    <x v="131"/>
    <x v="69"/>
    <x v="38"/>
    <x v="2"/>
    <x v="0"/>
    <x v="0"/>
    <x v="13"/>
    <x v="0"/>
    <x v="18"/>
    <x v="5"/>
    <x v="0"/>
    <x v="16"/>
    <x v="1"/>
    <x v="13"/>
    <x v="14"/>
    <x v="1"/>
    <x v="16"/>
    <x v="0"/>
    <x v="0"/>
  </r>
  <r>
    <x v="1"/>
    <x v="1"/>
    <x v="132"/>
    <x v="73"/>
    <x v="38"/>
    <x v="2"/>
    <x v="1"/>
    <x v="0"/>
    <x v="13"/>
    <x v="0"/>
    <x v="18"/>
    <x v="5"/>
    <x v="0"/>
    <x v="16"/>
    <x v="1"/>
    <x v="13"/>
    <x v="14"/>
    <x v="1"/>
    <x v="16"/>
    <x v="0"/>
    <x v="0"/>
  </r>
  <r>
    <x v="1"/>
    <x v="1"/>
    <x v="133"/>
    <x v="78"/>
    <x v="38"/>
    <x v="2"/>
    <x v="3"/>
    <x v="0"/>
    <x v="13"/>
    <x v="0"/>
    <x v="18"/>
    <x v="5"/>
    <x v="0"/>
    <x v="16"/>
    <x v="1"/>
    <x v="13"/>
    <x v="14"/>
    <x v="1"/>
    <x v="16"/>
    <x v="0"/>
    <x v="0"/>
  </r>
  <r>
    <x v="1"/>
    <x v="1"/>
    <x v="138"/>
    <x v="92"/>
    <x v="23"/>
    <x v="2"/>
    <x v="0"/>
    <x v="0"/>
    <x v="4"/>
    <x v="0"/>
    <x v="19"/>
    <x v="5"/>
    <x v="0"/>
    <x v="16"/>
    <x v="1"/>
    <x v="22"/>
    <x v="21"/>
    <x v="1"/>
    <x v="44"/>
    <x v="0"/>
    <x v="0"/>
  </r>
  <r>
    <x v="1"/>
    <x v="1"/>
    <x v="139"/>
    <x v="82"/>
    <x v="23"/>
    <x v="2"/>
    <x v="0"/>
    <x v="0"/>
    <x v="4"/>
    <x v="0"/>
    <x v="18"/>
    <x v="5"/>
    <x v="0"/>
    <x v="16"/>
    <x v="1"/>
    <x v="13"/>
    <x v="21"/>
    <x v="1"/>
    <x v="25"/>
    <x v="0"/>
    <x v="0"/>
  </r>
  <r>
    <x v="1"/>
    <x v="1"/>
    <x v="140"/>
    <x v="68"/>
    <x v="23"/>
    <x v="2"/>
    <x v="0"/>
    <x v="0"/>
    <x v="4"/>
    <x v="0"/>
    <x v="18"/>
    <x v="5"/>
    <x v="0"/>
    <x v="16"/>
    <x v="1"/>
    <x v="13"/>
    <x v="21"/>
    <x v="1"/>
    <x v="25"/>
    <x v="0"/>
    <x v="0"/>
  </r>
  <r>
    <x v="1"/>
    <x v="1"/>
    <x v="141"/>
    <x v="69"/>
    <x v="23"/>
    <x v="2"/>
    <x v="0"/>
    <x v="0"/>
    <x v="4"/>
    <x v="0"/>
    <x v="18"/>
    <x v="5"/>
    <x v="0"/>
    <x v="16"/>
    <x v="1"/>
    <x v="13"/>
    <x v="21"/>
    <x v="1"/>
    <x v="25"/>
    <x v="0"/>
    <x v="0"/>
  </r>
  <r>
    <x v="1"/>
    <x v="1"/>
    <x v="142"/>
    <x v="73"/>
    <x v="23"/>
    <x v="2"/>
    <x v="1"/>
    <x v="0"/>
    <x v="4"/>
    <x v="0"/>
    <x v="18"/>
    <x v="5"/>
    <x v="0"/>
    <x v="16"/>
    <x v="1"/>
    <x v="13"/>
    <x v="21"/>
    <x v="1"/>
    <x v="25"/>
    <x v="0"/>
    <x v="0"/>
  </r>
  <r>
    <x v="1"/>
    <x v="1"/>
    <x v="143"/>
    <x v="78"/>
    <x v="23"/>
    <x v="2"/>
    <x v="3"/>
    <x v="0"/>
    <x v="4"/>
    <x v="0"/>
    <x v="18"/>
    <x v="5"/>
    <x v="0"/>
    <x v="16"/>
    <x v="1"/>
    <x v="13"/>
    <x v="21"/>
    <x v="1"/>
    <x v="25"/>
    <x v="0"/>
    <x v="0"/>
  </r>
  <r>
    <x v="1"/>
    <x v="0"/>
    <x v="153"/>
    <x v="84"/>
    <x v="23"/>
    <x v="2"/>
    <x v="0"/>
    <x v="0"/>
    <x v="4"/>
    <x v="1"/>
    <x v="23"/>
    <x v="9"/>
    <x v="2"/>
    <x v="16"/>
    <x v="6"/>
    <x v="22"/>
    <x v="36"/>
    <x v="0"/>
    <x v="8"/>
    <x v="0"/>
    <x v="0"/>
  </r>
  <r>
    <x v="1"/>
    <x v="0"/>
    <x v="154"/>
    <x v="84"/>
    <x v="24"/>
    <x v="2"/>
    <x v="0"/>
    <x v="0"/>
    <x v="4"/>
    <x v="1"/>
    <x v="23"/>
    <x v="9"/>
    <x v="2"/>
    <x v="16"/>
    <x v="6"/>
    <x v="22"/>
    <x v="36"/>
    <x v="0"/>
    <x v="8"/>
    <x v="0"/>
    <x v="0"/>
  </r>
  <r>
    <x v="1"/>
    <x v="0"/>
    <x v="156"/>
    <x v="84"/>
    <x v="46"/>
    <x v="2"/>
    <x v="0"/>
    <x v="0"/>
    <x v="4"/>
    <x v="1"/>
    <x v="23"/>
    <x v="9"/>
    <x v="2"/>
    <x v="16"/>
    <x v="6"/>
    <x v="22"/>
    <x v="36"/>
    <x v="0"/>
    <x v="8"/>
    <x v="0"/>
    <x v="0"/>
  </r>
  <r>
    <x v="1"/>
    <x v="2"/>
    <x v="155"/>
    <x v="84"/>
    <x v="45"/>
    <x v="2"/>
    <x v="0"/>
    <x v="0"/>
    <x v="4"/>
    <x v="1"/>
    <x v="23"/>
    <x v="9"/>
    <x v="2"/>
    <x v="16"/>
    <x v="6"/>
    <x v="22"/>
    <x v="36"/>
    <x v="0"/>
    <x v="8"/>
    <x v="0"/>
    <x v="0"/>
  </r>
  <r>
    <x v="1"/>
    <x v="2"/>
    <x v="151"/>
    <x v="84"/>
    <x v="38"/>
    <x v="2"/>
    <x v="0"/>
    <x v="0"/>
    <x v="13"/>
    <x v="1"/>
    <x v="23"/>
    <x v="9"/>
    <x v="2"/>
    <x v="16"/>
    <x v="6"/>
    <x v="22"/>
    <x v="36"/>
    <x v="0"/>
    <x v="8"/>
    <x v="0"/>
    <x v="0"/>
  </r>
  <r>
    <x v="1"/>
    <x v="2"/>
    <x v="152"/>
    <x v="84"/>
    <x v="38"/>
    <x v="2"/>
    <x v="0"/>
    <x v="0"/>
    <x v="13"/>
    <x v="1"/>
    <x v="23"/>
    <x v="9"/>
    <x v="2"/>
    <x v="16"/>
    <x v="6"/>
    <x v="22"/>
    <x v="36"/>
    <x v="0"/>
    <x v="8"/>
    <x v="0"/>
    <x v="0"/>
  </r>
  <r>
    <x v="1"/>
    <x v="8"/>
    <x v="159"/>
    <x v="84"/>
    <x v="38"/>
    <x v="2"/>
    <x v="0"/>
    <x v="0"/>
    <x v="13"/>
    <x v="1"/>
    <x v="23"/>
    <x v="9"/>
    <x v="2"/>
    <x v="16"/>
    <x v="6"/>
    <x v="22"/>
    <x v="36"/>
    <x v="0"/>
    <x v="8"/>
    <x v="0"/>
    <x v="0"/>
  </r>
  <r>
    <x v="1"/>
    <x v="8"/>
    <x v="160"/>
    <x v="84"/>
    <x v="38"/>
    <x v="2"/>
    <x v="0"/>
    <x v="0"/>
    <x v="13"/>
    <x v="1"/>
    <x v="23"/>
    <x v="9"/>
    <x v="2"/>
    <x v="16"/>
    <x v="6"/>
    <x v="22"/>
    <x v="36"/>
    <x v="0"/>
    <x v="8"/>
    <x v="0"/>
    <x v="0"/>
  </r>
  <r>
    <x v="1"/>
    <x v="7"/>
    <x v="157"/>
    <x v="84"/>
    <x v="38"/>
    <x v="2"/>
    <x v="0"/>
    <x v="0"/>
    <x v="13"/>
    <x v="1"/>
    <x v="23"/>
    <x v="9"/>
    <x v="2"/>
    <x v="16"/>
    <x v="6"/>
    <x v="22"/>
    <x v="36"/>
    <x v="0"/>
    <x v="8"/>
    <x v="0"/>
    <x v="0"/>
  </r>
  <r>
    <x v="1"/>
    <x v="7"/>
    <x v="158"/>
    <x v="84"/>
    <x v="38"/>
    <x v="2"/>
    <x v="0"/>
    <x v="0"/>
    <x v="13"/>
    <x v="1"/>
    <x v="23"/>
    <x v="9"/>
    <x v="2"/>
    <x v="16"/>
    <x v="6"/>
    <x v="22"/>
    <x v="36"/>
    <x v="0"/>
    <x v="8"/>
    <x v="0"/>
    <x v="0"/>
  </r>
  <r>
    <x v="1"/>
    <x v="6"/>
    <x v="237"/>
    <x v="92"/>
    <x v="38"/>
    <x v="2"/>
    <x v="0"/>
    <x v="0"/>
    <x v="13"/>
    <x v="0"/>
    <x v="19"/>
    <x v="5"/>
    <x v="0"/>
    <x v="16"/>
    <x v="4"/>
    <x v="16"/>
    <x v="27"/>
    <x v="1"/>
    <x v="23"/>
    <x v="0"/>
    <x v="0"/>
  </r>
  <r>
    <x v="1"/>
    <x v="6"/>
    <x v="238"/>
    <x v="92"/>
    <x v="38"/>
    <x v="2"/>
    <x v="0"/>
    <x v="0"/>
    <x v="13"/>
    <x v="0"/>
    <x v="19"/>
    <x v="5"/>
    <x v="0"/>
    <x v="16"/>
    <x v="4"/>
    <x v="16"/>
    <x v="27"/>
    <x v="1"/>
    <x v="23"/>
    <x v="0"/>
    <x v="0"/>
  </r>
  <r>
    <x v="1"/>
    <x v="6"/>
    <x v="239"/>
    <x v="92"/>
    <x v="38"/>
    <x v="2"/>
    <x v="0"/>
    <x v="0"/>
    <x v="13"/>
    <x v="0"/>
    <x v="19"/>
    <x v="5"/>
    <x v="0"/>
    <x v="16"/>
    <x v="4"/>
    <x v="16"/>
    <x v="27"/>
    <x v="1"/>
    <x v="23"/>
    <x v="0"/>
    <x v="0"/>
  </r>
  <r>
    <x v="1"/>
    <x v="6"/>
    <x v="240"/>
    <x v="17"/>
    <x v="38"/>
    <x v="2"/>
    <x v="0"/>
    <x v="0"/>
    <x v="13"/>
    <x v="0"/>
    <x v="18"/>
    <x v="0"/>
    <x v="1"/>
    <x v="16"/>
    <x v="2"/>
    <x v="13"/>
    <x v="27"/>
    <x v="1"/>
    <x v="32"/>
    <x v="0"/>
    <x v="0"/>
  </r>
  <r>
    <x v="1"/>
    <x v="6"/>
    <x v="241"/>
    <x v="75"/>
    <x v="38"/>
    <x v="2"/>
    <x v="4"/>
    <x v="0"/>
    <x v="13"/>
    <x v="0"/>
    <x v="18"/>
    <x v="0"/>
    <x v="1"/>
    <x v="16"/>
    <x v="2"/>
    <x v="13"/>
    <x v="27"/>
    <x v="1"/>
    <x v="32"/>
    <x v="0"/>
    <x v="0"/>
  </r>
  <r>
    <x v="1"/>
    <x v="6"/>
    <x v="242"/>
    <x v="74"/>
    <x v="38"/>
    <x v="2"/>
    <x v="0"/>
    <x v="0"/>
    <x v="13"/>
    <x v="0"/>
    <x v="18"/>
    <x v="0"/>
    <x v="1"/>
    <x v="16"/>
    <x v="2"/>
    <x v="13"/>
    <x v="27"/>
    <x v="1"/>
    <x v="32"/>
    <x v="0"/>
    <x v="0"/>
  </r>
  <r>
    <x v="1"/>
    <x v="6"/>
    <x v="243"/>
    <x v="92"/>
    <x v="38"/>
    <x v="2"/>
    <x v="0"/>
    <x v="0"/>
    <x v="13"/>
    <x v="0"/>
    <x v="19"/>
    <x v="5"/>
    <x v="0"/>
    <x v="16"/>
    <x v="4"/>
    <x v="16"/>
    <x v="27"/>
    <x v="1"/>
    <x v="23"/>
    <x v="0"/>
    <x v="0"/>
  </r>
  <r>
    <x v="1"/>
    <x v="6"/>
    <x v="244"/>
    <x v="17"/>
    <x v="38"/>
    <x v="2"/>
    <x v="0"/>
    <x v="0"/>
    <x v="13"/>
    <x v="0"/>
    <x v="18"/>
    <x v="0"/>
    <x v="1"/>
    <x v="16"/>
    <x v="2"/>
    <x v="13"/>
    <x v="27"/>
    <x v="1"/>
    <x v="32"/>
    <x v="0"/>
    <x v="0"/>
  </r>
  <r>
    <x v="1"/>
    <x v="6"/>
    <x v="245"/>
    <x v="75"/>
    <x v="38"/>
    <x v="2"/>
    <x v="4"/>
    <x v="0"/>
    <x v="13"/>
    <x v="0"/>
    <x v="18"/>
    <x v="0"/>
    <x v="1"/>
    <x v="16"/>
    <x v="2"/>
    <x v="13"/>
    <x v="27"/>
    <x v="1"/>
    <x v="32"/>
    <x v="0"/>
    <x v="0"/>
  </r>
  <r>
    <x v="1"/>
    <x v="6"/>
    <x v="227"/>
    <x v="92"/>
    <x v="24"/>
    <x v="2"/>
    <x v="0"/>
    <x v="0"/>
    <x v="13"/>
    <x v="0"/>
    <x v="19"/>
    <x v="5"/>
    <x v="0"/>
    <x v="16"/>
    <x v="4"/>
    <x v="12"/>
    <x v="12"/>
    <x v="1"/>
    <x v="16"/>
    <x v="0"/>
    <x v="0"/>
  </r>
  <r>
    <x v="1"/>
    <x v="6"/>
    <x v="228"/>
    <x v="17"/>
    <x v="24"/>
    <x v="2"/>
    <x v="0"/>
    <x v="0"/>
    <x v="13"/>
    <x v="0"/>
    <x v="18"/>
    <x v="0"/>
    <x v="1"/>
    <x v="16"/>
    <x v="2"/>
    <x v="13"/>
    <x v="15"/>
    <x v="1"/>
    <x v="18"/>
    <x v="0"/>
    <x v="0"/>
  </r>
  <r>
    <x v="1"/>
    <x v="6"/>
    <x v="229"/>
    <x v="75"/>
    <x v="24"/>
    <x v="2"/>
    <x v="2"/>
    <x v="0"/>
    <x v="13"/>
    <x v="0"/>
    <x v="18"/>
    <x v="0"/>
    <x v="1"/>
    <x v="16"/>
    <x v="2"/>
    <x v="13"/>
    <x v="15"/>
    <x v="1"/>
    <x v="18"/>
    <x v="0"/>
    <x v="0"/>
  </r>
  <r>
    <x v="1"/>
    <x v="6"/>
    <x v="230"/>
    <x v="92"/>
    <x v="24"/>
    <x v="2"/>
    <x v="0"/>
    <x v="0"/>
    <x v="13"/>
    <x v="0"/>
    <x v="19"/>
    <x v="5"/>
    <x v="0"/>
    <x v="16"/>
    <x v="4"/>
    <x v="12"/>
    <x v="12"/>
    <x v="1"/>
    <x v="16"/>
    <x v="0"/>
    <x v="0"/>
  </r>
  <r>
    <x v="1"/>
    <x v="6"/>
    <x v="231"/>
    <x v="17"/>
    <x v="24"/>
    <x v="2"/>
    <x v="0"/>
    <x v="0"/>
    <x v="13"/>
    <x v="0"/>
    <x v="18"/>
    <x v="0"/>
    <x v="1"/>
    <x v="16"/>
    <x v="2"/>
    <x v="13"/>
    <x v="15"/>
    <x v="1"/>
    <x v="18"/>
    <x v="0"/>
    <x v="0"/>
  </r>
  <r>
    <x v="1"/>
    <x v="6"/>
    <x v="232"/>
    <x v="75"/>
    <x v="24"/>
    <x v="2"/>
    <x v="5"/>
    <x v="0"/>
    <x v="13"/>
    <x v="0"/>
    <x v="18"/>
    <x v="0"/>
    <x v="1"/>
    <x v="16"/>
    <x v="2"/>
    <x v="13"/>
    <x v="15"/>
    <x v="1"/>
    <x v="18"/>
    <x v="0"/>
    <x v="0"/>
  </r>
  <r>
    <x v="1"/>
    <x v="6"/>
    <x v="233"/>
    <x v="74"/>
    <x v="24"/>
    <x v="2"/>
    <x v="0"/>
    <x v="0"/>
    <x v="13"/>
    <x v="0"/>
    <x v="18"/>
    <x v="0"/>
    <x v="1"/>
    <x v="16"/>
    <x v="2"/>
    <x v="13"/>
    <x v="15"/>
    <x v="1"/>
    <x v="18"/>
    <x v="0"/>
    <x v="0"/>
  </r>
  <r>
    <x v="1"/>
    <x v="6"/>
    <x v="234"/>
    <x v="92"/>
    <x v="47"/>
    <x v="2"/>
    <x v="0"/>
    <x v="0"/>
    <x v="13"/>
    <x v="0"/>
    <x v="19"/>
    <x v="5"/>
    <x v="0"/>
    <x v="16"/>
    <x v="4"/>
    <x v="12"/>
    <x v="9"/>
    <x v="1"/>
    <x v="13"/>
    <x v="0"/>
    <x v="0"/>
  </r>
  <r>
    <x v="1"/>
    <x v="6"/>
    <x v="235"/>
    <x v="17"/>
    <x v="47"/>
    <x v="2"/>
    <x v="0"/>
    <x v="0"/>
    <x v="13"/>
    <x v="0"/>
    <x v="18"/>
    <x v="0"/>
    <x v="1"/>
    <x v="16"/>
    <x v="2"/>
    <x v="13"/>
    <x v="16"/>
    <x v="1"/>
    <x v="19"/>
    <x v="0"/>
    <x v="0"/>
  </r>
  <r>
    <x v="1"/>
    <x v="6"/>
    <x v="236"/>
    <x v="75"/>
    <x v="47"/>
    <x v="2"/>
    <x v="5"/>
    <x v="0"/>
    <x v="13"/>
    <x v="0"/>
    <x v="18"/>
    <x v="0"/>
    <x v="1"/>
    <x v="16"/>
    <x v="2"/>
    <x v="13"/>
    <x v="16"/>
    <x v="1"/>
    <x v="19"/>
    <x v="0"/>
    <x v="0"/>
  </r>
  <r>
    <x v="1"/>
    <x v="6"/>
    <x v="247"/>
    <x v="92"/>
    <x v="4"/>
    <x v="2"/>
    <x v="0"/>
    <x v="0"/>
    <x v="13"/>
    <x v="0"/>
    <x v="19"/>
    <x v="5"/>
    <x v="0"/>
    <x v="16"/>
    <x v="5"/>
    <x v="16"/>
    <x v="35"/>
    <x v="1"/>
    <x v="45"/>
    <x v="0"/>
    <x v="0"/>
  </r>
  <r>
    <x v="1"/>
    <x v="6"/>
    <x v="248"/>
    <x v="17"/>
    <x v="4"/>
    <x v="2"/>
    <x v="0"/>
    <x v="0"/>
    <x v="13"/>
    <x v="0"/>
    <x v="18"/>
    <x v="0"/>
    <x v="1"/>
    <x v="16"/>
    <x v="3"/>
    <x v="13"/>
    <x v="35"/>
    <x v="1"/>
    <x v="45"/>
    <x v="0"/>
    <x v="0"/>
  </r>
  <r>
    <x v="1"/>
    <x v="6"/>
    <x v="249"/>
    <x v="92"/>
    <x v="0"/>
    <x v="2"/>
    <x v="0"/>
    <x v="0"/>
    <x v="13"/>
    <x v="0"/>
    <x v="19"/>
    <x v="5"/>
    <x v="0"/>
    <x v="16"/>
    <x v="5"/>
    <x v="16"/>
    <x v="20"/>
    <x v="1"/>
    <x v="12"/>
    <x v="0"/>
    <x v="0"/>
  </r>
  <r>
    <x v="1"/>
    <x v="6"/>
    <x v="250"/>
    <x v="17"/>
    <x v="0"/>
    <x v="2"/>
    <x v="0"/>
    <x v="0"/>
    <x v="13"/>
    <x v="0"/>
    <x v="18"/>
    <x v="0"/>
    <x v="0"/>
    <x v="16"/>
    <x v="3"/>
    <x v="13"/>
    <x v="16"/>
    <x v="1"/>
    <x v="19"/>
    <x v="0"/>
    <x v="0"/>
  </r>
  <r>
    <x v="1"/>
    <x v="4"/>
    <x v="28"/>
    <x v="79"/>
    <x v="38"/>
    <x v="2"/>
    <x v="0"/>
    <x v="0"/>
    <x v="13"/>
    <x v="0"/>
    <x v="11"/>
    <x v="0"/>
    <x v="1"/>
    <x v="16"/>
    <x v="0"/>
    <x v="4"/>
    <x v="8"/>
    <x v="1"/>
    <x v="29"/>
    <x v="0"/>
    <x v="0"/>
  </r>
  <r>
    <x v="1"/>
    <x v="4"/>
    <x v="28"/>
    <x v="61"/>
    <x v="38"/>
    <x v="2"/>
    <x v="0"/>
    <x v="0"/>
    <x v="13"/>
    <x v="0"/>
    <x v="11"/>
    <x v="0"/>
    <x v="1"/>
    <x v="16"/>
    <x v="0"/>
    <x v="4"/>
    <x v="8"/>
    <x v="1"/>
    <x v="29"/>
    <x v="0"/>
    <x v="0"/>
  </r>
  <r>
    <x v="1"/>
    <x v="4"/>
    <x v="28"/>
    <x v="102"/>
    <x v="38"/>
    <x v="2"/>
    <x v="1"/>
    <x v="0"/>
    <x v="13"/>
    <x v="0"/>
    <x v="11"/>
    <x v="0"/>
    <x v="1"/>
    <x v="16"/>
    <x v="0"/>
    <x v="4"/>
    <x v="8"/>
    <x v="1"/>
    <x v="29"/>
    <x v="0"/>
    <x v="0"/>
  </r>
  <r>
    <x v="1"/>
    <x v="4"/>
    <x v="28"/>
    <x v="103"/>
    <x v="38"/>
    <x v="2"/>
    <x v="1"/>
    <x v="0"/>
    <x v="13"/>
    <x v="0"/>
    <x v="11"/>
    <x v="0"/>
    <x v="1"/>
    <x v="16"/>
    <x v="0"/>
    <x v="4"/>
    <x v="8"/>
    <x v="1"/>
    <x v="29"/>
    <x v="0"/>
    <x v="0"/>
  </r>
  <r>
    <x v="1"/>
    <x v="4"/>
    <x v="26"/>
    <x v="31"/>
    <x v="31"/>
    <x v="2"/>
    <x v="0"/>
    <x v="0"/>
    <x v="8"/>
    <x v="0"/>
    <x v="11"/>
    <x v="0"/>
    <x v="1"/>
    <x v="16"/>
    <x v="0"/>
    <x v="4"/>
    <x v="35"/>
    <x v="1"/>
    <x v="45"/>
    <x v="0"/>
    <x v="0"/>
  </r>
  <r>
    <x v="1"/>
    <x v="4"/>
    <x v="38"/>
    <x v="27"/>
    <x v="17"/>
    <x v="2"/>
    <x v="1"/>
    <x v="0"/>
    <x v="7"/>
    <x v="0"/>
    <x v="11"/>
    <x v="0"/>
    <x v="1"/>
    <x v="16"/>
    <x v="0"/>
    <x v="10"/>
    <x v="11"/>
    <x v="1"/>
    <x v="17"/>
    <x v="0"/>
    <x v="0"/>
  </r>
  <r>
    <x v="1"/>
    <x v="4"/>
    <x v="37"/>
    <x v="28"/>
    <x v="24"/>
    <x v="2"/>
    <x v="7"/>
    <x v="0"/>
    <x v="4"/>
    <x v="0"/>
    <x v="11"/>
    <x v="0"/>
    <x v="1"/>
    <x v="16"/>
    <x v="0"/>
    <x v="10"/>
    <x v="11"/>
    <x v="1"/>
    <x v="17"/>
    <x v="0"/>
    <x v="0"/>
  </r>
  <r>
    <x v="1"/>
    <x v="4"/>
    <x v="25"/>
    <x v="26"/>
    <x v="38"/>
    <x v="2"/>
    <x v="17"/>
    <x v="0"/>
    <x v="13"/>
    <x v="0"/>
    <x v="11"/>
    <x v="0"/>
    <x v="1"/>
    <x v="16"/>
    <x v="0"/>
    <x v="4"/>
    <x v="8"/>
    <x v="1"/>
    <x v="29"/>
    <x v="0"/>
    <x v="0"/>
  </r>
  <r>
    <x v="1"/>
    <x v="4"/>
    <x v="39"/>
    <x v="29"/>
    <x v="27"/>
    <x v="2"/>
    <x v="9"/>
    <x v="0"/>
    <x v="7"/>
    <x v="0"/>
    <x v="11"/>
    <x v="10"/>
    <x v="0"/>
    <x v="16"/>
    <x v="0"/>
    <x v="10"/>
    <x v="15"/>
    <x v="1"/>
    <x v="22"/>
    <x v="0"/>
    <x v="0"/>
  </r>
  <r>
    <x v="1"/>
    <x v="4"/>
    <x v="40"/>
    <x v="30"/>
    <x v="27"/>
    <x v="2"/>
    <x v="9"/>
    <x v="0"/>
    <x v="7"/>
    <x v="0"/>
    <x v="11"/>
    <x v="10"/>
    <x v="0"/>
    <x v="16"/>
    <x v="0"/>
    <x v="10"/>
    <x v="15"/>
    <x v="1"/>
    <x v="22"/>
    <x v="0"/>
    <x v="0"/>
  </r>
  <r>
    <x v="1"/>
    <x v="4"/>
    <x v="27"/>
    <x v="59"/>
    <x v="38"/>
    <x v="2"/>
    <x v="3"/>
    <x v="0"/>
    <x v="13"/>
    <x v="0"/>
    <x v="11"/>
    <x v="0"/>
    <x v="1"/>
    <x v="16"/>
    <x v="0"/>
    <x v="4"/>
    <x v="8"/>
    <x v="1"/>
    <x v="29"/>
    <x v="0"/>
    <x v="0"/>
  </r>
  <r>
    <x v="1"/>
    <x v="4"/>
    <x v="37"/>
    <x v="60"/>
    <x v="24"/>
    <x v="2"/>
    <x v="8"/>
    <x v="0"/>
    <x v="4"/>
    <x v="0"/>
    <x v="11"/>
    <x v="0"/>
    <x v="1"/>
    <x v="16"/>
    <x v="0"/>
    <x v="10"/>
    <x v="11"/>
    <x v="1"/>
    <x v="17"/>
    <x v="0"/>
    <x v="0"/>
  </r>
  <r>
    <x v="1"/>
    <x v="4"/>
    <x v="29"/>
    <x v="70"/>
    <x v="13"/>
    <x v="2"/>
    <x v="10"/>
    <x v="0"/>
    <x v="7"/>
    <x v="0"/>
    <x v="11"/>
    <x v="0"/>
    <x v="1"/>
    <x v="16"/>
    <x v="0"/>
    <x v="4"/>
    <x v="0"/>
    <x v="1"/>
    <x v="15"/>
    <x v="0"/>
    <x v="0"/>
  </r>
  <r>
    <x v="1"/>
    <x v="4"/>
    <x v="36"/>
    <x v="71"/>
    <x v="13"/>
    <x v="2"/>
    <x v="12"/>
    <x v="0"/>
    <x v="7"/>
    <x v="0"/>
    <x v="11"/>
    <x v="0"/>
    <x v="1"/>
    <x v="16"/>
    <x v="0"/>
    <x v="4"/>
    <x v="0"/>
    <x v="1"/>
    <x v="15"/>
    <x v="0"/>
    <x v="0"/>
  </r>
  <r>
    <x v="1"/>
    <x v="4"/>
    <x v="30"/>
    <x v="72"/>
    <x v="1"/>
    <x v="2"/>
    <x v="2"/>
    <x v="0"/>
    <x v="0"/>
    <x v="0"/>
    <x v="11"/>
    <x v="0"/>
    <x v="1"/>
    <x v="16"/>
    <x v="0"/>
    <x v="4"/>
    <x v="35"/>
    <x v="1"/>
    <x v="45"/>
    <x v="0"/>
    <x v="0"/>
  </r>
  <r>
    <x v="1"/>
    <x v="4"/>
    <x v="24"/>
    <x v="76"/>
    <x v="38"/>
    <x v="2"/>
    <x v="16"/>
    <x v="0"/>
    <x v="13"/>
    <x v="0"/>
    <x v="11"/>
    <x v="0"/>
    <x v="1"/>
    <x v="16"/>
    <x v="0"/>
    <x v="4"/>
    <x v="8"/>
    <x v="1"/>
    <x v="29"/>
    <x v="0"/>
    <x v="0"/>
  </r>
  <r>
    <x v="1"/>
    <x v="4"/>
    <x v="31"/>
    <x v="77"/>
    <x v="38"/>
    <x v="2"/>
    <x v="11"/>
    <x v="0"/>
    <x v="13"/>
    <x v="0"/>
    <x v="11"/>
    <x v="0"/>
    <x v="1"/>
    <x v="16"/>
    <x v="0"/>
    <x v="4"/>
    <x v="8"/>
    <x v="1"/>
    <x v="29"/>
    <x v="0"/>
    <x v="0"/>
  </r>
  <r>
    <x v="1"/>
    <x v="4"/>
    <x v="32"/>
    <x v="83"/>
    <x v="12"/>
    <x v="2"/>
    <x v="13"/>
    <x v="0"/>
    <x v="3"/>
    <x v="0"/>
    <x v="11"/>
    <x v="0"/>
    <x v="1"/>
    <x v="16"/>
    <x v="0"/>
    <x v="4"/>
    <x v="1"/>
    <x v="1"/>
    <x v="16"/>
    <x v="0"/>
    <x v="0"/>
  </r>
  <r>
    <x v="1"/>
    <x v="4"/>
    <x v="42"/>
    <x v="86"/>
    <x v="38"/>
    <x v="2"/>
    <x v="15"/>
    <x v="0"/>
    <x v="13"/>
    <x v="0"/>
    <x v="11"/>
    <x v="0"/>
    <x v="1"/>
    <x v="16"/>
    <x v="0"/>
    <x v="4"/>
    <x v="8"/>
    <x v="1"/>
    <x v="29"/>
    <x v="0"/>
    <x v="0"/>
  </r>
  <r>
    <x v="1"/>
    <x v="4"/>
    <x v="35"/>
    <x v="66"/>
    <x v="17"/>
    <x v="2"/>
    <x v="14"/>
    <x v="0"/>
    <x v="7"/>
    <x v="0"/>
    <x v="11"/>
    <x v="0"/>
    <x v="1"/>
    <x v="16"/>
    <x v="0"/>
    <x v="4"/>
    <x v="3"/>
    <x v="1"/>
    <x v="22"/>
    <x v="0"/>
    <x v="0"/>
  </r>
  <r>
    <x v="1"/>
    <x v="4"/>
    <x v="41"/>
    <x v="87"/>
    <x v="28"/>
    <x v="2"/>
    <x v="6"/>
    <x v="0"/>
    <x v="7"/>
    <x v="0"/>
    <x v="11"/>
    <x v="0"/>
    <x v="1"/>
    <x v="16"/>
    <x v="0"/>
    <x v="10"/>
    <x v="11"/>
    <x v="1"/>
    <x v="17"/>
    <x v="0"/>
    <x v="0"/>
  </r>
  <r>
    <x v="1"/>
    <x v="4"/>
    <x v="34"/>
    <x v="85"/>
    <x v="55"/>
    <x v="2"/>
    <x v="6"/>
    <x v="0"/>
    <x v="11"/>
    <x v="0"/>
    <x v="11"/>
    <x v="0"/>
    <x v="1"/>
    <x v="16"/>
    <x v="0"/>
    <x v="4"/>
    <x v="7"/>
    <x v="1"/>
    <x v="28"/>
    <x v="0"/>
    <x v="0"/>
  </r>
  <r>
    <x v="1"/>
    <x v="4"/>
    <x v="33"/>
    <x v="91"/>
    <x v="1"/>
    <x v="2"/>
    <x v="2"/>
    <x v="0"/>
    <x v="0"/>
    <x v="0"/>
    <x v="11"/>
    <x v="0"/>
    <x v="1"/>
    <x v="16"/>
    <x v="0"/>
    <x v="4"/>
    <x v="35"/>
    <x v="1"/>
    <x v="45"/>
    <x v="0"/>
    <x v="0"/>
  </r>
  <r>
    <x v="1"/>
    <x v="4"/>
    <x v="42"/>
    <x v="4"/>
    <x v="38"/>
    <x v="0"/>
    <x v="19"/>
    <x v="0"/>
    <x v="13"/>
    <x v="0"/>
    <x v="2"/>
    <x v="0"/>
    <x v="1"/>
    <x v="14"/>
    <x v="0"/>
    <x v="3"/>
    <x v="3"/>
    <x v="1"/>
    <x v="26"/>
    <x v="0"/>
    <x v="0"/>
  </r>
  <r>
    <x v="1"/>
    <x v="4"/>
    <x v="25"/>
    <x v="5"/>
    <x v="38"/>
    <x v="1"/>
    <x v="20"/>
    <x v="0"/>
    <x v="13"/>
    <x v="0"/>
    <x v="2"/>
    <x v="0"/>
    <x v="1"/>
    <x v="14"/>
    <x v="0"/>
    <x v="3"/>
    <x v="3"/>
    <x v="1"/>
    <x v="26"/>
    <x v="0"/>
    <x v="0"/>
  </r>
  <r>
    <x v="1"/>
    <x v="4"/>
    <x v="38"/>
    <x v="12"/>
    <x v="17"/>
    <x v="1"/>
    <x v="18"/>
    <x v="0"/>
    <x v="7"/>
    <x v="0"/>
    <x v="22"/>
    <x v="0"/>
    <x v="1"/>
    <x v="14"/>
    <x v="0"/>
    <x v="0"/>
    <x v="3"/>
    <x v="1"/>
    <x v="32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5:C14" firstHeaderRow="1" firstDataRow="2" firstDataCol="1" rowPageCount="2" colPageCount="1"/>
  <pivotFields count="21">
    <pivotField axis="axisPage" compact="0" showAll="0">
      <items count="4">
        <item h="1" x="0"/>
        <item x="1"/>
        <item h="1" x="2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showAll="0">
      <items count="4">
        <item x="0"/>
        <item h="1" x="1"/>
        <item h="1" x="2"/>
        <item t="default"/>
      </items>
    </pivotField>
    <pivotField compact="0" showAll="0"/>
    <pivotField axis="axisRow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1"/>
  </rowFields>
  <colFields count="1">
    <field x="-2"/>
  </colFields>
  <pageFields count="2">
    <pageField fld="0" hier="-1"/>
    <pageField fld="9" hier="-1"/>
  </pageFields>
  <dataFields count="2">
    <dataField name="Cuenta de Asset" fld="3" subtotal="count" numFmtId="164"/>
    <dataField name="Cuenta de Asset2" fld="3" subtotal="count" numFmtId="166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6796875" defaultRowHeight="14.25" zeroHeight="false" outlineLevelRow="0" outlineLevelCol="0"/>
  <cols>
    <col collapsed="false" customWidth="true" hidden="false" outlineLevel="0" max="1" min="1" style="0" width="23.33"/>
    <col collapsed="false" customWidth="true" hidden="false" outlineLevel="0" max="2" min="2" style="0" width="19"/>
    <col collapsed="false" customWidth="true" hidden="false" outlineLevel="0" max="3" min="3" style="0" width="15.45"/>
    <col collapsed="false" customWidth="true" hidden="false" outlineLevel="0" max="8" min="5" style="0" width="11.55"/>
  </cols>
  <sheetData>
    <row r="2" customFormat="false" ht="14.25" hidden="false" customHeight="false" outlineLevel="0" collapsed="false">
      <c r="A2" s="1" t="s">
        <v>0</v>
      </c>
      <c r="B2" s="2" t="s">
        <v>1</v>
      </c>
    </row>
    <row r="3" customFormat="false" ht="14.25" hidden="false" customHeight="false" outlineLevel="0" collapsed="false">
      <c r="A3" s="1" t="s">
        <v>2</v>
      </c>
      <c r="B3" s="2" t="s">
        <v>3</v>
      </c>
    </row>
    <row r="5" customFormat="false" ht="14.25" hidden="false" customHeight="false" outlineLevel="0" collapsed="false">
      <c r="A5" s="3"/>
      <c r="B5" s="4" t="s">
        <v>4</v>
      </c>
      <c r="C5" s="5"/>
    </row>
    <row r="6" customFormat="false" ht="14.25" hidden="false" customHeight="false" outlineLevel="0" collapsed="false">
      <c r="A6" s="6" t="s">
        <v>5</v>
      </c>
      <c r="B6" s="7" t="s">
        <v>6</v>
      </c>
      <c r="C6" s="8" t="s">
        <v>7</v>
      </c>
    </row>
    <row r="7" customFormat="false" ht="14.25" hidden="false" customHeight="false" outlineLevel="0" collapsed="false">
      <c r="A7" s="9" t="s">
        <v>8</v>
      </c>
      <c r="B7" s="10" t="n">
        <v>90</v>
      </c>
      <c r="C7" s="11" t="n">
        <v>0.439024390243902</v>
      </c>
    </row>
    <row r="8" customFormat="false" ht="14.25" hidden="false" customHeight="false" outlineLevel="0" collapsed="false">
      <c r="A8" s="12" t="s">
        <v>9</v>
      </c>
      <c r="B8" s="13" t="n">
        <v>41</v>
      </c>
      <c r="C8" s="14" t="n">
        <v>0.2</v>
      </c>
    </row>
    <row r="9" customFormat="false" ht="14.25" hidden="false" customHeight="false" outlineLevel="0" collapsed="false">
      <c r="A9" s="12" t="s">
        <v>10</v>
      </c>
      <c r="B9" s="13" t="n">
        <v>31</v>
      </c>
      <c r="C9" s="14" t="n">
        <v>0.151219512195122</v>
      </c>
    </row>
    <row r="10" customFormat="false" ht="14.25" hidden="false" customHeight="false" outlineLevel="0" collapsed="false">
      <c r="A10" s="12" t="s">
        <v>11</v>
      </c>
      <c r="B10" s="13" t="n">
        <v>24</v>
      </c>
      <c r="C10" s="14" t="n">
        <v>0.117073170731707</v>
      </c>
    </row>
    <row r="11" customFormat="false" ht="14.25" hidden="false" customHeight="false" outlineLevel="0" collapsed="false">
      <c r="A11" s="12" t="s">
        <v>12</v>
      </c>
      <c r="B11" s="13" t="n">
        <v>16</v>
      </c>
      <c r="C11" s="14" t="n">
        <v>0.0780487804878049</v>
      </c>
    </row>
    <row r="12" customFormat="false" ht="14.25" hidden="false" customHeight="false" outlineLevel="0" collapsed="false">
      <c r="A12" s="12" t="s">
        <v>13</v>
      </c>
      <c r="B12" s="13" t="n">
        <v>2</v>
      </c>
      <c r="C12" s="14" t="n">
        <v>0.00975609756097561</v>
      </c>
    </row>
    <row r="13" customFormat="false" ht="14.25" hidden="false" customHeight="false" outlineLevel="0" collapsed="false">
      <c r="A13" s="12" t="s">
        <v>14</v>
      </c>
      <c r="B13" s="15" t="n">
        <v>1</v>
      </c>
      <c r="C13" s="16" t="n">
        <v>0.00487804878048781</v>
      </c>
    </row>
    <row r="14" customFormat="false" ht="14.25" hidden="false" customHeight="false" outlineLevel="0" collapsed="false">
      <c r="A14" s="17" t="s">
        <v>15</v>
      </c>
      <c r="B14" s="18" t="n">
        <v>205</v>
      </c>
      <c r="C14" s="19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66796875" defaultRowHeight="14.25" zeroHeight="false" outlineLevelRow="0" outlineLevelCol="0"/>
  <cols>
    <col collapsed="false" customWidth="true" hidden="false" outlineLevel="0" max="2" min="2" style="0" width="5.33"/>
    <col collapsed="false" customWidth="true" hidden="false" outlineLevel="0" max="3" min="3" style="0" width="35.67"/>
    <col collapsed="false" customWidth="true" hidden="false" outlineLevel="0" max="4" min="4" style="0" width="91.89"/>
  </cols>
  <sheetData>
    <row r="3" customFormat="false" ht="14.25" hidden="false" customHeight="false" outlineLevel="0" collapsed="false">
      <c r="B3" s="20" t="s">
        <v>16</v>
      </c>
      <c r="C3" s="20" t="s">
        <v>17</v>
      </c>
      <c r="D3" s="20" t="s">
        <v>18</v>
      </c>
    </row>
    <row r="4" customFormat="false" ht="14.25" hidden="false" customHeight="false" outlineLevel="0" collapsed="false">
      <c r="B4" s="21" t="n">
        <v>1</v>
      </c>
      <c r="C4" s="22" t="s">
        <v>19</v>
      </c>
      <c r="D4" s="22" t="s">
        <v>20</v>
      </c>
    </row>
    <row r="5" customFormat="false" ht="14.25" hidden="false" customHeight="false" outlineLevel="0" collapsed="false">
      <c r="B5" s="21" t="n">
        <v>2</v>
      </c>
      <c r="C5" s="22" t="s">
        <v>21</v>
      </c>
      <c r="D5" s="22" t="s">
        <v>22</v>
      </c>
    </row>
    <row r="6" customFormat="false" ht="14.25" hidden="false" customHeight="false" outlineLevel="0" collapsed="false">
      <c r="B6" s="21" t="n">
        <v>3</v>
      </c>
      <c r="C6" s="22" t="s">
        <v>23</v>
      </c>
      <c r="D6" s="22" t="s">
        <v>24</v>
      </c>
    </row>
    <row r="7" customFormat="false" ht="14.25" hidden="false" customHeight="false" outlineLevel="0" collapsed="false">
      <c r="B7" s="21" t="n">
        <v>4</v>
      </c>
      <c r="C7" s="22" t="s">
        <v>9</v>
      </c>
      <c r="D7" s="22" t="s">
        <v>25</v>
      </c>
    </row>
    <row r="8" customFormat="false" ht="14.25" hidden="false" customHeight="false" outlineLevel="0" collapsed="false">
      <c r="B8" s="21" t="n">
        <v>5</v>
      </c>
      <c r="C8" s="22" t="s">
        <v>11</v>
      </c>
      <c r="D8" s="22" t="s">
        <v>26</v>
      </c>
    </row>
    <row r="9" customFormat="false" ht="14.25" hidden="false" customHeight="false" outlineLevel="0" collapsed="false">
      <c r="B9" s="21" t="n">
        <v>6</v>
      </c>
      <c r="C9" s="22" t="s">
        <v>8</v>
      </c>
      <c r="D9" s="22" t="s">
        <v>27</v>
      </c>
    </row>
    <row r="10" customFormat="false" ht="14.25" hidden="false" customHeight="false" outlineLevel="0" collapsed="false">
      <c r="B10" s="21" t="n">
        <v>7</v>
      </c>
      <c r="C10" s="22" t="s">
        <v>28</v>
      </c>
      <c r="D10" s="2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B1:J11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1" ySplit="3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F121" activeCellId="0" sqref="F121"/>
    </sheetView>
  </sheetViews>
  <sheetFormatPr defaultColWidth="10.890625" defaultRowHeight="14.25" zeroHeight="false" outlineLevelRow="0" outlineLevelCol="0"/>
  <cols>
    <col collapsed="false" customWidth="true" hidden="false" outlineLevel="0" max="1" min="1" style="23" width="5.33"/>
    <col collapsed="false" customWidth="true" hidden="false" outlineLevel="0" max="2" min="2" style="23" width="19.55"/>
    <col collapsed="false" customWidth="true" hidden="false" outlineLevel="0" max="3" min="3" style="24" width="16.33"/>
    <col collapsed="false" customWidth="true" hidden="false" outlineLevel="0" max="4" min="4" style="24" width="23.33"/>
    <col collapsed="false" customWidth="true" hidden="false" outlineLevel="0" max="5" min="5" style="23" width="12"/>
    <col collapsed="false" customWidth="true" hidden="false" outlineLevel="0" max="6" min="6" style="23" width="43.33"/>
    <col collapsed="false" customWidth="true" hidden="false" outlineLevel="0" max="7" min="7" style="23" width="9"/>
    <col collapsed="false" customWidth="false" hidden="false" outlineLevel="0" max="8" min="8" style="23" width="10.89"/>
    <col collapsed="false" customWidth="true" hidden="false" outlineLevel="0" max="9" min="9" style="23" width="15.33"/>
    <col collapsed="false" customWidth="false" hidden="false" outlineLevel="0" max="10" min="10" style="23" width="10.89"/>
    <col collapsed="false" customWidth="true" hidden="false" outlineLevel="0" max="11" min="11" style="23" width="2.44"/>
    <col collapsed="false" customWidth="true" hidden="false" outlineLevel="0" max="12" min="12" style="24" width="37.66"/>
    <col collapsed="false" customWidth="true" hidden="false" outlineLevel="0" max="13" min="13" style="23" width="24"/>
    <col collapsed="false" customWidth="false" hidden="false" outlineLevel="0" max="16384" min="14" style="23" width="10.89"/>
  </cols>
  <sheetData>
    <row r="1" customFormat="false" ht="14.25" hidden="false" customHeight="true" outlineLevel="0" collapsed="false">
      <c r="B1" s="25" t="s">
        <v>30</v>
      </c>
    </row>
    <row r="3" customFormat="false" ht="25.5" hidden="false" customHeight="true" outlineLevel="0" collapsed="false">
      <c r="B3" s="26" t="s">
        <v>31</v>
      </c>
      <c r="C3" s="26" t="s">
        <v>32</v>
      </c>
      <c r="D3" s="26" t="s">
        <v>33</v>
      </c>
      <c r="E3" s="26" t="s">
        <v>34</v>
      </c>
      <c r="F3" s="26" t="s">
        <v>35</v>
      </c>
      <c r="G3" s="26"/>
      <c r="H3" s="26" t="s">
        <v>36</v>
      </c>
      <c r="I3" s="27" t="s">
        <v>37</v>
      </c>
      <c r="J3" s="26" t="s">
        <v>38</v>
      </c>
    </row>
    <row r="4" s="28" customFormat="true" ht="14.25" hidden="true" customHeight="true" outlineLevel="0" collapsed="false">
      <c r="B4" s="29" t="s">
        <v>39</v>
      </c>
      <c r="C4" s="30" t="s">
        <v>40</v>
      </c>
      <c r="D4" s="30" t="s">
        <v>41</v>
      </c>
      <c r="E4" s="31" t="n">
        <v>1</v>
      </c>
      <c r="F4" s="30" t="s">
        <v>42</v>
      </c>
      <c r="G4" s="30"/>
      <c r="H4" s="32" t="s">
        <v>43</v>
      </c>
      <c r="I4" s="33" t="n">
        <v>91.72</v>
      </c>
      <c r="J4" s="31" t="s">
        <v>44</v>
      </c>
    </row>
    <row r="5" s="28" customFormat="true" ht="14.25" hidden="true" customHeight="true" outlineLevel="0" collapsed="false">
      <c r="B5" s="29" t="s">
        <v>39</v>
      </c>
      <c r="C5" s="30" t="s">
        <v>40</v>
      </c>
      <c r="D5" s="30" t="s">
        <v>41</v>
      </c>
      <c r="E5" s="31" t="n">
        <v>1</v>
      </c>
      <c r="F5" s="30" t="s">
        <v>45</v>
      </c>
      <c r="G5" s="30"/>
      <c r="H5" s="32" t="s">
        <v>43</v>
      </c>
      <c r="I5" s="33" t="n">
        <v>52.73</v>
      </c>
      <c r="J5" s="31" t="s">
        <v>46</v>
      </c>
    </row>
    <row r="6" s="28" customFormat="true" ht="14.25" hidden="true" customHeight="true" outlineLevel="0" collapsed="false">
      <c r="B6" s="29" t="s">
        <v>39</v>
      </c>
      <c r="C6" s="30" t="s">
        <v>40</v>
      </c>
      <c r="D6" s="30" t="s">
        <v>41</v>
      </c>
      <c r="E6" s="31" t="n">
        <v>1</v>
      </c>
      <c r="F6" s="30" t="s">
        <v>47</v>
      </c>
      <c r="G6" s="30"/>
      <c r="H6" s="32" t="s">
        <v>43</v>
      </c>
      <c r="I6" s="33" t="n">
        <v>111.85</v>
      </c>
      <c r="J6" s="31" t="s">
        <v>48</v>
      </c>
    </row>
    <row r="7" s="28" customFormat="true" ht="14.25" hidden="true" customHeight="true" outlineLevel="0" collapsed="false">
      <c r="B7" s="29" t="s">
        <v>39</v>
      </c>
      <c r="C7" s="30" t="s">
        <v>40</v>
      </c>
      <c r="D7" s="30" t="s">
        <v>41</v>
      </c>
      <c r="E7" s="31" t="n">
        <v>1</v>
      </c>
      <c r="F7" s="30" t="s">
        <v>49</v>
      </c>
      <c r="G7" s="30"/>
      <c r="H7" s="32" t="s">
        <v>43</v>
      </c>
      <c r="I7" s="33" t="n">
        <v>52.08</v>
      </c>
      <c r="J7" s="31" t="s">
        <v>50</v>
      </c>
    </row>
    <row r="8" s="28" customFormat="true" ht="14.25" hidden="true" customHeight="true" outlineLevel="0" collapsed="false">
      <c r="B8" s="29" t="s">
        <v>39</v>
      </c>
      <c r="C8" s="30" t="s">
        <v>40</v>
      </c>
      <c r="D8" s="30" t="s">
        <v>41</v>
      </c>
      <c r="E8" s="31" t="n">
        <v>1</v>
      </c>
      <c r="F8" s="30" t="s">
        <v>51</v>
      </c>
      <c r="G8" s="30"/>
      <c r="H8" s="32" t="s">
        <v>43</v>
      </c>
      <c r="I8" s="33" t="n">
        <v>17.93</v>
      </c>
      <c r="J8" s="31" t="s">
        <v>52</v>
      </c>
    </row>
    <row r="9" s="28" customFormat="true" ht="14.25" hidden="true" customHeight="true" outlineLevel="0" collapsed="false">
      <c r="B9" s="34" t="s">
        <v>39</v>
      </c>
      <c r="C9" s="30" t="s">
        <v>40</v>
      </c>
      <c r="D9" s="30" t="s">
        <v>53</v>
      </c>
      <c r="E9" s="31" t="n">
        <v>1</v>
      </c>
      <c r="F9" s="30" t="s">
        <v>54</v>
      </c>
      <c r="G9" s="30"/>
      <c r="H9" s="32" t="s">
        <v>43</v>
      </c>
      <c r="I9" s="33" t="n">
        <v>127.32</v>
      </c>
      <c r="J9" s="31" t="s">
        <v>55</v>
      </c>
    </row>
    <row r="10" s="28" customFormat="true" ht="14.25" hidden="true" customHeight="true" outlineLevel="0" collapsed="false">
      <c r="B10" s="34" t="s">
        <v>39</v>
      </c>
      <c r="C10" s="30" t="s">
        <v>40</v>
      </c>
      <c r="D10" s="30" t="s">
        <v>53</v>
      </c>
      <c r="E10" s="31" t="n">
        <v>1</v>
      </c>
      <c r="F10" s="30" t="s">
        <v>56</v>
      </c>
      <c r="G10" s="30"/>
      <c r="H10" s="32" t="s">
        <v>43</v>
      </c>
      <c r="I10" s="33" t="n">
        <v>105.064</v>
      </c>
      <c r="J10" s="31" t="s">
        <v>57</v>
      </c>
    </row>
    <row r="11" s="28" customFormat="true" ht="14.25" hidden="true" customHeight="true" outlineLevel="0" collapsed="false">
      <c r="B11" s="34" t="s">
        <v>39</v>
      </c>
      <c r="C11" s="30" t="s">
        <v>40</v>
      </c>
      <c r="D11" s="30" t="s">
        <v>53</v>
      </c>
      <c r="E11" s="31" t="n">
        <v>1</v>
      </c>
      <c r="F11" s="30" t="s">
        <v>58</v>
      </c>
      <c r="G11" s="30"/>
      <c r="H11" s="32" t="s">
        <v>59</v>
      </c>
      <c r="I11" s="33" t="n">
        <v>190.98</v>
      </c>
      <c r="J11" s="31" t="s">
        <v>55</v>
      </c>
    </row>
    <row r="12" s="28" customFormat="true" ht="14.25" hidden="true" customHeight="true" outlineLevel="0" collapsed="false">
      <c r="B12" s="34" t="s">
        <v>39</v>
      </c>
      <c r="C12" s="30" t="s">
        <v>40</v>
      </c>
      <c r="D12" s="30" t="s">
        <v>53</v>
      </c>
      <c r="E12" s="31" t="n">
        <v>1</v>
      </c>
      <c r="F12" s="30" t="s">
        <v>60</v>
      </c>
      <c r="G12" s="30"/>
      <c r="H12" s="32" t="s">
        <v>59</v>
      </c>
      <c r="I12" s="33" t="n">
        <v>157.596</v>
      </c>
      <c r="J12" s="31" t="s">
        <v>57</v>
      </c>
    </row>
    <row r="13" s="28" customFormat="true" ht="14.25" hidden="true" customHeight="true" outlineLevel="0" collapsed="false">
      <c r="B13" s="29" t="s">
        <v>39</v>
      </c>
      <c r="C13" s="30" t="s">
        <v>40</v>
      </c>
      <c r="D13" s="30" t="s">
        <v>53</v>
      </c>
      <c r="E13" s="31" t="n">
        <v>1</v>
      </c>
      <c r="F13" s="30" t="s">
        <v>61</v>
      </c>
      <c r="G13" s="30"/>
      <c r="H13" s="32" t="s">
        <v>43</v>
      </c>
      <c r="I13" s="33" t="n">
        <v>118.3</v>
      </c>
      <c r="J13" s="31" t="s">
        <v>62</v>
      </c>
    </row>
    <row r="14" s="28" customFormat="true" ht="14.25" hidden="true" customHeight="true" outlineLevel="0" collapsed="false">
      <c r="B14" s="29" t="s">
        <v>39</v>
      </c>
      <c r="C14" s="30" t="s">
        <v>40</v>
      </c>
      <c r="D14" s="30" t="s">
        <v>40</v>
      </c>
      <c r="E14" s="31" t="n">
        <v>1</v>
      </c>
      <c r="F14" s="30" t="s">
        <v>63</v>
      </c>
      <c r="G14" s="30"/>
      <c r="H14" s="32" t="s">
        <v>43</v>
      </c>
      <c r="I14" s="33" t="n">
        <v>759.11</v>
      </c>
      <c r="J14" s="31" t="s">
        <v>64</v>
      </c>
    </row>
    <row r="15" s="28" customFormat="true" ht="14.25" hidden="true" customHeight="true" outlineLevel="0" collapsed="false">
      <c r="B15" s="29" t="s">
        <v>39</v>
      </c>
      <c r="C15" s="30" t="s">
        <v>40</v>
      </c>
      <c r="D15" s="30" t="s">
        <v>40</v>
      </c>
      <c r="E15" s="31" t="n">
        <v>1</v>
      </c>
      <c r="F15" s="30" t="s">
        <v>65</v>
      </c>
      <c r="G15" s="30"/>
      <c r="H15" s="32" t="s">
        <v>43</v>
      </c>
      <c r="I15" s="33" t="n">
        <v>141.65</v>
      </c>
      <c r="J15" s="31" t="s">
        <v>66</v>
      </c>
    </row>
    <row r="16" s="28" customFormat="true" ht="14.25" hidden="true" customHeight="true" outlineLevel="0" collapsed="false">
      <c r="B16" s="29" t="s">
        <v>39</v>
      </c>
      <c r="C16" s="30" t="s">
        <v>40</v>
      </c>
      <c r="D16" s="30" t="s">
        <v>40</v>
      </c>
      <c r="E16" s="31" t="n">
        <v>1</v>
      </c>
      <c r="F16" s="30" t="s">
        <v>67</v>
      </c>
      <c r="G16" s="30"/>
      <c r="H16" s="32" t="s">
        <v>43</v>
      </c>
      <c r="I16" s="33" t="n">
        <v>141.69</v>
      </c>
      <c r="J16" s="31" t="s">
        <v>68</v>
      </c>
    </row>
    <row r="17" s="28" customFormat="true" ht="14.25" hidden="true" customHeight="true" outlineLevel="0" collapsed="false">
      <c r="B17" s="29" t="s">
        <v>39</v>
      </c>
      <c r="C17" s="30" t="s">
        <v>40</v>
      </c>
      <c r="D17" s="30" t="s">
        <v>40</v>
      </c>
      <c r="E17" s="31" t="n">
        <v>1</v>
      </c>
      <c r="F17" s="30" t="s">
        <v>69</v>
      </c>
      <c r="G17" s="30"/>
      <c r="H17" s="32" t="s">
        <v>43</v>
      </c>
      <c r="I17" s="33" t="n">
        <v>122.92</v>
      </c>
      <c r="J17" s="31" t="s">
        <v>70</v>
      </c>
    </row>
    <row r="18" s="28" customFormat="true" ht="14.25" hidden="true" customHeight="true" outlineLevel="0" collapsed="false">
      <c r="B18" s="29" t="s">
        <v>39</v>
      </c>
      <c r="C18" s="30" t="s">
        <v>40</v>
      </c>
      <c r="D18" s="30" t="s">
        <v>40</v>
      </c>
      <c r="E18" s="31" t="n">
        <v>1</v>
      </c>
      <c r="F18" s="30" t="s">
        <v>71</v>
      </c>
      <c r="G18" s="30"/>
      <c r="H18" s="32" t="s">
        <v>43</v>
      </c>
      <c r="I18" s="33" t="n">
        <v>122.92</v>
      </c>
      <c r="J18" s="31" t="s">
        <v>72</v>
      </c>
    </row>
    <row r="19" s="28" customFormat="true" ht="14.25" hidden="true" customHeight="true" outlineLevel="0" collapsed="false">
      <c r="B19" s="29" t="s">
        <v>39</v>
      </c>
      <c r="C19" s="30" t="s">
        <v>40</v>
      </c>
      <c r="D19" s="30" t="s">
        <v>40</v>
      </c>
      <c r="E19" s="31" t="n">
        <v>1</v>
      </c>
      <c r="F19" s="30" t="s">
        <v>73</v>
      </c>
      <c r="G19" s="30"/>
      <c r="H19" s="32" t="s">
        <v>43</v>
      </c>
      <c r="I19" s="33" t="n">
        <v>92.78</v>
      </c>
      <c r="J19" s="31" t="s">
        <v>74</v>
      </c>
    </row>
    <row r="20" s="28" customFormat="true" ht="14.25" hidden="true" customHeight="true" outlineLevel="0" collapsed="false">
      <c r="B20" s="29" t="s">
        <v>39</v>
      </c>
      <c r="C20" s="30" t="s">
        <v>40</v>
      </c>
      <c r="D20" s="30" t="s">
        <v>40</v>
      </c>
      <c r="E20" s="31" t="n">
        <v>1</v>
      </c>
      <c r="F20" s="30" t="s">
        <v>75</v>
      </c>
      <c r="G20" s="30"/>
      <c r="H20" s="32" t="s">
        <v>43</v>
      </c>
      <c r="I20" s="33" t="n">
        <v>34</v>
      </c>
      <c r="J20" s="31" t="s">
        <v>76</v>
      </c>
    </row>
    <row r="21" s="28" customFormat="true" ht="14.25" hidden="true" customHeight="true" outlineLevel="0" collapsed="false">
      <c r="B21" s="29" t="s">
        <v>39</v>
      </c>
      <c r="C21" s="30" t="s">
        <v>40</v>
      </c>
      <c r="D21" s="30" t="s">
        <v>77</v>
      </c>
      <c r="E21" s="31" t="n">
        <v>1</v>
      </c>
      <c r="F21" s="30" t="s">
        <v>78</v>
      </c>
      <c r="G21" s="30"/>
      <c r="H21" s="32" t="s">
        <v>43</v>
      </c>
      <c r="I21" s="33" t="n">
        <v>18.29</v>
      </c>
      <c r="J21" s="31" t="s">
        <v>79</v>
      </c>
    </row>
    <row r="22" s="28" customFormat="true" ht="14.25" hidden="true" customHeight="true" outlineLevel="0" collapsed="false">
      <c r="B22" s="29" t="s">
        <v>39</v>
      </c>
      <c r="C22" s="30" t="s">
        <v>40</v>
      </c>
      <c r="D22" s="30" t="s">
        <v>77</v>
      </c>
      <c r="E22" s="31" t="n">
        <v>1</v>
      </c>
      <c r="F22" s="30" t="s">
        <v>80</v>
      </c>
      <c r="G22" s="30"/>
      <c r="H22" s="32" t="s">
        <v>43</v>
      </c>
      <c r="I22" s="33" t="n">
        <v>18.29</v>
      </c>
      <c r="J22" s="31" t="s">
        <v>81</v>
      </c>
    </row>
    <row r="23" s="28" customFormat="true" ht="14.25" hidden="true" customHeight="true" outlineLevel="0" collapsed="false">
      <c r="B23" s="29" t="s">
        <v>39</v>
      </c>
      <c r="C23" s="30" t="s">
        <v>40</v>
      </c>
      <c r="D23" s="30" t="s">
        <v>77</v>
      </c>
      <c r="E23" s="31" t="n">
        <v>1</v>
      </c>
      <c r="F23" s="30" t="s">
        <v>82</v>
      </c>
      <c r="G23" s="30"/>
      <c r="H23" s="32" t="s">
        <v>43</v>
      </c>
      <c r="I23" s="33" t="n">
        <v>18.29</v>
      </c>
      <c r="J23" s="31" t="s">
        <v>83</v>
      </c>
    </row>
    <row r="24" s="28" customFormat="true" ht="14.25" hidden="true" customHeight="true" outlineLevel="0" collapsed="false">
      <c r="B24" s="29" t="s">
        <v>39</v>
      </c>
      <c r="C24" s="30" t="s">
        <v>40</v>
      </c>
      <c r="D24" s="30" t="s">
        <v>77</v>
      </c>
      <c r="E24" s="31" t="n">
        <v>1</v>
      </c>
      <c r="F24" s="30" t="s">
        <v>84</v>
      </c>
      <c r="G24" s="30"/>
      <c r="H24" s="32" t="s">
        <v>43</v>
      </c>
      <c r="I24" s="33" t="n">
        <v>18.29</v>
      </c>
      <c r="J24" s="31" t="s">
        <v>85</v>
      </c>
    </row>
    <row r="25" s="28" customFormat="true" ht="14.25" hidden="true" customHeight="true" outlineLevel="0" collapsed="false">
      <c r="B25" s="29" t="s">
        <v>39</v>
      </c>
      <c r="C25" s="30" t="s">
        <v>40</v>
      </c>
      <c r="D25" s="30" t="s">
        <v>77</v>
      </c>
      <c r="E25" s="31" t="n">
        <v>1</v>
      </c>
      <c r="F25" s="30" t="s">
        <v>86</v>
      </c>
      <c r="G25" s="30"/>
      <c r="H25" s="32" t="s">
        <v>43</v>
      </c>
      <c r="I25" s="33" t="n">
        <v>17.57</v>
      </c>
      <c r="J25" s="31" t="s">
        <v>87</v>
      </c>
    </row>
    <row r="26" s="28" customFormat="true" ht="14.25" hidden="true" customHeight="true" outlineLevel="0" collapsed="false">
      <c r="B26" s="29" t="s">
        <v>39</v>
      </c>
      <c r="C26" s="30" t="s">
        <v>40</v>
      </c>
      <c r="D26" s="30" t="s">
        <v>77</v>
      </c>
      <c r="E26" s="31" t="n">
        <v>1</v>
      </c>
      <c r="F26" s="30" t="s">
        <v>88</v>
      </c>
      <c r="G26" s="30"/>
      <c r="H26" s="32" t="s">
        <v>43</v>
      </c>
      <c r="I26" s="33" t="n">
        <v>17.57</v>
      </c>
      <c r="J26" s="31" t="s">
        <v>89</v>
      </c>
    </row>
    <row r="27" s="28" customFormat="true" ht="14.25" hidden="true" customHeight="true" outlineLevel="0" collapsed="false">
      <c r="B27" s="29" t="s">
        <v>39</v>
      </c>
      <c r="C27" s="30" t="s">
        <v>40</v>
      </c>
      <c r="D27" s="30" t="s">
        <v>77</v>
      </c>
      <c r="E27" s="31" t="n">
        <v>1</v>
      </c>
      <c r="F27" s="30" t="s">
        <v>90</v>
      </c>
      <c r="G27" s="30"/>
      <c r="H27" s="32" t="s">
        <v>43</v>
      </c>
      <c r="I27" s="33" t="n">
        <v>17.57</v>
      </c>
      <c r="J27" s="31" t="s">
        <v>91</v>
      </c>
    </row>
    <row r="28" s="28" customFormat="true" ht="14.25" hidden="true" customHeight="true" outlineLevel="0" collapsed="false">
      <c r="B28" s="29" t="s">
        <v>39</v>
      </c>
      <c r="C28" s="30" t="s">
        <v>40</v>
      </c>
      <c r="D28" s="30" t="s">
        <v>77</v>
      </c>
      <c r="E28" s="31" t="n">
        <v>1</v>
      </c>
      <c r="F28" s="30" t="s">
        <v>92</v>
      </c>
      <c r="G28" s="30"/>
      <c r="H28" s="32" t="s">
        <v>43</v>
      </c>
      <c r="I28" s="33" t="n">
        <v>17.57</v>
      </c>
      <c r="J28" s="31" t="s">
        <v>93</v>
      </c>
    </row>
    <row r="29" s="28" customFormat="true" ht="14.25" hidden="true" customHeight="true" outlineLevel="0" collapsed="false">
      <c r="B29" s="29" t="s">
        <v>39</v>
      </c>
      <c r="C29" s="30" t="s">
        <v>40</v>
      </c>
      <c r="D29" s="30" t="s">
        <v>77</v>
      </c>
      <c r="E29" s="31" t="n">
        <v>1</v>
      </c>
      <c r="F29" s="30" t="s">
        <v>94</v>
      </c>
      <c r="G29" s="30"/>
      <c r="H29" s="32" t="s">
        <v>43</v>
      </c>
      <c r="I29" s="33" t="n">
        <v>114.08</v>
      </c>
      <c r="J29" s="31" t="s">
        <v>95</v>
      </c>
    </row>
    <row r="30" s="28" customFormat="true" ht="14.25" hidden="false" customHeight="true" outlineLevel="0" collapsed="false">
      <c r="B30" s="29" t="s">
        <v>39</v>
      </c>
      <c r="C30" s="30" t="s">
        <v>40</v>
      </c>
      <c r="D30" s="30" t="s">
        <v>77</v>
      </c>
      <c r="E30" s="31" t="n">
        <v>1</v>
      </c>
      <c r="F30" s="30" t="s">
        <v>96</v>
      </c>
      <c r="G30" s="30"/>
      <c r="H30" s="32" t="s">
        <v>43</v>
      </c>
      <c r="I30" s="33" t="n">
        <v>164.12</v>
      </c>
      <c r="J30" s="31" t="s">
        <v>97</v>
      </c>
    </row>
    <row r="31" s="28" customFormat="true" ht="14.25" hidden="true" customHeight="true" outlineLevel="0" collapsed="false">
      <c r="B31" s="29" t="s">
        <v>39</v>
      </c>
      <c r="C31" s="30" t="s">
        <v>40</v>
      </c>
      <c r="D31" s="30" t="s">
        <v>77</v>
      </c>
      <c r="E31" s="31" t="n">
        <v>1</v>
      </c>
      <c r="F31" s="30" t="s">
        <v>98</v>
      </c>
      <c r="G31" s="30"/>
      <c r="H31" s="32" t="s">
        <v>43</v>
      </c>
      <c r="I31" s="33" t="n">
        <v>96.2</v>
      </c>
      <c r="J31" s="31" t="s">
        <v>99</v>
      </c>
    </row>
    <row r="32" s="28" customFormat="true" ht="14.25" hidden="true" customHeight="true" outlineLevel="0" collapsed="false">
      <c r="B32" s="29" t="s">
        <v>39</v>
      </c>
      <c r="C32" s="30" t="s">
        <v>40</v>
      </c>
      <c r="D32" s="30" t="s">
        <v>77</v>
      </c>
      <c r="E32" s="31" t="n">
        <v>1</v>
      </c>
      <c r="F32" s="30" t="s">
        <v>100</v>
      </c>
      <c r="G32" s="30"/>
      <c r="H32" s="32" t="s">
        <v>43</v>
      </c>
      <c r="I32" s="33" t="n">
        <v>94.93</v>
      </c>
      <c r="J32" s="31" t="s">
        <v>101</v>
      </c>
    </row>
    <row r="33" s="28" customFormat="true" ht="14.25" hidden="true" customHeight="true" outlineLevel="0" collapsed="false">
      <c r="B33" s="29" t="s">
        <v>39</v>
      </c>
      <c r="C33" s="30" t="s">
        <v>40</v>
      </c>
      <c r="D33" s="30" t="s">
        <v>77</v>
      </c>
      <c r="E33" s="31" t="n">
        <v>1</v>
      </c>
      <c r="F33" s="30" t="s">
        <v>102</v>
      </c>
      <c r="G33" s="30"/>
      <c r="H33" s="32" t="s">
        <v>43</v>
      </c>
      <c r="I33" s="33" t="n">
        <v>96.2</v>
      </c>
      <c r="J33" s="31" t="s">
        <v>103</v>
      </c>
    </row>
    <row r="34" s="28" customFormat="true" ht="14.25" hidden="true" customHeight="true" outlineLevel="0" collapsed="false">
      <c r="B34" s="29" t="s">
        <v>39</v>
      </c>
      <c r="C34" s="30" t="s">
        <v>40</v>
      </c>
      <c r="D34" s="30" t="s">
        <v>77</v>
      </c>
      <c r="E34" s="31" t="n">
        <v>1</v>
      </c>
      <c r="F34" s="30" t="s">
        <v>104</v>
      </c>
      <c r="G34" s="30"/>
      <c r="H34" s="32" t="s">
        <v>43</v>
      </c>
      <c r="I34" s="33" t="n">
        <v>94.93</v>
      </c>
      <c r="J34" s="31" t="s">
        <v>105</v>
      </c>
    </row>
    <row r="35" s="28" customFormat="true" ht="14.25" hidden="true" customHeight="true" outlineLevel="0" collapsed="false">
      <c r="B35" s="29" t="s">
        <v>39</v>
      </c>
      <c r="C35" s="30" t="s">
        <v>40</v>
      </c>
      <c r="D35" s="30" t="s">
        <v>106</v>
      </c>
      <c r="E35" s="31" t="n">
        <v>1</v>
      </c>
      <c r="F35" s="30" t="s">
        <v>107</v>
      </c>
      <c r="G35" s="30"/>
      <c r="H35" s="32" t="s">
        <v>43</v>
      </c>
      <c r="I35" s="33" t="n">
        <v>4.39</v>
      </c>
      <c r="J35" s="31" t="s">
        <v>108</v>
      </c>
    </row>
    <row r="36" s="28" customFormat="true" ht="14.25" hidden="true" customHeight="true" outlineLevel="0" collapsed="false">
      <c r="B36" s="29" t="s">
        <v>39</v>
      </c>
      <c r="C36" s="30" t="s">
        <v>40</v>
      </c>
      <c r="D36" s="30" t="s">
        <v>106</v>
      </c>
      <c r="E36" s="31" t="n">
        <v>1</v>
      </c>
      <c r="F36" s="30" t="s">
        <v>109</v>
      </c>
      <c r="G36" s="30"/>
      <c r="H36" s="32" t="s">
        <v>43</v>
      </c>
      <c r="I36" s="33" t="n">
        <v>5.11</v>
      </c>
      <c r="J36" s="31" t="s">
        <v>110</v>
      </c>
    </row>
    <row r="37" s="28" customFormat="true" ht="14.25" hidden="true" customHeight="true" outlineLevel="0" collapsed="false">
      <c r="B37" s="29" t="s">
        <v>39</v>
      </c>
      <c r="C37" s="30" t="s">
        <v>40</v>
      </c>
      <c r="D37" s="30" t="s">
        <v>106</v>
      </c>
      <c r="E37" s="31" t="n">
        <v>1</v>
      </c>
      <c r="F37" s="30" t="s">
        <v>111</v>
      </c>
      <c r="G37" s="30"/>
      <c r="H37" s="32" t="s">
        <v>43</v>
      </c>
      <c r="I37" s="33" t="n">
        <v>5.06</v>
      </c>
      <c r="J37" s="31" t="s">
        <v>112</v>
      </c>
    </row>
    <row r="38" s="28" customFormat="true" ht="14.25" hidden="true" customHeight="true" outlineLevel="0" collapsed="false">
      <c r="B38" s="29" t="s">
        <v>39</v>
      </c>
      <c r="C38" s="30" t="s">
        <v>40</v>
      </c>
      <c r="D38" s="30" t="s">
        <v>113</v>
      </c>
      <c r="E38" s="31" t="n">
        <v>1</v>
      </c>
      <c r="F38" s="30" t="s">
        <v>114</v>
      </c>
      <c r="G38" s="30"/>
      <c r="H38" s="32" t="s">
        <v>43</v>
      </c>
      <c r="I38" s="33" t="n">
        <v>21.55</v>
      </c>
      <c r="J38" s="31" t="s">
        <v>115</v>
      </c>
    </row>
    <row r="39" s="28" customFormat="true" ht="14.25" hidden="true" customHeight="true" outlineLevel="0" collapsed="false">
      <c r="B39" s="35" t="s">
        <v>39</v>
      </c>
      <c r="C39" s="30" t="s">
        <v>116</v>
      </c>
      <c r="D39" s="30" t="s">
        <v>116</v>
      </c>
      <c r="E39" s="31" t="n">
        <v>1</v>
      </c>
      <c r="F39" s="30" t="s">
        <v>117</v>
      </c>
      <c r="G39" s="30"/>
      <c r="H39" s="32" t="s">
        <v>59</v>
      </c>
      <c r="I39" s="33" t="n">
        <v>981.4</v>
      </c>
      <c r="J39" s="31" t="s">
        <v>118</v>
      </c>
    </row>
    <row r="40" s="28" customFormat="true" ht="14.25" hidden="true" customHeight="true" outlineLevel="0" collapsed="false">
      <c r="B40" s="35" t="s">
        <v>39</v>
      </c>
      <c r="C40" s="30" t="s">
        <v>116</v>
      </c>
      <c r="D40" s="30" t="s">
        <v>116</v>
      </c>
      <c r="E40" s="31" t="n">
        <v>1</v>
      </c>
      <c r="F40" s="30" t="s">
        <v>119</v>
      </c>
      <c r="G40" s="30"/>
      <c r="H40" s="32" t="s">
        <v>59</v>
      </c>
      <c r="I40" s="33" t="n">
        <v>165.25</v>
      </c>
      <c r="J40" s="31" t="s">
        <v>120</v>
      </c>
    </row>
    <row r="41" s="28" customFormat="true" ht="14.25" hidden="true" customHeight="true" outlineLevel="0" collapsed="false">
      <c r="B41" s="35" t="s">
        <v>39</v>
      </c>
      <c r="C41" s="30" t="s">
        <v>116</v>
      </c>
      <c r="D41" s="30" t="s">
        <v>116</v>
      </c>
      <c r="E41" s="31" t="n">
        <v>1</v>
      </c>
      <c r="F41" s="30" t="s">
        <v>121</v>
      </c>
      <c r="G41" s="30"/>
      <c r="H41" s="32" t="s">
        <v>59</v>
      </c>
      <c r="I41" s="33" t="n">
        <v>180.32</v>
      </c>
      <c r="J41" s="31" t="s">
        <v>122</v>
      </c>
    </row>
    <row r="42" s="28" customFormat="true" ht="14.25" hidden="true" customHeight="true" outlineLevel="0" collapsed="false">
      <c r="B42" s="35" t="s">
        <v>39</v>
      </c>
      <c r="C42" s="30" t="s">
        <v>116</v>
      </c>
      <c r="D42" s="30" t="s">
        <v>116</v>
      </c>
      <c r="E42" s="31" t="n">
        <v>1</v>
      </c>
      <c r="F42" s="30" t="s">
        <v>123</v>
      </c>
      <c r="G42" s="30"/>
      <c r="H42" s="32" t="s">
        <v>59</v>
      </c>
      <c r="I42" s="33" t="n">
        <v>126.23</v>
      </c>
      <c r="J42" s="31" t="s">
        <v>124</v>
      </c>
    </row>
    <row r="43" s="28" customFormat="true" ht="14.25" hidden="true" customHeight="true" outlineLevel="0" collapsed="false">
      <c r="B43" s="35" t="s">
        <v>39</v>
      </c>
      <c r="C43" s="30" t="s">
        <v>116</v>
      </c>
      <c r="D43" s="30" t="s">
        <v>116</v>
      </c>
      <c r="E43" s="31" t="n">
        <v>1</v>
      </c>
      <c r="F43" s="30" t="s">
        <v>125</v>
      </c>
      <c r="G43" s="30"/>
      <c r="H43" s="32" t="s">
        <v>59</v>
      </c>
      <c r="I43" s="33" t="n">
        <v>126.23</v>
      </c>
      <c r="J43" s="31" t="s">
        <v>126</v>
      </c>
    </row>
    <row r="44" s="28" customFormat="true" ht="14.25" hidden="true" customHeight="true" outlineLevel="0" collapsed="false">
      <c r="B44" s="35" t="s">
        <v>39</v>
      </c>
      <c r="C44" s="30" t="s">
        <v>127</v>
      </c>
      <c r="D44" s="30" t="s">
        <v>53</v>
      </c>
      <c r="E44" s="31" t="n">
        <v>1</v>
      </c>
      <c r="F44" s="30" t="s">
        <v>128</v>
      </c>
      <c r="G44" s="30"/>
      <c r="H44" s="32" t="s">
        <v>59</v>
      </c>
      <c r="I44" s="33" t="n">
        <v>125.76</v>
      </c>
      <c r="J44" s="31" t="s">
        <v>129</v>
      </c>
    </row>
    <row r="45" s="28" customFormat="true" ht="14.25" hidden="true" customHeight="true" outlineLevel="0" collapsed="false">
      <c r="B45" s="35" t="s">
        <v>39</v>
      </c>
      <c r="C45" s="30" t="s">
        <v>127</v>
      </c>
      <c r="D45" s="30" t="s">
        <v>127</v>
      </c>
      <c r="E45" s="31" t="n">
        <v>1</v>
      </c>
      <c r="F45" s="30" t="s">
        <v>130</v>
      </c>
      <c r="G45" s="30"/>
      <c r="H45" s="32" t="s">
        <v>59</v>
      </c>
      <c r="I45" s="33" t="n">
        <v>981.4</v>
      </c>
      <c r="J45" s="31" t="s">
        <v>131</v>
      </c>
    </row>
    <row r="46" s="28" customFormat="true" ht="14.25" hidden="true" customHeight="true" outlineLevel="0" collapsed="false">
      <c r="B46" s="35" t="s">
        <v>39</v>
      </c>
      <c r="C46" s="30" t="s">
        <v>127</v>
      </c>
      <c r="D46" s="30" t="s">
        <v>127</v>
      </c>
      <c r="E46" s="31" t="n">
        <v>1</v>
      </c>
      <c r="F46" s="30" t="s">
        <v>132</v>
      </c>
      <c r="G46" s="30"/>
      <c r="H46" s="32" t="s">
        <v>59</v>
      </c>
      <c r="I46" s="33" t="n">
        <v>165.25</v>
      </c>
      <c r="J46" s="31" t="s">
        <v>133</v>
      </c>
    </row>
    <row r="47" s="28" customFormat="true" ht="14.25" hidden="true" customHeight="true" outlineLevel="0" collapsed="false">
      <c r="B47" s="35" t="s">
        <v>39</v>
      </c>
      <c r="C47" s="30" t="s">
        <v>127</v>
      </c>
      <c r="D47" s="30" t="s">
        <v>127</v>
      </c>
      <c r="E47" s="31" t="n">
        <v>1</v>
      </c>
      <c r="F47" s="30" t="s">
        <v>134</v>
      </c>
      <c r="G47" s="30"/>
      <c r="H47" s="32" t="s">
        <v>59</v>
      </c>
      <c r="I47" s="33" t="n">
        <v>180.32</v>
      </c>
      <c r="J47" s="31" t="s">
        <v>135</v>
      </c>
    </row>
    <row r="48" s="28" customFormat="true" ht="14.25" hidden="true" customHeight="true" outlineLevel="0" collapsed="false">
      <c r="B48" s="35" t="s">
        <v>39</v>
      </c>
      <c r="C48" s="30" t="s">
        <v>127</v>
      </c>
      <c r="D48" s="30" t="s">
        <v>127</v>
      </c>
      <c r="E48" s="31" t="n">
        <v>1</v>
      </c>
      <c r="F48" s="30" t="s">
        <v>136</v>
      </c>
      <c r="G48" s="30"/>
      <c r="H48" s="32" t="s">
        <v>59</v>
      </c>
      <c r="I48" s="33" t="n">
        <v>126.23</v>
      </c>
      <c r="J48" s="31" t="s">
        <v>137</v>
      </c>
    </row>
    <row r="49" s="28" customFormat="true" ht="14.25" hidden="true" customHeight="true" outlineLevel="0" collapsed="false">
      <c r="B49" s="35" t="s">
        <v>39</v>
      </c>
      <c r="C49" s="30" t="s">
        <v>127</v>
      </c>
      <c r="D49" s="30" t="s">
        <v>127</v>
      </c>
      <c r="E49" s="31" t="n">
        <v>1</v>
      </c>
      <c r="F49" s="30" t="s">
        <v>138</v>
      </c>
      <c r="G49" s="30"/>
      <c r="H49" s="32" t="s">
        <v>59</v>
      </c>
      <c r="I49" s="33" t="n">
        <v>126.23</v>
      </c>
      <c r="J49" s="31" t="s">
        <v>139</v>
      </c>
    </row>
    <row r="50" s="28" customFormat="true" ht="14.25" hidden="true" customHeight="true" outlineLevel="0" collapsed="false">
      <c r="B50" s="29" t="s">
        <v>39</v>
      </c>
      <c r="C50" s="30" t="s">
        <v>140</v>
      </c>
      <c r="D50" s="30" t="s">
        <v>141</v>
      </c>
      <c r="E50" s="31" t="n">
        <v>1</v>
      </c>
      <c r="F50" s="30" t="s">
        <v>142</v>
      </c>
      <c r="G50" s="30"/>
      <c r="H50" s="32" t="s">
        <v>43</v>
      </c>
      <c r="I50" s="33" t="n">
        <v>5.73</v>
      </c>
      <c r="J50" s="31" t="s">
        <v>143</v>
      </c>
    </row>
    <row r="51" s="28" customFormat="true" ht="14.25" hidden="true" customHeight="true" outlineLevel="0" collapsed="false">
      <c r="B51" s="29" t="s">
        <v>39</v>
      </c>
      <c r="C51" s="30" t="s">
        <v>140</v>
      </c>
      <c r="D51" s="30" t="s">
        <v>141</v>
      </c>
      <c r="E51" s="31" t="n">
        <v>1</v>
      </c>
      <c r="F51" s="30" t="s">
        <v>144</v>
      </c>
      <c r="G51" s="30"/>
      <c r="H51" s="32" t="s">
        <v>43</v>
      </c>
      <c r="I51" s="33" t="n">
        <v>4.99</v>
      </c>
      <c r="J51" s="31" t="s">
        <v>145</v>
      </c>
    </row>
    <row r="52" s="28" customFormat="true" ht="14.25" hidden="true" customHeight="true" outlineLevel="0" collapsed="false">
      <c r="B52" s="29" t="s">
        <v>39</v>
      </c>
      <c r="C52" s="30" t="s">
        <v>140</v>
      </c>
      <c r="D52" s="30" t="s">
        <v>141</v>
      </c>
      <c r="E52" s="31" t="n">
        <v>1</v>
      </c>
      <c r="F52" s="30" t="s">
        <v>146</v>
      </c>
      <c r="G52" s="30"/>
      <c r="H52" s="32" t="s">
        <v>43</v>
      </c>
      <c r="I52" s="33" t="n">
        <v>5.72</v>
      </c>
      <c r="J52" s="31" t="s">
        <v>147</v>
      </c>
    </row>
    <row r="53" s="28" customFormat="true" ht="14.25" hidden="true" customHeight="true" outlineLevel="0" collapsed="false">
      <c r="B53" s="29" t="s">
        <v>39</v>
      </c>
      <c r="C53" s="30" t="s">
        <v>140</v>
      </c>
      <c r="D53" s="30" t="s">
        <v>141</v>
      </c>
      <c r="E53" s="31" t="n">
        <v>1</v>
      </c>
      <c r="F53" s="30" t="s">
        <v>148</v>
      </c>
      <c r="G53" s="30"/>
      <c r="H53" s="32" t="s">
        <v>43</v>
      </c>
      <c r="I53" s="33" t="n">
        <v>54.62</v>
      </c>
      <c r="J53" s="31" t="s">
        <v>149</v>
      </c>
    </row>
    <row r="54" s="28" customFormat="true" ht="14.25" hidden="true" customHeight="true" outlineLevel="0" collapsed="false">
      <c r="B54" s="29" t="s">
        <v>39</v>
      </c>
      <c r="C54" s="30" t="s">
        <v>140</v>
      </c>
      <c r="D54" s="30" t="s">
        <v>141</v>
      </c>
      <c r="E54" s="31" t="n">
        <v>1</v>
      </c>
      <c r="F54" s="30" t="s">
        <v>150</v>
      </c>
      <c r="G54" s="30"/>
      <c r="H54" s="32" t="s">
        <v>43</v>
      </c>
      <c r="I54" s="33" t="n">
        <v>5.16</v>
      </c>
      <c r="J54" s="31" t="s">
        <v>151</v>
      </c>
    </row>
    <row r="55" s="28" customFormat="true" ht="14.25" hidden="true" customHeight="true" outlineLevel="0" collapsed="false">
      <c r="B55" s="29" t="s">
        <v>39</v>
      </c>
      <c r="C55" s="30" t="s">
        <v>140</v>
      </c>
      <c r="D55" s="30" t="s">
        <v>141</v>
      </c>
      <c r="E55" s="31" t="n">
        <v>1</v>
      </c>
      <c r="F55" s="30" t="s">
        <v>152</v>
      </c>
      <c r="G55" s="30"/>
      <c r="H55" s="32" t="s">
        <v>43</v>
      </c>
      <c r="I55" s="33" t="n">
        <v>20.42</v>
      </c>
      <c r="J55" s="31" t="s">
        <v>153</v>
      </c>
    </row>
    <row r="56" s="28" customFormat="true" ht="14.25" hidden="true" customHeight="true" outlineLevel="0" collapsed="false">
      <c r="B56" s="29" t="s">
        <v>39</v>
      </c>
      <c r="C56" s="30" t="s">
        <v>140</v>
      </c>
      <c r="D56" s="30" t="s">
        <v>53</v>
      </c>
      <c r="E56" s="31" t="n">
        <v>1</v>
      </c>
      <c r="F56" s="30" t="s">
        <v>154</v>
      </c>
      <c r="G56" s="30"/>
      <c r="H56" s="32" t="s">
        <v>43</v>
      </c>
      <c r="I56" s="33" t="n">
        <v>83.29</v>
      </c>
      <c r="J56" s="31" t="s">
        <v>155</v>
      </c>
    </row>
    <row r="57" s="28" customFormat="true" ht="14.25" hidden="true" customHeight="true" outlineLevel="0" collapsed="false">
      <c r="B57" s="29" t="s">
        <v>39</v>
      </c>
      <c r="C57" s="30" t="s">
        <v>140</v>
      </c>
      <c r="D57" s="30" t="s">
        <v>53</v>
      </c>
      <c r="E57" s="31" t="n">
        <v>1</v>
      </c>
      <c r="F57" s="30" t="s">
        <v>156</v>
      </c>
      <c r="G57" s="30"/>
      <c r="H57" s="32" t="s">
        <v>43</v>
      </c>
      <c r="I57" s="33" t="n">
        <v>46.35</v>
      </c>
      <c r="J57" s="31" t="s">
        <v>157</v>
      </c>
    </row>
    <row r="58" s="28" customFormat="true" ht="14.25" hidden="true" customHeight="true" outlineLevel="0" collapsed="false">
      <c r="B58" s="29" t="s">
        <v>39</v>
      </c>
      <c r="C58" s="30" t="s">
        <v>140</v>
      </c>
      <c r="D58" s="30" t="s">
        <v>53</v>
      </c>
      <c r="E58" s="31" t="n">
        <v>1</v>
      </c>
      <c r="F58" s="30" t="s">
        <v>158</v>
      </c>
      <c r="G58" s="30"/>
      <c r="H58" s="32" t="s">
        <v>43</v>
      </c>
      <c r="I58" s="33" t="n">
        <v>76.75</v>
      </c>
      <c r="J58" s="31" t="s">
        <v>159</v>
      </c>
    </row>
    <row r="59" s="28" customFormat="true" ht="14.25" hidden="true" customHeight="true" outlineLevel="0" collapsed="false">
      <c r="B59" s="29" t="s">
        <v>39</v>
      </c>
      <c r="C59" s="30" t="s">
        <v>140</v>
      </c>
      <c r="D59" s="30" t="s">
        <v>160</v>
      </c>
      <c r="E59" s="31" t="n">
        <v>1</v>
      </c>
      <c r="F59" s="30" t="s">
        <v>161</v>
      </c>
      <c r="G59" s="30"/>
      <c r="H59" s="32" t="s">
        <v>43</v>
      </c>
      <c r="I59" s="33" t="n">
        <v>4.8</v>
      </c>
      <c r="J59" s="31" t="s">
        <v>162</v>
      </c>
    </row>
    <row r="60" s="28" customFormat="true" ht="14.25" hidden="true" customHeight="true" outlineLevel="0" collapsed="false">
      <c r="B60" s="29" t="s">
        <v>39</v>
      </c>
      <c r="C60" s="30" t="s">
        <v>140</v>
      </c>
      <c r="D60" s="30" t="s">
        <v>160</v>
      </c>
      <c r="E60" s="31" t="n">
        <v>1</v>
      </c>
      <c r="F60" s="30" t="s">
        <v>163</v>
      </c>
      <c r="G60" s="30"/>
      <c r="H60" s="32" t="s">
        <v>43</v>
      </c>
      <c r="I60" s="33" t="n">
        <v>84.61</v>
      </c>
      <c r="J60" s="31" t="s">
        <v>164</v>
      </c>
    </row>
    <row r="61" s="28" customFormat="true" ht="14.25" hidden="true" customHeight="true" outlineLevel="0" collapsed="false">
      <c r="B61" s="29" t="s">
        <v>39</v>
      </c>
      <c r="C61" s="30" t="s">
        <v>140</v>
      </c>
      <c r="D61" s="30" t="s">
        <v>160</v>
      </c>
      <c r="E61" s="31" t="n">
        <v>1</v>
      </c>
      <c r="F61" s="30" t="s">
        <v>165</v>
      </c>
      <c r="G61" s="30"/>
      <c r="H61" s="32" t="s">
        <v>43</v>
      </c>
      <c r="I61" s="33" t="n">
        <v>40.43</v>
      </c>
      <c r="J61" s="31" t="s">
        <v>166</v>
      </c>
    </row>
    <row r="62" s="28" customFormat="true" ht="14.25" hidden="true" customHeight="true" outlineLevel="0" collapsed="false">
      <c r="B62" s="29" t="s">
        <v>39</v>
      </c>
      <c r="C62" s="30" t="s">
        <v>140</v>
      </c>
      <c r="D62" s="30" t="s">
        <v>160</v>
      </c>
      <c r="E62" s="31" t="n">
        <v>1</v>
      </c>
      <c r="F62" s="30" t="s">
        <v>167</v>
      </c>
      <c r="G62" s="30"/>
      <c r="H62" s="32" t="s">
        <v>43</v>
      </c>
      <c r="I62" s="33" t="n">
        <v>13.06</v>
      </c>
      <c r="J62" s="31" t="s">
        <v>168</v>
      </c>
    </row>
    <row r="63" s="28" customFormat="true" ht="14.25" hidden="true" customHeight="true" outlineLevel="0" collapsed="false">
      <c r="B63" s="29" t="s">
        <v>39</v>
      </c>
      <c r="C63" s="30" t="s">
        <v>140</v>
      </c>
      <c r="D63" s="30" t="s">
        <v>160</v>
      </c>
      <c r="E63" s="31" t="n">
        <v>1</v>
      </c>
      <c r="F63" s="30" t="s">
        <v>169</v>
      </c>
      <c r="G63" s="30"/>
      <c r="H63" s="32" t="s">
        <v>43</v>
      </c>
      <c r="I63" s="33" t="n">
        <v>24.5</v>
      </c>
      <c r="J63" s="31" t="s">
        <v>170</v>
      </c>
    </row>
    <row r="64" s="28" customFormat="true" ht="14.25" hidden="true" customHeight="true" outlineLevel="0" collapsed="false">
      <c r="B64" s="29" t="s">
        <v>39</v>
      </c>
      <c r="C64" s="30" t="s">
        <v>140</v>
      </c>
      <c r="D64" s="30" t="s">
        <v>160</v>
      </c>
      <c r="E64" s="31" t="n">
        <v>1</v>
      </c>
      <c r="F64" s="30" t="s">
        <v>171</v>
      </c>
      <c r="G64" s="30"/>
      <c r="H64" s="32" t="s">
        <v>43</v>
      </c>
      <c r="I64" s="33" t="n">
        <v>11.11</v>
      </c>
      <c r="J64" s="31" t="s">
        <v>172</v>
      </c>
    </row>
    <row r="65" s="28" customFormat="true" ht="14.25" hidden="true" customHeight="true" outlineLevel="0" collapsed="false">
      <c r="B65" s="29" t="s">
        <v>39</v>
      </c>
      <c r="C65" s="30" t="s">
        <v>140</v>
      </c>
      <c r="D65" s="30" t="s">
        <v>173</v>
      </c>
      <c r="E65" s="31" t="n">
        <v>1</v>
      </c>
      <c r="F65" s="30" t="s">
        <v>174</v>
      </c>
      <c r="G65" s="30"/>
      <c r="H65" s="32" t="s">
        <v>43</v>
      </c>
      <c r="I65" s="33" t="n">
        <v>6.44</v>
      </c>
      <c r="J65" s="31" t="s">
        <v>175</v>
      </c>
    </row>
    <row r="66" s="28" customFormat="true" ht="14.25" hidden="true" customHeight="true" outlineLevel="0" collapsed="false">
      <c r="B66" s="29" t="s">
        <v>39</v>
      </c>
      <c r="C66" s="30" t="s">
        <v>140</v>
      </c>
      <c r="D66" s="30" t="s">
        <v>173</v>
      </c>
      <c r="E66" s="31" t="n">
        <v>1</v>
      </c>
      <c r="F66" s="30" t="s">
        <v>176</v>
      </c>
      <c r="G66" s="30"/>
      <c r="H66" s="32" t="s">
        <v>43</v>
      </c>
      <c r="I66" s="33" t="n">
        <v>24.35</v>
      </c>
      <c r="J66" s="31" t="s">
        <v>177</v>
      </c>
    </row>
    <row r="67" s="28" customFormat="true" ht="14.25" hidden="true" customHeight="true" outlineLevel="0" collapsed="false">
      <c r="B67" s="29" t="s">
        <v>39</v>
      </c>
      <c r="C67" s="30" t="s">
        <v>140</v>
      </c>
      <c r="D67" s="30" t="s">
        <v>173</v>
      </c>
      <c r="E67" s="31" t="n">
        <v>1</v>
      </c>
      <c r="F67" s="30" t="s">
        <v>178</v>
      </c>
      <c r="G67" s="30"/>
      <c r="H67" s="32" t="s">
        <v>43</v>
      </c>
      <c r="I67" s="33" t="n">
        <v>32.94</v>
      </c>
      <c r="J67" s="31" t="s">
        <v>179</v>
      </c>
    </row>
    <row r="68" s="28" customFormat="true" ht="14.25" hidden="true" customHeight="true" outlineLevel="0" collapsed="false">
      <c r="B68" s="29" t="s">
        <v>39</v>
      </c>
      <c r="C68" s="30" t="s">
        <v>140</v>
      </c>
      <c r="D68" s="30" t="s">
        <v>173</v>
      </c>
      <c r="E68" s="31" t="n">
        <v>1</v>
      </c>
      <c r="F68" s="30" t="s">
        <v>180</v>
      </c>
      <c r="G68" s="30"/>
      <c r="H68" s="32" t="s">
        <v>43</v>
      </c>
      <c r="I68" s="33" t="n">
        <v>63.69</v>
      </c>
      <c r="J68" s="31" t="s">
        <v>181</v>
      </c>
    </row>
    <row r="69" s="28" customFormat="true" ht="14.25" hidden="true" customHeight="true" outlineLevel="0" collapsed="false">
      <c r="B69" s="29" t="s">
        <v>39</v>
      </c>
      <c r="C69" s="30" t="s">
        <v>140</v>
      </c>
      <c r="D69" s="30" t="s">
        <v>173</v>
      </c>
      <c r="E69" s="31" t="n">
        <v>1</v>
      </c>
      <c r="F69" s="30" t="s">
        <v>182</v>
      </c>
      <c r="G69" s="30"/>
      <c r="H69" s="32" t="s">
        <v>43</v>
      </c>
      <c r="I69" s="33" t="n">
        <v>21.57</v>
      </c>
      <c r="J69" s="31" t="s">
        <v>183</v>
      </c>
    </row>
    <row r="70" s="28" customFormat="true" ht="14.25" hidden="true" customHeight="true" outlineLevel="0" collapsed="false">
      <c r="B70" s="29" t="s">
        <v>39</v>
      </c>
      <c r="C70" s="30" t="s">
        <v>140</v>
      </c>
      <c r="D70" s="30" t="s">
        <v>173</v>
      </c>
      <c r="E70" s="31" t="n">
        <v>1</v>
      </c>
      <c r="F70" s="30" t="s">
        <v>184</v>
      </c>
      <c r="G70" s="30"/>
      <c r="H70" s="32" t="s">
        <v>43</v>
      </c>
      <c r="I70" s="33" t="n">
        <v>29.68</v>
      </c>
      <c r="J70" s="31" t="s">
        <v>185</v>
      </c>
    </row>
    <row r="71" s="28" customFormat="true" ht="14.25" hidden="true" customHeight="true" outlineLevel="0" collapsed="false">
      <c r="B71" s="29" t="s">
        <v>39</v>
      </c>
      <c r="C71" s="30" t="s">
        <v>140</v>
      </c>
      <c r="D71" s="30" t="s">
        <v>173</v>
      </c>
      <c r="E71" s="31" t="n">
        <v>1</v>
      </c>
      <c r="F71" s="30" t="s">
        <v>186</v>
      </c>
      <c r="G71" s="30"/>
      <c r="H71" s="32" t="s">
        <v>43</v>
      </c>
      <c r="I71" s="33" t="n">
        <v>51.08</v>
      </c>
      <c r="J71" s="31" t="s">
        <v>187</v>
      </c>
    </row>
    <row r="72" s="28" customFormat="true" ht="14.25" hidden="true" customHeight="true" outlineLevel="0" collapsed="false">
      <c r="B72" s="29" t="s">
        <v>39</v>
      </c>
      <c r="C72" s="30" t="s">
        <v>140</v>
      </c>
      <c r="D72" s="30" t="s">
        <v>173</v>
      </c>
      <c r="E72" s="31" t="n">
        <v>1</v>
      </c>
      <c r="F72" s="30" t="s">
        <v>188</v>
      </c>
      <c r="G72" s="30"/>
      <c r="H72" s="32" t="s">
        <v>43</v>
      </c>
      <c r="I72" s="33" t="n">
        <v>7.04</v>
      </c>
      <c r="J72" s="31" t="s">
        <v>189</v>
      </c>
    </row>
    <row r="73" s="28" customFormat="true" ht="14.25" hidden="true" customHeight="true" outlineLevel="0" collapsed="false">
      <c r="B73" s="29" t="s">
        <v>39</v>
      </c>
      <c r="C73" s="30" t="s">
        <v>140</v>
      </c>
      <c r="D73" s="30" t="s">
        <v>173</v>
      </c>
      <c r="E73" s="31" t="n">
        <v>1</v>
      </c>
      <c r="F73" s="30" t="s">
        <v>190</v>
      </c>
      <c r="G73" s="30"/>
      <c r="H73" s="32" t="s">
        <v>43</v>
      </c>
      <c r="I73" s="33" t="n">
        <v>7.04</v>
      </c>
      <c r="J73" s="31" t="s">
        <v>191</v>
      </c>
    </row>
    <row r="74" s="28" customFormat="true" ht="14.25" hidden="true" customHeight="true" outlineLevel="0" collapsed="false">
      <c r="B74" s="29" t="s">
        <v>39</v>
      </c>
      <c r="C74" s="30" t="s">
        <v>140</v>
      </c>
      <c r="D74" s="30" t="s">
        <v>113</v>
      </c>
      <c r="E74" s="31" t="n">
        <v>1</v>
      </c>
      <c r="F74" s="30" t="s">
        <v>192</v>
      </c>
      <c r="G74" s="30"/>
      <c r="H74" s="32" t="s">
        <v>43</v>
      </c>
      <c r="I74" s="33" t="n">
        <v>37.21</v>
      </c>
      <c r="J74" s="31" t="s">
        <v>193</v>
      </c>
    </row>
    <row r="75" s="28" customFormat="true" ht="14.25" hidden="true" customHeight="true" outlineLevel="0" collapsed="false">
      <c r="B75" s="29" t="s">
        <v>39</v>
      </c>
      <c r="C75" s="30" t="s">
        <v>140</v>
      </c>
      <c r="D75" s="30" t="s">
        <v>113</v>
      </c>
      <c r="E75" s="31" t="n">
        <v>1</v>
      </c>
      <c r="F75" s="30" t="s">
        <v>194</v>
      </c>
      <c r="G75" s="30"/>
      <c r="H75" s="32" t="s">
        <v>43</v>
      </c>
      <c r="I75" s="33" t="n">
        <v>123.17</v>
      </c>
      <c r="J75" s="31" t="s">
        <v>195</v>
      </c>
    </row>
    <row r="76" s="28" customFormat="true" ht="14.25" hidden="true" customHeight="true" outlineLevel="0" collapsed="false">
      <c r="B76" s="29" t="s">
        <v>39</v>
      </c>
      <c r="C76" s="30" t="s">
        <v>140</v>
      </c>
      <c r="D76" s="30" t="s">
        <v>106</v>
      </c>
      <c r="E76" s="31" t="n">
        <v>1</v>
      </c>
      <c r="F76" s="30" t="s">
        <v>196</v>
      </c>
      <c r="G76" s="30"/>
      <c r="H76" s="32" t="s">
        <v>43</v>
      </c>
      <c r="I76" s="33" t="n">
        <v>18.31</v>
      </c>
      <c r="J76" s="31" t="s">
        <v>197</v>
      </c>
    </row>
    <row r="77" s="28" customFormat="true" ht="14.25" hidden="true" customHeight="true" outlineLevel="0" collapsed="false">
      <c r="B77" s="29" t="s">
        <v>39</v>
      </c>
      <c r="C77" s="30" t="s">
        <v>140</v>
      </c>
      <c r="D77" s="30" t="s">
        <v>106</v>
      </c>
      <c r="E77" s="31" t="n">
        <v>1</v>
      </c>
      <c r="F77" s="30" t="s">
        <v>198</v>
      </c>
      <c r="G77" s="30"/>
      <c r="H77" s="32" t="s">
        <v>43</v>
      </c>
      <c r="I77" s="33" t="n">
        <v>12.55</v>
      </c>
      <c r="J77" s="31" t="s">
        <v>199</v>
      </c>
    </row>
    <row r="78" s="28" customFormat="true" ht="14.25" hidden="true" customHeight="true" outlineLevel="0" collapsed="false">
      <c r="B78" s="29" t="s">
        <v>39</v>
      </c>
      <c r="C78" s="30" t="s">
        <v>140</v>
      </c>
      <c r="D78" s="30" t="s">
        <v>41</v>
      </c>
      <c r="E78" s="31" t="n">
        <v>1</v>
      </c>
      <c r="F78" s="30" t="s">
        <v>200</v>
      </c>
      <c r="G78" s="30"/>
      <c r="H78" s="32" t="s">
        <v>43</v>
      </c>
      <c r="I78" s="33" t="n">
        <v>5.04</v>
      </c>
      <c r="J78" s="31" t="s">
        <v>201</v>
      </c>
    </row>
    <row r="79" s="28" customFormat="true" ht="14.25" hidden="true" customHeight="true" outlineLevel="0" collapsed="false">
      <c r="B79" s="29" t="s">
        <v>39</v>
      </c>
      <c r="C79" s="30" t="s">
        <v>140</v>
      </c>
      <c r="D79" s="30" t="s">
        <v>113</v>
      </c>
      <c r="E79" s="31" t="n">
        <v>1</v>
      </c>
      <c r="F79" s="30" t="s">
        <v>202</v>
      </c>
      <c r="G79" s="30"/>
      <c r="H79" s="32" t="s">
        <v>43</v>
      </c>
      <c r="I79" s="33" t="n">
        <v>28.65</v>
      </c>
      <c r="J79" s="31" t="s">
        <v>203</v>
      </c>
    </row>
    <row r="80" s="28" customFormat="true" ht="14.25" hidden="true" customHeight="true" outlineLevel="0" collapsed="false">
      <c r="B80" s="29" t="s">
        <v>39</v>
      </c>
      <c r="C80" s="30" t="s">
        <v>140</v>
      </c>
      <c r="D80" s="30" t="s">
        <v>53</v>
      </c>
      <c r="E80" s="31" t="n">
        <v>2</v>
      </c>
      <c r="F80" s="30" t="s">
        <v>204</v>
      </c>
      <c r="G80" s="30"/>
      <c r="H80" s="32" t="s">
        <v>43</v>
      </c>
      <c r="I80" s="33" t="n">
        <v>92.13</v>
      </c>
      <c r="J80" s="31" t="s">
        <v>205</v>
      </c>
    </row>
    <row r="81" s="28" customFormat="true" ht="14.25" hidden="true" customHeight="true" outlineLevel="0" collapsed="false">
      <c r="B81" s="29" t="s">
        <v>39</v>
      </c>
      <c r="C81" s="30" t="s">
        <v>140</v>
      </c>
      <c r="D81" s="30" t="s">
        <v>206</v>
      </c>
      <c r="E81" s="31" t="n">
        <v>2</v>
      </c>
      <c r="F81" s="30" t="s">
        <v>207</v>
      </c>
      <c r="G81" s="30"/>
      <c r="H81" s="32" t="s">
        <v>43</v>
      </c>
      <c r="I81" s="33" t="n">
        <v>6.43</v>
      </c>
      <c r="J81" s="31" t="s">
        <v>208</v>
      </c>
    </row>
    <row r="82" s="28" customFormat="true" ht="14.25" hidden="true" customHeight="true" outlineLevel="0" collapsed="false">
      <c r="B82" s="29" t="s">
        <v>39</v>
      </c>
      <c r="C82" s="30" t="s">
        <v>140</v>
      </c>
      <c r="D82" s="30" t="s">
        <v>206</v>
      </c>
      <c r="E82" s="31" t="n">
        <v>2</v>
      </c>
      <c r="F82" s="30" t="s">
        <v>209</v>
      </c>
      <c r="G82" s="30"/>
      <c r="H82" s="32" t="s">
        <v>43</v>
      </c>
      <c r="I82" s="33" t="n">
        <v>15.18</v>
      </c>
      <c r="J82" s="31" t="s">
        <v>210</v>
      </c>
    </row>
    <row r="83" s="28" customFormat="true" ht="14.25" hidden="true" customHeight="true" outlineLevel="0" collapsed="false">
      <c r="B83" s="29" t="s">
        <v>39</v>
      </c>
      <c r="C83" s="30" t="s">
        <v>140</v>
      </c>
      <c r="D83" s="30" t="s">
        <v>206</v>
      </c>
      <c r="E83" s="31" t="n">
        <v>2</v>
      </c>
      <c r="F83" s="30" t="s">
        <v>211</v>
      </c>
      <c r="G83" s="30"/>
      <c r="H83" s="32" t="s">
        <v>43</v>
      </c>
      <c r="I83" s="33" t="n">
        <v>14.82</v>
      </c>
      <c r="J83" s="31" t="s">
        <v>212</v>
      </c>
    </row>
    <row r="84" s="28" customFormat="true" ht="14.25" hidden="true" customHeight="true" outlineLevel="0" collapsed="false">
      <c r="B84" s="29" t="s">
        <v>39</v>
      </c>
      <c r="C84" s="30" t="s">
        <v>140</v>
      </c>
      <c r="D84" s="30" t="s">
        <v>206</v>
      </c>
      <c r="E84" s="31" t="n">
        <v>2</v>
      </c>
      <c r="F84" s="30" t="s">
        <v>213</v>
      </c>
      <c r="G84" s="30"/>
      <c r="H84" s="32" t="s">
        <v>43</v>
      </c>
      <c r="I84" s="33" t="n">
        <v>171.27</v>
      </c>
      <c r="J84" s="31" t="s">
        <v>214</v>
      </c>
    </row>
    <row r="85" s="28" customFormat="true" ht="14.25" hidden="true" customHeight="true" outlineLevel="0" collapsed="false">
      <c r="B85" s="29" t="s">
        <v>39</v>
      </c>
      <c r="C85" s="30" t="s">
        <v>140</v>
      </c>
      <c r="D85" s="30" t="s">
        <v>206</v>
      </c>
      <c r="E85" s="31" t="n">
        <v>2</v>
      </c>
      <c r="F85" s="30" t="s">
        <v>215</v>
      </c>
      <c r="G85" s="30"/>
      <c r="H85" s="32" t="s">
        <v>43</v>
      </c>
      <c r="I85" s="33" t="n">
        <v>29.64</v>
      </c>
      <c r="J85" s="31" t="s">
        <v>216</v>
      </c>
    </row>
    <row r="86" s="28" customFormat="true" ht="14.25" hidden="true" customHeight="true" outlineLevel="0" collapsed="false">
      <c r="B86" s="29" t="s">
        <v>39</v>
      </c>
      <c r="C86" s="30" t="s">
        <v>140</v>
      </c>
      <c r="D86" s="30" t="s">
        <v>206</v>
      </c>
      <c r="E86" s="31" t="n">
        <v>2</v>
      </c>
      <c r="F86" s="30" t="s">
        <v>217</v>
      </c>
      <c r="G86" s="30"/>
      <c r="H86" s="32" t="s">
        <v>43</v>
      </c>
      <c r="I86" s="33" t="n">
        <v>44.13</v>
      </c>
      <c r="J86" s="31" t="s">
        <v>218</v>
      </c>
    </row>
    <row r="87" s="28" customFormat="true" ht="14.25" hidden="true" customHeight="true" outlineLevel="0" collapsed="false">
      <c r="B87" s="29" t="s">
        <v>39</v>
      </c>
      <c r="C87" s="30" t="s">
        <v>140</v>
      </c>
      <c r="D87" s="30" t="s">
        <v>206</v>
      </c>
      <c r="E87" s="31" t="n">
        <v>2</v>
      </c>
      <c r="F87" s="30" t="s">
        <v>219</v>
      </c>
      <c r="G87" s="30"/>
      <c r="H87" s="32" t="s">
        <v>43</v>
      </c>
      <c r="I87" s="33" t="n">
        <v>10.89</v>
      </c>
      <c r="J87" s="31" t="s">
        <v>220</v>
      </c>
    </row>
    <row r="88" s="28" customFormat="true" ht="14.25" hidden="true" customHeight="true" outlineLevel="0" collapsed="false">
      <c r="B88" s="29" t="s">
        <v>39</v>
      </c>
      <c r="C88" s="30" t="s">
        <v>140</v>
      </c>
      <c r="D88" s="30" t="s">
        <v>206</v>
      </c>
      <c r="E88" s="31" t="n">
        <v>2</v>
      </c>
      <c r="F88" s="30" t="s">
        <v>221</v>
      </c>
      <c r="G88" s="30"/>
      <c r="H88" s="32" t="s">
        <v>43</v>
      </c>
      <c r="I88" s="33" t="n">
        <v>10.89</v>
      </c>
      <c r="J88" s="31" t="s">
        <v>222</v>
      </c>
    </row>
    <row r="89" s="28" customFormat="true" ht="14.25" hidden="true" customHeight="true" outlineLevel="0" collapsed="false">
      <c r="B89" s="29" t="s">
        <v>39</v>
      </c>
      <c r="C89" s="30" t="s">
        <v>140</v>
      </c>
      <c r="D89" s="30" t="s">
        <v>206</v>
      </c>
      <c r="E89" s="31" t="n">
        <v>2</v>
      </c>
      <c r="F89" s="30" t="s">
        <v>223</v>
      </c>
      <c r="G89" s="30"/>
      <c r="H89" s="32" t="s">
        <v>43</v>
      </c>
      <c r="I89" s="33" t="n">
        <v>9.79</v>
      </c>
      <c r="J89" s="31" t="s">
        <v>224</v>
      </c>
    </row>
    <row r="90" s="28" customFormat="true" ht="14.25" hidden="true" customHeight="true" outlineLevel="0" collapsed="false">
      <c r="B90" s="29" t="s">
        <v>39</v>
      </c>
      <c r="C90" s="30" t="s">
        <v>140</v>
      </c>
      <c r="D90" s="30" t="s">
        <v>225</v>
      </c>
      <c r="E90" s="31" t="n">
        <v>2</v>
      </c>
      <c r="F90" s="30" t="s">
        <v>226</v>
      </c>
      <c r="G90" s="30"/>
      <c r="H90" s="32" t="s">
        <v>227</v>
      </c>
      <c r="I90" s="33" t="n">
        <v>198.85</v>
      </c>
      <c r="J90" s="31" t="s">
        <v>228</v>
      </c>
    </row>
    <row r="91" s="28" customFormat="true" ht="14.25" hidden="true" customHeight="true" outlineLevel="0" collapsed="false">
      <c r="B91" s="29" t="s">
        <v>39</v>
      </c>
      <c r="C91" s="30" t="s">
        <v>140</v>
      </c>
      <c r="D91" s="30" t="s">
        <v>225</v>
      </c>
      <c r="E91" s="31" t="n">
        <v>2</v>
      </c>
      <c r="F91" s="30" t="s">
        <v>229</v>
      </c>
      <c r="G91" s="30"/>
      <c r="H91" s="32" t="s">
        <v>227</v>
      </c>
      <c r="I91" s="33" t="n">
        <v>31.62</v>
      </c>
      <c r="J91" s="31" t="s">
        <v>230</v>
      </c>
    </row>
    <row r="92" s="28" customFormat="true" ht="14.25" hidden="true" customHeight="true" outlineLevel="0" collapsed="false">
      <c r="B92" s="29" t="s">
        <v>39</v>
      </c>
      <c r="C92" s="30" t="s">
        <v>140</v>
      </c>
      <c r="D92" s="30" t="s">
        <v>225</v>
      </c>
      <c r="E92" s="31" t="n">
        <v>2</v>
      </c>
      <c r="F92" s="30" t="s">
        <v>231</v>
      </c>
      <c r="G92" s="30"/>
      <c r="H92" s="32" t="s">
        <v>227</v>
      </c>
      <c r="I92" s="33" t="n">
        <v>9.79</v>
      </c>
      <c r="J92" s="31" t="s">
        <v>232</v>
      </c>
    </row>
    <row r="93" s="28" customFormat="true" ht="14.25" hidden="true" customHeight="true" outlineLevel="0" collapsed="false">
      <c r="B93" s="29" t="s">
        <v>39</v>
      </c>
      <c r="C93" s="30" t="s">
        <v>140</v>
      </c>
      <c r="D93" s="30" t="s">
        <v>225</v>
      </c>
      <c r="E93" s="31" t="n">
        <v>2</v>
      </c>
      <c r="F93" s="30" t="s">
        <v>233</v>
      </c>
      <c r="G93" s="30"/>
      <c r="H93" s="32" t="s">
        <v>227</v>
      </c>
      <c r="I93" s="33" t="n">
        <v>10.01</v>
      </c>
      <c r="J93" s="31" t="s">
        <v>234</v>
      </c>
    </row>
    <row r="94" s="28" customFormat="true" ht="14.25" hidden="true" customHeight="true" outlineLevel="0" collapsed="false">
      <c r="B94" s="29" t="s">
        <v>39</v>
      </c>
      <c r="C94" s="30" t="s">
        <v>140</v>
      </c>
      <c r="D94" s="30" t="s">
        <v>225</v>
      </c>
      <c r="E94" s="31" t="n">
        <v>2</v>
      </c>
      <c r="F94" s="30" t="s">
        <v>235</v>
      </c>
      <c r="G94" s="30"/>
      <c r="H94" s="32" t="s">
        <v>227</v>
      </c>
      <c r="I94" s="33" t="n">
        <v>10.01</v>
      </c>
      <c r="J94" s="31" t="s">
        <v>236</v>
      </c>
    </row>
    <row r="95" s="28" customFormat="true" ht="14.25" hidden="true" customHeight="true" outlineLevel="0" collapsed="false">
      <c r="B95" s="29" t="s">
        <v>39</v>
      </c>
      <c r="C95" s="30" t="s">
        <v>140</v>
      </c>
      <c r="D95" s="30" t="s">
        <v>237</v>
      </c>
      <c r="E95" s="31" t="n">
        <v>2</v>
      </c>
      <c r="F95" s="30" t="s">
        <v>238</v>
      </c>
      <c r="G95" s="30"/>
      <c r="H95" s="32" t="s">
        <v>227</v>
      </c>
      <c r="I95" s="33" t="n">
        <v>9.9</v>
      </c>
      <c r="J95" s="31" t="s">
        <v>239</v>
      </c>
    </row>
    <row r="96" s="28" customFormat="true" ht="14.25" hidden="true" customHeight="true" outlineLevel="0" collapsed="false">
      <c r="B96" s="29" t="s">
        <v>39</v>
      </c>
      <c r="C96" s="30" t="s">
        <v>140</v>
      </c>
      <c r="D96" s="30" t="s">
        <v>237</v>
      </c>
      <c r="E96" s="31" t="n">
        <v>2</v>
      </c>
      <c r="F96" s="30" t="s">
        <v>240</v>
      </c>
      <c r="G96" s="30"/>
      <c r="H96" s="32" t="s">
        <v>227</v>
      </c>
      <c r="I96" s="33" t="n">
        <v>9.96</v>
      </c>
      <c r="J96" s="31" t="s">
        <v>241</v>
      </c>
    </row>
    <row r="97" s="28" customFormat="true" ht="14.25" hidden="true" customHeight="true" outlineLevel="0" collapsed="false">
      <c r="B97" s="29" t="s">
        <v>39</v>
      </c>
      <c r="C97" s="30" t="s">
        <v>140</v>
      </c>
      <c r="D97" s="30" t="s">
        <v>237</v>
      </c>
      <c r="E97" s="31" t="n">
        <v>2</v>
      </c>
      <c r="F97" s="30" t="s">
        <v>242</v>
      </c>
      <c r="G97" s="30"/>
      <c r="H97" s="32" t="s">
        <v>227</v>
      </c>
      <c r="I97" s="33" t="n">
        <v>138.9</v>
      </c>
      <c r="J97" s="31" t="s">
        <v>243</v>
      </c>
    </row>
    <row r="98" s="28" customFormat="true" ht="14.25" hidden="true" customHeight="true" outlineLevel="0" collapsed="false">
      <c r="B98" s="29" t="s">
        <v>39</v>
      </c>
      <c r="C98" s="30" t="s">
        <v>140</v>
      </c>
      <c r="D98" s="30" t="s">
        <v>237</v>
      </c>
      <c r="E98" s="31" t="n">
        <v>2</v>
      </c>
      <c r="F98" s="30" t="s">
        <v>244</v>
      </c>
      <c r="G98" s="30"/>
      <c r="H98" s="32" t="s">
        <v>227</v>
      </c>
      <c r="I98" s="33" t="n">
        <v>24.2</v>
      </c>
      <c r="J98" s="31" t="s">
        <v>245</v>
      </c>
    </row>
    <row r="99" s="28" customFormat="true" ht="14.25" hidden="true" customHeight="true" outlineLevel="0" collapsed="false">
      <c r="B99" s="29" t="s">
        <v>39</v>
      </c>
      <c r="C99" s="30" t="s">
        <v>140</v>
      </c>
      <c r="D99" s="30" t="s">
        <v>237</v>
      </c>
      <c r="E99" s="31" t="n">
        <v>2</v>
      </c>
      <c r="F99" s="30" t="s">
        <v>246</v>
      </c>
      <c r="G99" s="30"/>
      <c r="H99" s="32" t="s">
        <v>227</v>
      </c>
      <c r="I99" s="33" t="n">
        <v>10.01</v>
      </c>
      <c r="J99" s="31" t="s">
        <v>247</v>
      </c>
    </row>
    <row r="100" s="28" customFormat="true" ht="14.25" hidden="true" customHeight="true" outlineLevel="0" collapsed="false">
      <c r="B100" s="29" t="s">
        <v>39</v>
      </c>
      <c r="C100" s="30" t="s">
        <v>140</v>
      </c>
      <c r="D100" s="30" t="s">
        <v>237</v>
      </c>
      <c r="E100" s="31" t="n">
        <v>2</v>
      </c>
      <c r="F100" s="30" t="s">
        <v>248</v>
      </c>
      <c r="G100" s="30"/>
      <c r="H100" s="32" t="s">
        <v>227</v>
      </c>
      <c r="I100" s="33" t="n">
        <v>10.01</v>
      </c>
      <c r="J100" s="31" t="s">
        <v>249</v>
      </c>
    </row>
    <row r="101" s="28" customFormat="true" ht="14.25" hidden="true" customHeight="true" outlineLevel="0" collapsed="false">
      <c r="B101" s="29" t="s">
        <v>39</v>
      </c>
      <c r="C101" s="30" t="s">
        <v>140</v>
      </c>
      <c r="D101" s="30" t="s">
        <v>237</v>
      </c>
      <c r="E101" s="31" t="n">
        <v>2</v>
      </c>
      <c r="F101" s="30" t="s">
        <v>250</v>
      </c>
      <c r="G101" s="30"/>
      <c r="H101" s="32" t="s">
        <v>227</v>
      </c>
      <c r="I101" s="33" t="n">
        <v>9.81</v>
      </c>
      <c r="J101" s="31" t="s">
        <v>251</v>
      </c>
    </row>
    <row r="102" s="28" customFormat="true" ht="14.25" hidden="true" customHeight="true" outlineLevel="0" collapsed="false">
      <c r="B102" s="29" t="s">
        <v>39</v>
      </c>
      <c r="C102" s="30" t="s">
        <v>140</v>
      </c>
      <c r="D102" s="30" t="s">
        <v>113</v>
      </c>
      <c r="E102" s="31" t="n">
        <v>2</v>
      </c>
      <c r="F102" s="30" t="s">
        <v>252</v>
      </c>
      <c r="G102" s="30"/>
      <c r="H102" s="32" t="s">
        <v>43</v>
      </c>
      <c r="I102" s="33" t="n">
        <v>8.31</v>
      </c>
      <c r="J102" s="31" t="s">
        <v>253</v>
      </c>
    </row>
    <row r="103" s="28" customFormat="true" ht="14.25" hidden="true" customHeight="true" outlineLevel="0" collapsed="false">
      <c r="B103" s="29" t="s">
        <v>39</v>
      </c>
      <c r="C103" s="30" t="s">
        <v>140</v>
      </c>
      <c r="D103" s="30" t="s">
        <v>113</v>
      </c>
      <c r="E103" s="31" t="n">
        <v>2</v>
      </c>
      <c r="F103" s="30" t="s">
        <v>254</v>
      </c>
      <c r="G103" s="30"/>
      <c r="H103" s="32" t="s">
        <v>43</v>
      </c>
      <c r="I103" s="33" t="n">
        <v>2.74</v>
      </c>
      <c r="J103" s="31" t="s">
        <v>255</v>
      </c>
    </row>
    <row r="104" s="28" customFormat="true" ht="14.25" hidden="true" customHeight="true" outlineLevel="0" collapsed="false">
      <c r="B104" s="29" t="s">
        <v>39</v>
      </c>
      <c r="C104" s="30" t="s">
        <v>140</v>
      </c>
      <c r="D104" s="30" t="s">
        <v>113</v>
      </c>
      <c r="E104" s="31" t="n">
        <v>2</v>
      </c>
      <c r="F104" s="30" t="s">
        <v>256</v>
      </c>
      <c r="G104" s="30"/>
      <c r="H104" s="32" t="s">
        <v>43</v>
      </c>
      <c r="I104" s="33" t="n">
        <v>9.31</v>
      </c>
      <c r="J104" s="31" t="s">
        <v>257</v>
      </c>
    </row>
    <row r="105" s="28" customFormat="true" ht="14.25" hidden="true" customHeight="true" outlineLevel="0" collapsed="false">
      <c r="B105" s="29" t="s">
        <v>39</v>
      </c>
      <c r="C105" s="30" t="s">
        <v>140</v>
      </c>
      <c r="D105" s="30" t="s">
        <v>113</v>
      </c>
      <c r="E105" s="31" t="n">
        <v>2</v>
      </c>
      <c r="F105" s="30" t="s">
        <v>258</v>
      </c>
      <c r="G105" s="30"/>
      <c r="H105" s="32" t="s">
        <v>43</v>
      </c>
      <c r="I105" s="33" t="n">
        <v>11.06</v>
      </c>
      <c r="J105" s="31" t="s">
        <v>259</v>
      </c>
    </row>
    <row r="106" s="28" customFormat="true" ht="14.25" hidden="true" customHeight="true" outlineLevel="0" collapsed="false">
      <c r="B106" s="29" t="s">
        <v>39</v>
      </c>
      <c r="C106" s="30" t="s">
        <v>260</v>
      </c>
      <c r="D106" s="30" t="s">
        <v>261</v>
      </c>
      <c r="E106" s="31" t="n">
        <v>1</v>
      </c>
      <c r="F106" s="30" t="s">
        <v>262</v>
      </c>
      <c r="G106" s="30"/>
      <c r="H106" s="32" t="s">
        <v>43</v>
      </c>
      <c r="I106" s="33" t="n">
        <v>17.07</v>
      </c>
      <c r="J106" s="31" t="s">
        <v>263</v>
      </c>
    </row>
    <row r="107" s="28" customFormat="true" ht="14.25" hidden="true" customHeight="true" outlineLevel="0" collapsed="false">
      <c r="B107" s="29" t="s">
        <v>39</v>
      </c>
      <c r="C107" s="30" t="s">
        <v>260</v>
      </c>
      <c r="D107" s="30" t="s">
        <v>261</v>
      </c>
      <c r="E107" s="31" t="n">
        <v>1</v>
      </c>
      <c r="F107" s="30" t="s">
        <v>264</v>
      </c>
      <c r="G107" s="30"/>
      <c r="H107" s="32" t="s">
        <v>43</v>
      </c>
      <c r="I107" s="33" t="n">
        <v>2984.52</v>
      </c>
      <c r="J107" s="31" t="s">
        <v>265</v>
      </c>
    </row>
    <row r="108" s="28" customFormat="true" ht="14.25" hidden="true" customHeight="true" outlineLevel="0" collapsed="false">
      <c r="B108" s="29" t="s">
        <v>39</v>
      </c>
      <c r="C108" s="30" t="s">
        <v>260</v>
      </c>
      <c r="D108" s="30" t="s">
        <v>266</v>
      </c>
      <c r="E108" s="31" t="n">
        <v>1</v>
      </c>
      <c r="F108" s="30" t="s">
        <v>267</v>
      </c>
      <c r="G108" s="30"/>
      <c r="H108" s="32" t="s">
        <v>43</v>
      </c>
      <c r="I108" s="33" t="n">
        <v>47.39</v>
      </c>
      <c r="J108" s="31" t="s">
        <v>268</v>
      </c>
    </row>
    <row r="109" s="28" customFormat="true" ht="14.25" hidden="true" customHeight="true" outlineLevel="0" collapsed="false">
      <c r="B109" s="29" t="s">
        <v>39</v>
      </c>
      <c r="C109" s="30" t="s">
        <v>269</v>
      </c>
      <c r="D109" s="30" t="s">
        <v>270</v>
      </c>
      <c r="E109" s="31" t="n">
        <v>-1</v>
      </c>
      <c r="F109" s="30" t="s">
        <v>271</v>
      </c>
      <c r="G109" s="30"/>
      <c r="H109" s="32" t="s">
        <v>43</v>
      </c>
      <c r="I109" s="33" t="n">
        <v>104.39</v>
      </c>
      <c r="J109" s="31" t="s">
        <v>272</v>
      </c>
    </row>
    <row r="110" s="28" customFormat="true" ht="14.25" hidden="true" customHeight="true" outlineLevel="0" collapsed="false">
      <c r="B110" s="29" t="s">
        <v>39</v>
      </c>
      <c r="C110" s="30" t="s">
        <v>269</v>
      </c>
      <c r="D110" s="30" t="s">
        <v>270</v>
      </c>
      <c r="E110" s="31" t="n">
        <v>-1</v>
      </c>
      <c r="F110" s="30" t="s">
        <v>273</v>
      </c>
      <c r="G110" s="30"/>
      <c r="H110" s="32" t="s">
        <v>43</v>
      </c>
      <c r="I110" s="33" t="n">
        <v>43.02</v>
      </c>
      <c r="J110" s="31" t="s">
        <v>274</v>
      </c>
    </row>
    <row r="111" s="28" customFormat="true" ht="14.25" hidden="true" customHeight="true" outlineLevel="0" collapsed="false">
      <c r="B111" s="29" t="s">
        <v>39</v>
      </c>
      <c r="C111" s="30" t="s">
        <v>269</v>
      </c>
      <c r="D111" s="30" t="s">
        <v>270</v>
      </c>
      <c r="E111" s="31" t="n">
        <v>-1</v>
      </c>
      <c r="F111" s="30" t="s">
        <v>275</v>
      </c>
      <c r="G111" s="30"/>
      <c r="H111" s="32" t="s">
        <v>43</v>
      </c>
      <c r="I111" s="33" t="n">
        <v>5.26</v>
      </c>
      <c r="J111" s="31" t="s">
        <v>276</v>
      </c>
    </row>
    <row r="112" s="28" customFormat="true" ht="14.25" hidden="true" customHeight="true" outlineLevel="0" collapsed="false">
      <c r="B112" s="29" t="s">
        <v>39</v>
      </c>
      <c r="C112" s="30" t="s">
        <v>269</v>
      </c>
      <c r="D112" s="30" t="s">
        <v>277</v>
      </c>
      <c r="E112" s="31" t="n">
        <v>1</v>
      </c>
      <c r="F112" s="30" t="s">
        <v>278</v>
      </c>
      <c r="G112" s="30"/>
      <c r="H112" s="32" t="s">
        <v>43</v>
      </c>
      <c r="I112" s="33" t="n">
        <v>24.07</v>
      </c>
      <c r="J112" s="31" t="s">
        <v>279</v>
      </c>
    </row>
    <row r="113" s="28" customFormat="true" ht="14.25" hidden="true" customHeight="true" outlineLevel="0" collapsed="false">
      <c r="B113" s="29" t="s">
        <v>39</v>
      </c>
      <c r="C113" s="30" t="s">
        <v>269</v>
      </c>
      <c r="D113" s="30" t="s">
        <v>277</v>
      </c>
      <c r="E113" s="31" t="n">
        <v>1</v>
      </c>
      <c r="F113" s="30" t="s">
        <v>280</v>
      </c>
      <c r="G113" s="30"/>
      <c r="H113" s="32" t="s">
        <v>43</v>
      </c>
      <c r="I113" s="33"/>
      <c r="J113" s="31" t="s">
        <v>281</v>
      </c>
    </row>
    <row r="114" s="28" customFormat="true" ht="14.25" hidden="true" customHeight="true" outlineLevel="0" collapsed="false">
      <c r="B114" s="29" t="s">
        <v>39</v>
      </c>
      <c r="C114" s="30" t="s">
        <v>269</v>
      </c>
      <c r="D114" s="30" t="s">
        <v>282</v>
      </c>
      <c r="E114" s="31" t="n">
        <v>1</v>
      </c>
      <c r="F114" s="30" t="s">
        <v>283</v>
      </c>
      <c r="G114" s="30"/>
      <c r="H114" s="32" t="s">
        <v>43</v>
      </c>
      <c r="I114" s="33"/>
      <c r="J114" s="31" t="s">
        <v>284</v>
      </c>
    </row>
    <row r="115" s="28" customFormat="true" ht="14.25" hidden="true" customHeight="true" outlineLevel="0" collapsed="false">
      <c r="B115" s="29" t="s">
        <v>39</v>
      </c>
      <c r="C115" s="30" t="s">
        <v>285</v>
      </c>
      <c r="D115" s="30" t="s">
        <v>53</v>
      </c>
      <c r="E115" s="31" t="n">
        <v>1</v>
      </c>
      <c r="F115" s="30" t="s">
        <v>286</v>
      </c>
      <c r="G115" s="30"/>
      <c r="H115" s="32" t="s">
        <v>43</v>
      </c>
      <c r="I115" s="33"/>
      <c r="J115" s="31" t="s">
        <v>287</v>
      </c>
    </row>
  </sheetData>
  <autoFilter ref="B3:J115">
    <filterColumn colId="4">
      <filters>
        <filter val="CIRCULACIÓN - 05.1.12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37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6" ySplit="3" topLeftCell="G357" activePane="bottomRight" state="frozen"/>
      <selection pane="topLeft" activeCell="A1" activeCellId="0" sqref="A1"/>
      <selection pane="topRight" activeCell="G1" activeCellId="0" sqref="G1"/>
      <selection pane="bottomLeft" activeCell="A357" activeCellId="0" sqref="A357"/>
      <selection pane="bottomRight" activeCell="F143" activeCellId="0" sqref="F143"/>
    </sheetView>
  </sheetViews>
  <sheetFormatPr defaultColWidth="10.890625" defaultRowHeight="15" zeroHeight="false" outlineLevelRow="0" outlineLevelCol="0"/>
  <cols>
    <col collapsed="false" customWidth="true" hidden="false" outlineLevel="0" max="1" min="1" style="36" width="5.11"/>
    <col collapsed="false" customWidth="true" hidden="false" outlineLevel="0" max="2" min="2" style="37" width="15.67"/>
    <col collapsed="false" customWidth="true" hidden="false" outlineLevel="0" max="3" min="3" style="37" width="10.34"/>
    <col collapsed="false" customWidth="true" hidden="false" outlineLevel="0" max="4" min="4" style="38" width="25"/>
    <col collapsed="false" customWidth="true" hidden="false" outlineLevel="0" max="5" min="5" style="36" width="44.11"/>
    <col collapsed="false" customWidth="true" hidden="false" outlineLevel="0" max="6" min="6" style="39" width="43.33"/>
    <col collapsed="false" customWidth="true" hidden="false" outlineLevel="0" max="7" min="7" style="37" width="7"/>
    <col collapsed="false" customWidth="true" hidden="false" outlineLevel="0" max="9" min="8" style="40" width="10.67"/>
    <col collapsed="false" customWidth="true" hidden="false" outlineLevel="0" max="10" min="10" style="40" width="24.45"/>
    <col collapsed="false" customWidth="true" hidden="false" outlineLevel="0" max="11" min="11" style="39" width="24.11"/>
    <col collapsed="false" customWidth="true" hidden="false" outlineLevel="0" max="12" min="12" style="39" width="16.89"/>
    <col collapsed="false" customWidth="true" hidden="false" outlineLevel="0" max="13" min="13" style="36" width="20.89"/>
    <col collapsed="false" customWidth="true" hidden="false" outlineLevel="0" max="14" min="14" style="36" width="19.33"/>
    <col collapsed="false" customWidth="true" hidden="false" outlineLevel="0" max="15" min="15" style="36" width="22.44"/>
    <col collapsed="false" customWidth="true" hidden="false" outlineLevel="0" max="16" min="16" style="36" width="19.33"/>
    <col collapsed="false" customWidth="true" hidden="false" outlineLevel="0" max="17" min="17" style="41" width="24.55"/>
    <col collapsed="false" customWidth="true" hidden="false" outlineLevel="0" max="18" min="18" style="36" width="26.22"/>
    <col collapsed="false" customWidth="true" hidden="false" outlineLevel="0" max="19" min="19" style="36" width="15.89"/>
    <col collapsed="false" customWidth="true" hidden="false" outlineLevel="0" max="20" min="20" style="36" width="10.44"/>
    <col collapsed="false" customWidth="true" hidden="true" outlineLevel="0" max="22" min="21" style="36" width="12.55"/>
    <col collapsed="false" customWidth="true" hidden="false" outlineLevel="0" max="23" min="23" style="36" width="36.22"/>
    <col collapsed="false" customWidth="false" hidden="false" outlineLevel="0" max="16384" min="24" style="36" width="10.89"/>
  </cols>
  <sheetData>
    <row r="1" customFormat="false" ht="18" hidden="false" customHeight="false" outlineLevel="0" collapsed="false">
      <c r="B1" s="25" t="s">
        <v>30</v>
      </c>
      <c r="D1" s="42"/>
    </row>
    <row r="2" customFormat="false" ht="18" hidden="false" customHeight="false" outlineLevel="0" collapsed="false">
      <c r="D2" s="42"/>
      <c r="E2" s="43"/>
    </row>
    <row r="3" s="41" customFormat="true" ht="27" hidden="false" customHeight="false" outlineLevel="0" collapsed="false">
      <c r="A3" s="36"/>
      <c r="B3" s="26" t="s">
        <v>0</v>
      </c>
      <c r="C3" s="44" t="s">
        <v>288</v>
      </c>
      <c r="D3" s="44" t="s">
        <v>289</v>
      </c>
      <c r="E3" s="45" t="s">
        <v>290</v>
      </c>
      <c r="F3" s="46" t="s">
        <v>291</v>
      </c>
      <c r="G3" s="45" t="s">
        <v>292</v>
      </c>
      <c r="H3" s="47" t="s">
        <v>293</v>
      </c>
      <c r="I3" s="47" t="s">
        <v>294</v>
      </c>
      <c r="J3" s="47" t="s">
        <v>33</v>
      </c>
      <c r="K3" s="46" t="s">
        <v>2</v>
      </c>
      <c r="L3" s="46" t="s">
        <v>295</v>
      </c>
      <c r="M3" s="48" t="s">
        <v>5</v>
      </c>
      <c r="N3" s="49" t="s">
        <v>296</v>
      </c>
      <c r="O3" s="50" t="s">
        <v>297</v>
      </c>
      <c r="P3" s="49" t="s">
        <v>298</v>
      </c>
      <c r="Q3" s="49" t="s">
        <v>299</v>
      </c>
      <c r="R3" s="49" t="s">
        <v>300</v>
      </c>
      <c r="S3" s="49" t="s">
        <v>301</v>
      </c>
      <c r="T3" s="49" t="s">
        <v>302</v>
      </c>
      <c r="U3" s="49" t="s">
        <v>303</v>
      </c>
      <c r="V3" s="49" t="s">
        <v>304</v>
      </c>
      <c r="W3" s="49" t="s">
        <v>305</v>
      </c>
    </row>
    <row r="4" s="60" customFormat="true" ht="14.25" hidden="false" customHeight="false" outlineLevel="0" collapsed="false">
      <c r="A4" s="36"/>
      <c r="B4" s="51" t="s">
        <v>306</v>
      </c>
      <c r="C4" s="52" t="s">
        <v>307</v>
      </c>
      <c r="D4" s="53"/>
      <c r="E4" s="54" t="s">
        <v>308</v>
      </c>
      <c r="F4" s="55"/>
      <c r="G4" s="56"/>
      <c r="H4" s="57"/>
      <c r="I4" s="57"/>
      <c r="J4" s="57"/>
      <c r="K4" s="55"/>
      <c r="L4" s="55"/>
      <c r="M4" s="55"/>
      <c r="N4" s="55"/>
      <c r="O4" s="58"/>
      <c r="P4" s="55"/>
      <c r="Q4" s="55"/>
      <c r="R4" s="55"/>
      <c r="S4" s="55"/>
      <c r="T4" s="59"/>
      <c r="U4" s="55"/>
      <c r="V4" s="55"/>
      <c r="W4" s="55"/>
    </row>
    <row r="5" s="60" customFormat="true" ht="14.25" hidden="false" customHeight="false" outlineLevel="0" collapsed="false">
      <c r="A5" s="36"/>
      <c r="B5" s="61" t="s">
        <v>309</v>
      </c>
      <c r="C5" s="62" t="s">
        <v>307</v>
      </c>
      <c r="D5" s="63"/>
      <c r="E5" s="64" t="s">
        <v>310</v>
      </c>
      <c r="F5" s="65"/>
      <c r="G5" s="66"/>
      <c r="H5" s="67"/>
      <c r="I5" s="67"/>
      <c r="J5" s="67"/>
      <c r="K5" s="65"/>
      <c r="L5" s="65"/>
      <c r="M5" s="65"/>
      <c r="N5" s="65"/>
      <c r="O5" s="68"/>
      <c r="P5" s="65"/>
      <c r="Q5" s="65"/>
      <c r="R5" s="65"/>
      <c r="S5" s="65"/>
      <c r="T5" s="69"/>
      <c r="U5" s="65"/>
      <c r="V5" s="65"/>
      <c r="W5" s="65"/>
    </row>
    <row r="6" customFormat="false" ht="14.25" hidden="true" customHeight="false" outlineLevel="0" collapsed="false">
      <c r="B6" s="70" t="s">
        <v>1</v>
      </c>
      <c r="C6" s="71" t="s">
        <v>307</v>
      </c>
      <c r="D6" s="72" t="s">
        <v>311</v>
      </c>
      <c r="E6" s="73" t="s">
        <v>310</v>
      </c>
      <c r="F6" s="73" t="s">
        <v>69</v>
      </c>
      <c r="G6" s="74" t="s">
        <v>312</v>
      </c>
      <c r="H6" s="74" t="n">
        <v>1</v>
      </c>
      <c r="I6" s="74" t="n">
        <v>5</v>
      </c>
      <c r="J6" s="73" t="s">
        <v>40</v>
      </c>
      <c r="K6" s="74" t="s">
        <v>313</v>
      </c>
      <c r="L6" s="74" t="s">
        <v>314</v>
      </c>
      <c r="M6" s="74" t="s">
        <v>28</v>
      </c>
      <c r="N6" s="74"/>
      <c r="O6" s="75" t="n">
        <v>45987</v>
      </c>
      <c r="P6" s="74"/>
      <c r="Q6" s="74"/>
      <c r="R6" s="74"/>
      <c r="S6" s="74" t="str">
        <f aca="false">+IF(R6&lt;=Q6,"NO","SI")</f>
        <v>NO</v>
      </c>
      <c r="T6" s="74"/>
      <c r="U6" s="74"/>
      <c r="V6" s="74"/>
      <c r="W6" s="74"/>
    </row>
    <row r="7" s="41" customFormat="true" ht="14.25" hidden="true" customHeight="false" outlineLevel="0" collapsed="false">
      <c r="A7" s="36"/>
      <c r="B7" s="70" t="s">
        <v>1</v>
      </c>
      <c r="C7" s="71" t="s">
        <v>307</v>
      </c>
      <c r="D7" s="72" t="s">
        <v>315</v>
      </c>
      <c r="E7" s="73" t="s">
        <v>310</v>
      </c>
      <c r="F7" s="73" t="s">
        <v>71</v>
      </c>
      <c r="G7" s="74" t="s">
        <v>312</v>
      </c>
      <c r="H7" s="74" t="n">
        <v>1</v>
      </c>
      <c r="I7" s="74" t="n">
        <v>5</v>
      </c>
      <c r="J7" s="73" t="s">
        <v>40</v>
      </c>
      <c r="K7" s="74" t="s">
        <v>313</v>
      </c>
      <c r="L7" s="74" t="s">
        <v>314</v>
      </c>
      <c r="M7" s="74" t="s">
        <v>28</v>
      </c>
      <c r="N7" s="74"/>
      <c r="O7" s="75" t="n">
        <v>45987</v>
      </c>
      <c r="P7" s="74"/>
      <c r="Q7" s="74"/>
      <c r="R7" s="74"/>
      <c r="S7" s="74" t="str">
        <f aca="false">+IF(R7&lt;=Q7,"NO","SI")</f>
        <v>NO</v>
      </c>
      <c r="T7" s="74"/>
      <c r="U7" s="74"/>
      <c r="V7" s="74"/>
      <c r="W7" s="74"/>
    </row>
    <row r="8" s="41" customFormat="true" ht="14.25" hidden="true" customHeight="false" outlineLevel="0" collapsed="false">
      <c r="A8" s="36"/>
      <c r="B8" s="70" t="s">
        <v>1</v>
      </c>
      <c r="C8" s="71" t="s">
        <v>307</v>
      </c>
      <c r="D8" s="72" t="s">
        <v>316</v>
      </c>
      <c r="E8" s="73" t="s">
        <v>310</v>
      </c>
      <c r="F8" s="73" t="s">
        <v>73</v>
      </c>
      <c r="G8" s="74" t="s">
        <v>312</v>
      </c>
      <c r="H8" s="74" t="n">
        <v>1</v>
      </c>
      <c r="I8" s="74" t="n">
        <v>5</v>
      </c>
      <c r="J8" s="73" t="s">
        <v>40</v>
      </c>
      <c r="K8" s="74" t="s">
        <v>313</v>
      </c>
      <c r="L8" s="74" t="s">
        <v>314</v>
      </c>
      <c r="M8" s="74" t="s">
        <v>28</v>
      </c>
      <c r="N8" s="74"/>
      <c r="O8" s="75" t="n">
        <v>45987</v>
      </c>
      <c r="P8" s="74"/>
      <c r="Q8" s="74"/>
      <c r="R8" s="74"/>
      <c r="S8" s="74" t="str">
        <f aca="false">+IF(R8&lt;=Q8,"NO","SI")</f>
        <v>NO</v>
      </c>
      <c r="T8" s="74"/>
      <c r="U8" s="74"/>
      <c r="V8" s="74"/>
      <c r="W8" s="74"/>
    </row>
    <row r="9" s="41" customFormat="true" ht="14.25" hidden="false" customHeight="false" outlineLevel="0" collapsed="false">
      <c r="A9" s="36"/>
      <c r="B9" s="61" t="s">
        <v>309</v>
      </c>
      <c r="C9" s="62" t="s">
        <v>307</v>
      </c>
      <c r="D9" s="63"/>
      <c r="E9" s="64" t="s">
        <v>317</v>
      </c>
      <c r="F9" s="65"/>
      <c r="G9" s="66"/>
      <c r="H9" s="67"/>
      <c r="I9" s="67"/>
      <c r="J9" s="67"/>
      <c r="K9" s="65"/>
      <c r="L9" s="65"/>
      <c r="M9" s="65"/>
      <c r="N9" s="65"/>
      <c r="O9" s="68"/>
      <c r="P9" s="65"/>
      <c r="Q9" s="65"/>
      <c r="R9" s="65"/>
      <c r="S9" s="65"/>
      <c r="T9" s="69"/>
      <c r="U9" s="65"/>
      <c r="V9" s="65"/>
      <c r="W9" s="65"/>
    </row>
    <row r="10" s="41" customFormat="true" ht="14.25" hidden="true" customHeight="false" outlineLevel="0" collapsed="false">
      <c r="A10" s="36"/>
      <c r="B10" s="70" t="s">
        <v>1</v>
      </c>
      <c r="C10" s="71" t="s">
        <v>307</v>
      </c>
      <c r="D10" s="72" t="s">
        <v>318</v>
      </c>
      <c r="E10" s="73" t="s">
        <v>317</v>
      </c>
      <c r="F10" s="73" t="s">
        <v>264</v>
      </c>
      <c r="G10" s="74" t="s">
        <v>312</v>
      </c>
      <c r="H10" s="74" t="n">
        <v>1</v>
      </c>
      <c r="I10" s="74" t="n">
        <v>5</v>
      </c>
      <c r="J10" s="73" t="s">
        <v>261</v>
      </c>
      <c r="K10" s="74" t="s">
        <v>313</v>
      </c>
      <c r="L10" s="74" t="s">
        <v>319</v>
      </c>
      <c r="M10" s="74"/>
      <c r="N10" s="74"/>
      <c r="O10" s="75" t="n">
        <v>46073</v>
      </c>
      <c r="P10" s="74"/>
      <c r="Q10" s="74"/>
      <c r="R10" s="74"/>
      <c r="S10" s="74" t="str">
        <f aca="false">+IF(R10&lt;=Q10,"NO","SI")</f>
        <v>NO</v>
      </c>
      <c r="T10" s="74"/>
      <c r="U10" s="74"/>
      <c r="V10" s="74"/>
      <c r="W10" s="74"/>
    </row>
    <row r="11" s="41" customFormat="true" ht="14.25" hidden="true" customHeight="false" outlineLevel="0" collapsed="false">
      <c r="A11" s="36"/>
      <c r="B11" s="70" t="s">
        <v>1</v>
      </c>
      <c r="C11" s="71" t="s">
        <v>307</v>
      </c>
      <c r="D11" s="72" t="s">
        <v>320</v>
      </c>
      <c r="E11" s="73" t="s">
        <v>317</v>
      </c>
      <c r="F11" s="73" t="s">
        <v>264</v>
      </c>
      <c r="G11" s="74" t="s">
        <v>312</v>
      </c>
      <c r="H11" s="74" t="n">
        <v>1</v>
      </c>
      <c r="I11" s="74" t="n">
        <v>5</v>
      </c>
      <c r="J11" s="73" t="s">
        <v>261</v>
      </c>
      <c r="K11" s="74" t="s">
        <v>313</v>
      </c>
      <c r="L11" s="74" t="s">
        <v>319</v>
      </c>
      <c r="M11" s="74"/>
      <c r="N11" s="74"/>
      <c r="O11" s="75" t="n">
        <v>46073</v>
      </c>
      <c r="P11" s="74"/>
      <c r="Q11" s="74"/>
      <c r="R11" s="74"/>
      <c r="S11" s="74" t="str">
        <f aca="false">+IF(R11&lt;=Q11,"NO","SI")</f>
        <v>NO</v>
      </c>
      <c r="T11" s="74"/>
      <c r="U11" s="74"/>
      <c r="V11" s="74"/>
      <c r="W11" s="74"/>
    </row>
    <row r="12" s="41" customFormat="true" ht="14.25" hidden="true" customHeight="false" outlineLevel="0" collapsed="false">
      <c r="A12" s="36"/>
      <c r="B12" s="70" t="s">
        <v>1</v>
      </c>
      <c r="C12" s="71" t="s">
        <v>307</v>
      </c>
      <c r="D12" s="72" t="s">
        <v>321</v>
      </c>
      <c r="E12" s="73" t="s">
        <v>317</v>
      </c>
      <c r="F12" s="73" t="s">
        <v>264</v>
      </c>
      <c r="G12" s="74" t="s">
        <v>312</v>
      </c>
      <c r="H12" s="74" t="n">
        <v>1</v>
      </c>
      <c r="I12" s="74" t="n">
        <v>5</v>
      </c>
      <c r="J12" s="73" t="s">
        <v>261</v>
      </c>
      <c r="K12" s="74" t="s">
        <v>313</v>
      </c>
      <c r="L12" s="74" t="s">
        <v>319</v>
      </c>
      <c r="M12" s="74"/>
      <c r="N12" s="74"/>
      <c r="O12" s="75" t="n">
        <v>46073</v>
      </c>
      <c r="P12" s="74"/>
      <c r="Q12" s="74"/>
      <c r="R12" s="74"/>
      <c r="S12" s="74" t="str">
        <f aca="false">+IF(R12&lt;=Q12,"NO","SI")</f>
        <v>NO</v>
      </c>
      <c r="T12" s="74"/>
      <c r="U12" s="74"/>
      <c r="V12" s="74"/>
      <c r="W12" s="74"/>
    </row>
    <row r="13" s="41" customFormat="true" ht="14.25" hidden="true" customHeight="false" outlineLevel="0" collapsed="false">
      <c r="A13" s="36"/>
      <c r="B13" s="70" t="s">
        <v>1</v>
      </c>
      <c r="C13" s="71" t="s">
        <v>307</v>
      </c>
      <c r="D13" s="72" t="s">
        <v>322</v>
      </c>
      <c r="E13" s="73" t="s">
        <v>317</v>
      </c>
      <c r="F13" s="73" t="s">
        <v>264</v>
      </c>
      <c r="G13" s="74" t="s">
        <v>312</v>
      </c>
      <c r="H13" s="74" t="n">
        <v>1</v>
      </c>
      <c r="I13" s="74" t="n">
        <v>5</v>
      </c>
      <c r="J13" s="73" t="s">
        <v>261</v>
      </c>
      <c r="K13" s="74" t="s">
        <v>313</v>
      </c>
      <c r="L13" s="74" t="s">
        <v>319</v>
      </c>
      <c r="M13" s="74"/>
      <c r="N13" s="74"/>
      <c r="O13" s="75" t="n">
        <v>46073</v>
      </c>
      <c r="P13" s="74"/>
      <c r="Q13" s="74"/>
      <c r="R13" s="74"/>
      <c r="S13" s="74" t="str">
        <f aca="false">+IF(R13&lt;=Q13,"NO","SI")</f>
        <v>NO</v>
      </c>
      <c r="T13" s="74"/>
      <c r="U13" s="74"/>
      <c r="V13" s="74"/>
      <c r="W13" s="74"/>
    </row>
    <row r="14" s="41" customFormat="true" ht="14.25" hidden="false" customHeight="false" outlineLevel="0" collapsed="false">
      <c r="A14" s="36"/>
      <c r="B14" s="61" t="s">
        <v>309</v>
      </c>
      <c r="C14" s="62" t="s">
        <v>307</v>
      </c>
      <c r="D14" s="63"/>
      <c r="E14" s="64" t="s">
        <v>323</v>
      </c>
      <c r="F14" s="65"/>
      <c r="G14" s="66"/>
      <c r="H14" s="67"/>
      <c r="I14" s="67"/>
      <c r="J14" s="67"/>
      <c r="K14" s="65"/>
      <c r="L14" s="65"/>
      <c r="M14" s="65"/>
      <c r="N14" s="65"/>
      <c r="O14" s="68"/>
      <c r="P14" s="65"/>
      <c r="Q14" s="65"/>
      <c r="R14" s="65"/>
      <c r="S14" s="65"/>
      <c r="T14" s="69"/>
      <c r="U14" s="65"/>
      <c r="V14" s="65"/>
      <c r="W14" s="65"/>
    </row>
    <row r="15" s="41" customFormat="true" ht="14.25" hidden="false" customHeight="false" outlineLevel="0" collapsed="false">
      <c r="A15" s="36"/>
      <c r="B15" s="70" t="s">
        <v>1</v>
      </c>
      <c r="C15" s="71" t="s">
        <v>307</v>
      </c>
      <c r="D15" s="72" t="s">
        <v>324</v>
      </c>
      <c r="E15" s="73" t="s">
        <v>323</v>
      </c>
      <c r="F15" s="73" t="s">
        <v>69</v>
      </c>
      <c r="G15" s="74" t="s">
        <v>312</v>
      </c>
      <c r="H15" s="74" t="n">
        <v>1</v>
      </c>
      <c r="I15" s="74" t="n">
        <v>5</v>
      </c>
      <c r="J15" s="73" t="s">
        <v>40</v>
      </c>
      <c r="K15" s="74" t="s">
        <v>3</v>
      </c>
      <c r="L15" s="74" t="s">
        <v>325</v>
      </c>
      <c r="M15" s="74" t="s">
        <v>8</v>
      </c>
      <c r="N15" s="74" t="s">
        <v>326</v>
      </c>
      <c r="O15" s="76" t="n">
        <v>46069</v>
      </c>
      <c r="P15" s="74"/>
      <c r="Q15" s="77" t="n">
        <v>46139</v>
      </c>
      <c r="R15" s="71" t="n">
        <v>46157</v>
      </c>
      <c r="S15" s="71" t="str">
        <f aca="false">+IF(R15&lt;=Q15,"NO","SI")</f>
        <v>SI</v>
      </c>
      <c r="T15" s="78" t="n">
        <f aca="false">+R15-Q15</f>
        <v>18</v>
      </c>
      <c r="U15" s="74"/>
      <c r="V15" s="74"/>
      <c r="W15" s="71"/>
    </row>
    <row r="16" s="41" customFormat="true" ht="14.25" hidden="false" customHeight="false" outlineLevel="0" collapsed="false">
      <c r="A16" s="36"/>
      <c r="B16" s="70" t="s">
        <v>1</v>
      </c>
      <c r="C16" s="71" t="s">
        <v>307</v>
      </c>
      <c r="D16" s="72" t="s">
        <v>327</v>
      </c>
      <c r="E16" s="73" t="s">
        <v>323</v>
      </c>
      <c r="F16" s="73" t="s">
        <v>71</v>
      </c>
      <c r="G16" s="74" t="s">
        <v>312</v>
      </c>
      <c r="H16" s="74" t="n">
        <v>1</v>
      </c>
      <c r="I16" s="74" t="n">
        <v>5</v>
      </c>
      <c r="J16" s="73" t="s">
        <v>40</v>
      </c>
      <c r="K16" s="74" t="s">
        <v>3</v>
      </c>
      <c r="L16" s="74" t="s">
        <v>325</v>
      </c>
      <c r="M16" s="74" t="s">
        <v>8</v>
      </c>
      <c r="N16" s="74" t="s">
        <v>326</v>
      </c>
      <c r="O16" s="76" t="n">
        <v>46069</v>
      </c>
      <c r="P16" s="74"/>
      <c r="Q16" s="77" t="n">
        <v>46139</v>
      </c>
      <c r="R16" s="71" t="n">
        <v>46167</v>
      </c>
      <c r="S16" s="71" t="str">
        <f aca="false">+IF(R16&lt;=Q16,"NO","SI")</f>
        <v>SI</v>
      </c>
      <c r="T16" s="78" t="n">
        <f aca="false">+R16-Q16</f>
        <v>28</v>
      </c>
      <c r="U16" s="74"/>
      <c r="V16" s="74"/>
      <c r="W16" s="71"/>
    </row>
    <row r="17" s="41" customFormat="true" ht="14.25" hidden="false" customHeight="false" outlineLevel="0" collapsed="false">
      <c r="A17" s="36"/>
      <c r="B17" s="70" t="s">
        <v>1</v>
      </c>
      <c r="C17" s="71" t="s">
        <v>307</v>
      </c>
      <c r="D17" s="72" t="s">
        <v>328</v>
      </c>
      <c r="E17" s="73" t="s">
        <v>323</v>
      </c>
      <c r="F17" s="73" t="s">
        <v>73</v>
      </c>
      <c r="G17" s="74" t="s">
        <v>312</v>
      </c>
      <c r="H17" s="74" t="n">
        <v>1</v>
      </c>
      <c r="I17" s="74" t="n">
        <v>5</v>
      </c>
      <c r="J17" s="73" t="s">
        <v>40</v>
      </c>
      <c r="K17" s="74" t="s">
        <v>3</v>
      </c>
      <c r="L17" s="74" t="s">
        <v>325</v>
      </c>
      <c r="M17" s="74" t="s">
        <v>8</v>
      </c>
      <c r="N17" s="74" t="s">
        <v>326</v>
      </c>
      <c r="O17" s="76" t="n">
        <v>46069</v>
      </c>
      <c r="P17" s="74"/>
      <c r="Q17" s="77" t="n">
        <v>46139</v>
      </c>
      <c r="R17" s="71" t="n">
        <v>46174</v>
      </c>
      <c r="S17" s="71" t="str">
        <f aca="false">+IF(R17&lt;=Q17,"NO","SI")</f>
        <v>SI</v>
      </c>
      <c r="T17" s="78" t="n">
        <f aca="false">+R17-Q17</f>
        <v>35</v>
      </c>
      <c r="U17" s="74"/>
      <c r="V17" s="74"/>
      <c r="W17" s="71"/>
    </row>
    <row r="18" s="41" customFormat="true" ht="14.25" hidden="false" customHeight="false" outlineLevel="0" collapsed="false">
      <c r="A18" s="36"/>
      <c r="B18" s="70" t="s">
        <v>1</v>
      </c>
      <c r="C18" s="71" t="s">
        <v>307</v>
      </c>
      <c r="D18" s="72" t="s">
        <v>329</v>
      </c>
      <c r="E18" s="73" t="s">
        <v>323</v>
      </c>
      <c r="F18" s="73" t="s">
        <v>192</v>
      </c>
      <c r="G18" s="74" t="s">
        <v>312</v>
      </c>
      <c r="H18" s="74" t="n">
        <v>1</v>
      </c>
      <c r="I18" s="74" t="n">
        <v>5</v>
      </c>
      <c r="J18" s="73" t="s">
        <v>330</v>
      </c>
      <c r="K18" s="74" t="s">
        <v>3</v>
      </c>
      <c r="L18" s="74" t="s">
        <v>325</v>
      </c>
      <c r="M18" s="74" t="s">
        <v>8</v>
      </c>
      <c r="N18" s="74" t="s">
        <v>326</v>
      </c>
      <c r="O18" s="76" t="n">
        <v>46069</v>
      </c>
      <c r="P18" s="74"/>
      <c r="Q18" s="79" t="n">
        <v>46139</v>
      </c>
      <c r="R18" s="71" t="n">
        <v>46167</v>
      </c>
      <c r="S18" s="71" t="str">
        <f aca="false">+IF(R18&lt;=Q18,"NO","SI")</f>
        <v>SI</v>
      </c>
      <c r="T18" s="78" t="n">
        <f aca="false">+R18-Q18</f>
        <v>28</v>
      </c>
      <c r="U18" s="74"/>
      <c r="V18" s="74"/>
      <c r="W18" s="71"/>
    </row>
    <row r="19" s="41" customFormat="true" ht="14.25" hidden="false" customHeight="false" outlineLevel="0" collapsed="false">
      <c r="A19" s="36"/>
      <c r="B19" s="61" t="s">
        <v>309</v>
      </c>
      <c r="C19" s="62" t="s">
        <v>307</v>
      </c>
      <c r="D19" s="63"/>
      <c r="E19" s="64" t="s">
        <v>331</v>
      </c>
      <c r="F19" s="65"/>
      <c r="G19" s="66"/>
      <c r="H19" s="67"/>
      <c r="I19" s="67"/>
      <c r="J19" s="67"/>
      <c r="K19" s="65"/>
      <c r="L19" s="65"/>
      <c r="M19" s="65"/>
      <c r="N19" s="65"/>
      <c r="O19" s="68"/>
      <c r="P19" s="65"/>
      <c r="Q19" s="65"/>
      <c r="R19" s="65"/>
      <c r="S19" s="65"/>
      <c r="T19" s="69"/>
      <c r="U19" s="65"/>
      <c r="V19" s="65"/>
      <c r="W19" s="65"/>
    </row>
    <row r="20" s="41" customFormat="true" ht="14.25" hidden="true" customHeight="false" outlineLevel="0" collapsed="false">
      <c r="A20" s="36"/>
      <c r="B20" s="70" t="s">
        <v>1</v>
      </c>
      <c r="C20" s="71" t="s">
        <v>307</v>
      </c>
      <c r="D20" s="72" t="s">
        <v>332</v>
      </c>
      <c r="E20" s="73" t="s">
        <v>333</v>
      </c>
      <c r="F20" s="73" t="s">
        <v>264</v>
      </c>
      <c r="G20" s="74" t="s">
        <v>312</v>
      </c>
      <c r="H20" s="74" t="n">
        <v>1</v>
      </c>
      <c r="I20" s="74" t="n">
        <v>5</v>
      </c>
      <c r="J20" s="73" t="s">
        <v>261</v>
      </c>
      <c r="K20" s="74" t="s">
        <v>313</v>
      </c>
      <c r="L20" s="74" t="s">
        <v>334</v>
      </c>
      <c r="M20" s="74"/>
      <c r="N20" s="74"/>
      <c r="O20" s="75" t="n">
        <v>46090</v>
      </c>
      <c r="P20" s="74"/>
      <c r="Q20" s="74"/>
      <c r="R20" s="74"/>
      <c r="S20" s="74" t="str">
        <f aca="false">+IF(R20&lt;=Q20,"NO","SI")</f>
        <v>NO</v>
      </c>
      <c r="T20" s="74"/>
      <c r="U20" s="74"/>
      <c r="V20" s="74"/>
      <c r="W20" s="74"/>
    </row>
    <row r="21" customFormat="false" ht="14.25" hidden="true" customHeight="false" outlineLevel="0" collapsed="false">
      <c r="B21" s="70" t="s">
        <v>1</v>
      </c>
      <c r="C21" s="71" t="s">
        <v>307</v>
      </c>
      <c r="D21" s="72" t="s">
        <v>335</v>
      </c>
      <c r="E21" s="73" t="s">
        <v>333</v>
      </c>
      <c r="F21" s="73" t="s">
        <v>264</v>
      </c>
      <c r="G21" s="74" t="s">
        <v>312</v>
      </c>
      <c r="H21" s="74" t="n">
        <v>1</v>
      </c>
      <c r="I21" s="74" t="n">
        <v>5</v>
      </c>
      <c r="J21" s="73" t="s">
        <v>261</v>
      </c>
      <c r="K21" s="74" t="s">
        <v>313</v>
      </c>
      <c r="L21" s="74" t="s">
        <v>334</v>
      </c>
      <c r="M21" s="74"/>
      <c r="N21" s="74"/>
      <c r="O21" s="75" t="n">
        <v>46090</v>
      </c>
      <c r="P21" s="74"/>
      <c r="Q21" s="74"/>
      <c r="R21" s="74"/>
      <c r="S21" s="74" t="str">
        <f aca="false">+IF(R21&lt;=Q21,"NO","SI")</f>
        <v>NO</v>
      </c>
      <c r="T21" s="74"/>
      <c r="U21" s="74"/>
      <c r="V21" s="74"/>
      <c r="W21" s="74"/>
    </row>
    <row r="22" customFormat="false" ht="14.25" hidden="true" customHeight="false" outlineLevel="0" collapsed="false">
      <c r="B22" s="70" t="s">
        <v>1</v>
      </c>
      <c r="C22" s="71" t="s">
        <v>307</v>
      </c>
      <c r="D22" s="72" t="s">
        <v>336</v>
      </c>
      <c r="E22" s="73" t="s">
        <v>333</v>
      </c>
      <c r="F22" s="73" t="s">
        <v>264</v>
      </c>
      <c r="G22" s="74" t="s">
        <v>312</v>
      </c>
      <c r="H22" s="74" t="n">
        <v>1</v>
      </c>
      <c r="I22" s="74" t="n">
        <v>5</v>
      </c>
      <c r="J22" s="73" t="s">
        <v>261</v>
      </c>
      <c r="K22" s="74" t="s">
        <v>313</v>
      </c>
      <c r="L22" s="74" t="s">
        <v>334</v>
      </c>
      <c r="M22" s="74"/>
      <c r="N22" s="74"/>
      <c r="O22" s="75" t="n">
        <v>46090</v>
      </c>
      <c r="P22" s="74"/>
      <c r="Q22" s="74"/>
      <c r="R22" s="74"/>
      <c r="S22" s="74" t="str">
        <f aca="false">+IF(R22&lt;=Q22,"NO","SI")</f>
        <v>NO</v>
      </c>
      <c r="T22" s="74"/>
      <c r="U22" s="74"/>
      <c r="V22" s="74"/>
      <c r="W22" s="74"/>
    </row>
    <row r="23" customFormat="false" ht="14.25" hidden="true" customHeight="false" outlineLevel="0" collapsed="false">
      <c r="B23" s="70" t="s">
        <v>1</v>
      </c>
      <c r="C23" s="71" t="s">
        <v>307</v>
      </c>
      <c r="D23" s="72" t="s">
        <v>337</v>
      </c>
      <c r="E23" s="73" t="s">
        <v>333</v>
      </c>
      <c r="F23" s="73" t="s">
        <v>264</v>
      </c>
      <c r="G23" s="74" t="s">
        <v>312</v>
      </c>
      <c r="H23" s="74" t="n">
        <v>1</v>
      </c>
      <c r="I23" s="74" t="n">
        <v>5</v>
      </c>
      <c r="J23" s="73" t="s">
        <v>261</v>
      </c>
      <c r="K23" s="74" t="s">
        <v>313</v>
      </c>
      <c r="L23" s="74" t="s">
        <v>334</v>
      </c>
      <c r="M23" s="74"/>
      <c r="N23" s="74"/>
      <c r="O23" s="75" t="n">
        <v>46090</v>
      </c>
      <c r="P23" s="74"/>
      <c r="Q23" s="74"/>
      <c r="R23" s="74"/>
      <c r="S23" s="74" t="str">
        <f aca="false">+IF(R23&lt;=Q23,"NO","SI")</f>
        <v>NO</v>
      </c>
      <c r="T23" s="74"/>
      <c r="U23" s="74"/>
      <c r="V23" s="74"/>
      <c r="W23" s="74"/>
    </row>
    <row r="24" customFormat="false" ht="14.25" hidden="false" customHeight="false" outlineLevel="0" collapsed="false">
      <c r="B24" s="61" t="s">
        <v>309</v>
      </c>
      <c r="C24" s="62" t="s">
        <v>307</v>
      </c>
      <c r="D24" s="63"/>
      <c r="E24" s="64" t="s">
        <v>338</v>
      </c>
      <c r="F24" s="65"/>
      <c r="G24" s="66"/>
      <c r="H24" s="67"/>
      <c r="I24" s="67"/>
      <c r="J24" s="67"/>
      <c r="K24" s="65"/>
      <c r="L24" s="65"/>
      <c r="M24" s="65"/>
      <c r="N24" s="65"/>
      <c r="O24" s="68"/>
      <c r="P24" s="65"/>
      <c r="Q24" s="65"/>
      <c r="R24" s="65"/>
      <c r="S24" s="65"/>
      <c r="T24" s="69"/>
      <c r="U24" s="65"/>
      <c r="V24" s="65"/>
      <c r="W24" s="65"/>
    </row>
    <row r="25" customFormat="false" ht="14.25" hidden="true" customHeight="false" outlineLevel="0" collapsed="false">
      <c r="B25" s="70" t="s">
        <v>1</v>
      </c>
      <c r="C25" s="71" t="s">
        <v>307</v>
      </c>
      <c r="D25" s="72" t="s">
        <v>339</v>
      </c>
      <c r="E25" s="73" t="s">
        <v>340</v>
      </c>
      <c r="F25" s="73" t="s">
        <v>69</v>
      </c>
      <c r="G25" s="74" t="s">
        <v>312</v>
      </c>
      <c r="H25" s="74" t="n">
        <v>1</v>
      </c>
      <c r="I25" s="74" t="n">
        <v>5</v>
      </c>
      <c r="J25" s="73" t="s">
        <v>40</v>
      </c>
      <c r="K25" s="74" t="s">
        <v>313</v>
      </c>
      <c r="L25" s="74" t="s">
        <v>341</v>
      </c>
      <c r="M25" s="74" t="s">
        <v>28</v>
      </c>
      <c r="N25" s="74"/>
      <c r="O25" s="75" t="n">
        <v>45937</v>
      </c>
      <c r="P25" s="74"/>
      <c r="Q25" s="74"/>
      <c r="R25" s="74"/>
      <c r="S25" s="74" t="str">
        <f aca="false">+IF(R25&lt;=Q25,"NO","SI")</f>
        <v>NO</v>
      </c>
      <c r="T25" s="74"/>
      <c r="U25" s="74"/>
      <c r="V25" s="74"/>
      <c r="W25" s="74"/>
    </row>
    <row r="26" customFormat="false" ht="14.25" hidden="true" customHeight="false" outlineLevel="0" collapsed="false">
      <c r="B26" s="70" t="s">
        <v>1</v>
      </c>
      <c r="C26" s="71" t="s">
        <v>307</v>
      </c>
      <c r="D26" s="72" t="s">
        <v>342</v>
      </c>
      <c r="E26" s="73" t="s">
        <v>340</v>
      </c>
      <c r="F26" s="73" t="s">
        <v>69</v>
      </c>
      <c r="G26" s="74" t="s">
        <v>312</v>
      </c>
      <c r="H26" s="74" t="n">
        <v>1</v>
      </c>
      <c r="I26" s="74" t="n">
        <v>5</v>
      </c>
      <c r="J26" s="73" t="s">
        <v>40</v>
      </c>
      <c r="K26" s="74" t="s">
        <v>313</v>
      </c>
      <c r="L26" s="74" t="s">
        <v>341</v>
      </c>
      <c r="M26" s="74" t="s">
        <v>28</v>
      </c>
      <c r="N26" s="74"/>
      <c r="O26" s="75" t="n">
        <v>45937</v>
      </c>
      <c r="P26" s="74"/>
      <c r="Q26" s="74"/>
      <c r="R26" s="74"/>
      <c r="S26" s="74" t="str">
        <f aca="false">+IF(R26&lt;=Q26,"NO","SI")</f>
        <v>NO</v>
      </c>
      <c r="T26" s="74"/>
      <c r="U26" s="74"/>
      <c r="V26" s="74"/>
      <c r="W26" s="74"/>
    </row>
    <row r="27" customFormat="false" ht="14.25" hidden="true" customHeight="false" outlineLevel="0" collapsed="false">
      <c r="B27" s="70" t="s">
        <v>1</v>
      </c>
      <c r="C27" s="71" t="s">
        <v>307</v>
      </c>
      <c r="D27" s="72" t="s">
        <v>343</v>
      </c>
      <c r="E27" s="73" t="s">
        <v>340</v>
      </c>
      <c r="F27" s="73" t="s">
        <v>71</v>
      </c>
      <c r="G27" s="74" t="s">
        <v>312</v>
      </c>
      <c r="H27" s="74" t="n">
        <v>1</v>
      </c>
      <c r="I27" s="74" t="n">
        <v>5</v>
      </c>
      <c r="J27" s="73" t="s">
        <v>40</v>
      </c>
      <c r="K27" s="74" t="s">
        <v>313</v>
      </c>
      <c r="L27" s="74" t="s">
        <v>341</v>
      </c>
      <c r="M27" s="74" t="s">
        <v>28</v>
      </c>
      <c r="N27" s="74"/>
      <c r="O27" s="75" t="n">
        <v>45937</v>
      </c>
      <c r="P27" s="74"/>
      <c r="Q27" s="74"/>
      <c r="R27" s="74"/>
      <c r="S27" s="74" t="str">
        <f aca="false">+IF(R27&lt;=Q27,"NO","SI")</f>
        <v>NO</v>
      </c>
      <c r="T27" s="74"/>
      <c r="U27" s="74"/>
      <c r="V27" s="74"/>
      <c r="W27" s="74"/>
    </row>
    <row r="28" customFormat="false" ht="14.25" hidden="true" customHeight="false" outlineLevel="0" collapsed="false">
      <c r="B28" s="70" t="s">
        <v>1</v>
      </c>
      <c r="C28" s="71" t="s">
        <v>307</v>
      </c>
      <c r="D28" s="72" t="s">
        <v>344</v>
      </c>
      <c r="E28" s="73" t="s">
        <v>340</v>
      </c>
      <c r="F28" s="73" t="s">
        <v>71</v>
      </c>
      <c r="G28" s="74" t="s">
        <v>312</v>
      </c>
      <c r="H28" s="74" t="n">
        <v>1</v>
      </c>
      <c r="I28" s="74" t="n">
        <v>5</v>
      </c>
      <c r="J28" s="73" t="s">
        <v>40</v>
      </c>
      <c r="K28" s="74" t="s">
        <v>313</v>
      </c>
      <c r="L28" s="74" t="s">
        <v>341</v>
      </c>
      <c r="M28" s="74" t="s">
        <v>28</v>
      </c>
      <c r="N28" s="74"/>
      <c r="O28" s="75" t="n">
        <v>45937</v>
      </c>
      <c r="P28" s="74"/>
      <c r="Q28" s="74"/>
      <c r="R28" s="74"/>
      <c r="S28" s="74" t="str">
        <f aca="false">+IF(R28&lt;=Q28,"NO","SI")</f>
        <v>NO</v>
      </c>
      <c r="T28" s="74"/>
      <c r="U28" s="74"/>
      <c r="V28" s="74"/>
      <c r="W28" s="74"/>
    </row>
    <row r="29" customFormat="false" ht="14.25" hidden="true" customHeight="false" outlineLevel="0" collapsed="false">
      <c r="B29" s="70" t="s">
        <v>1</v>
      </c>
      <c r="C29" s="71" t="s">
        <v>307</v>
      </c>
      <c r="D29" s="72" t="s">
        <v>345</v>
      </c>
      <c r="E29" s="73" t="s">
        <v>340</v>
      </c>
      <c r="F29" s="73" t="s">
        <v>73</v>
      </c>
      <c r="G29" s="74" t="s">
        <v>312</v>
      </c>
      <c r="H29" s="74" t="n">
        <v>1</v>
      </c>
      <c r="I29" s="74" t="n">
        <v>5</v>
      </c>
      <c r="J29" s="73" t="s">
        <v>40</v>
      </c>
      <c r="K29" s="74" t="s">
        <v>313</v>
      </c>
      <c r="L29" s="74" t="s">
        <v>341</v>
      </c>
      <c r="M29" s="74" t="s">
        <v>28</v>
      </c>
      <c r="N29" s="74"/>
      <c r="O29" s="75" t="n">
        <v>45937</v>
      </c>
      <c r="P29" s="74"/>
      <c r="Q29" s="74"/>
      <c r="R29" s="74"/>
      <c r="S29" s="74" t="str">
        <f aca="false">+IF(R29&lt;=Q29,"NO","SI")</f>
        <v>NO</v>
      </c>
      <c r="T29" s="74"/>
      <c r="U29" s="74"/>
      <c r="V29" s="74"/>
      <c r="W29" s="74"/>
    </row>
    <row r="30" customFormat="false" ht="14.25" hidden="true" customHeight="false" outlineLevel="0" collapsed="false">
      <c r="B30" s="70" t="s">
        <v>1</v>
      </c>
      <c r="C30" s="71" t="s">
        <v>307</v>
      </c>
      <c r="D30" s="72" t="s">
        <v>346</v>
      </c>
      <c r="E30" s="73" t="s">
        <v>340</v>
      </c>
      <c r="F30" s="73" t="s">
        <v>73</v>
      </c>
      <c r="G30" s="74" t="s">
        <v>312</v>
      </c>
      <c r="H30" s="74" t="n">
        <v>1</v>
      </c>
      <c r="I30" s="74" t="n">
        <v>5</v>
      </c>
      <c r="J30" s="73" t="s">
        <v>40</v>
      </c>
      <c r="K30" s="74" t="s">
        <v>313</v>
      </c>
      <c r="L30" s="74" t="s">
        <v>341</v>
      </c>
      <c r="M30" s="74" t="s">
        <v>28</v>
      </c>
      <c r="N30" s="74"/>
      <c r="O30" s="75" t="n">
        <v>45937</v>
      </c>
      <c r="P30" s="74"/>
      <c r="Q30" s="74"/>
      <c r="R30" s="74"/>
      <c r="S30" s="74" t="str">
        <f aca="false">+IF(R30&lt;=Q30,"NO","SI")</f>
        <v>NO</v>
      </c>
      <c r="T30" s="74"/>
      <c r="U30" s="74"/>
      <c r="V30" s="74"/>
      <c r="W30" s="74"/>
    </row>
    <row r="31" customFormat="false" ht="14.25" hidden="true" customHeight="false" outlineLevel="0" collapsed="false">
      <c r="B31" s="70" t="s">
        <v>1</v>
      </c>
      <c r="C31" s="71" t="s">
        <v>307</v>
      </c>
      <c r="D31" s="72" t="s">
        <v>347</v>
      </c>
      <c r="E31" s="73" t="s">
        <v>340</v>
      </c>
      <c r="F31" s="73" t="s">
        <v>192</v>
      </c>
      <c r="G31" s="74" t="s">
        <v>312</v>
      </c>
      <c r="H31" s="74" t="n">
        <v>1</v>
      </c>
      <c r="I31" s="74" t="n">
        <v>5</v>
      </c>
      <c r="J31" s="73" t="s">
        <v>113</v>
      </c>
      <c r="K31" s="74" t="s">
        <v>313</v>
      </c>
      <c r="L31" s="74" t="s">
        <v>341</v>
      </c>
      <c r="M31" s="74" t="s">
        <v>28</v>
      </c>
      <c r="N31" s="74"/>
      <c r="O31" s="75" t="n">
        <v>45937</v>
      </c>
      <c r="P31" s="74"/>
      <c r="Q31" s="74"/>
      <c r="R31" s="74"/>
      <c r="S31" s="74" t="str">
        <f aca="false">+IF(R31&lt;=Q31,"NO","SI")</f>
        <v>NO</v>
      </c>
      <c r="T31" s="74"/>
      <c r="U31" s="74"/>
      <c r="V31" s="74"/>
      <c r="W31" s="74"/>
    </row>
    <row r="32" customFormat="false" ht="14.25" hidden="true" customHeight="false" outlineLevel="0" collapsed="false">
      <c r="B32" s="70" t="s">
        <v>1</v>
      </c>
      <c r="C32" s="71" t="s">
        <v>307</v>
      </c>
      <c r="D32" s="72" t="s">
        <v>348</v>
      </c>
      <c r="E32" s="73" t="s">
        <v>349</v>
      </c>
      <c r="F32" s="73" t="s">
        <v>69</v>
      </c>
      <c r="G32" s="74" t="s">
        <v>312</v>
      </c>
      <c r="H32" s="74" t="n">
        <v>1</v>
      </c>
      <c r="I32" s="74" t="n">
        <v>5</v>
      </c>
      <c r="J32" s="73" t="s">
        <v>40</v>
      </c>
      <c r="K32" s="74" t="s">
        <v>313</v>
      </c>
      <c r="L32" s="74" t="s">
        <v>341</v>
      </c>
      <c r="M32" s="74" t="s">
        <v>28</v>
      </c>
      <c r="N32" s="74"/>
      <c r="O32" s="75" t="n">
        <v>45937</v>
      </c>
      <c r="P32" s="74"/>
      <c r="Q32" s="74"/>
      <c r="R32" s="74"/>
      <c r="S32" s="74" t="str">
        <f aca="false">+IF(R32&lt;=Q32,"NO","SI")</f>
        <v>NO</v>
      </c>
      <c r="T32" s="74"/>
      <c r="U32" s="74"/>
      <c r="V32" s="74"/>
      <c r="W32" s="74"/>
    </row>
    <row r="33" customFormat="false" ht="14.25" hidden="true" customHeight="false" outlineLevel="0" collapsed="false">
      <c r="B33" s="70" t="s">
        <v>1</v>
      </c>
      <c r="C33" s="71" t="s">
        <v>307</v>
      </c>
      <c r="D33" s="72" t="s">
        <v>350</v>
      </c>
      <c r="E33" s="73" t="s">
        <v>349</v>
      </c>
      <c r="F33" s="73" t="s">
        <v>69</v>
      </c>
      <c r="G33" s="74" t="s">
        <v>312</v>
      </c>
      <c r="H33" s="74" t="n">
        <v>1</v>
      </c>
      <c r="I33" s="74" t="n">
        <v>5</v>
      </c>
      <c r="J33" s="73" t="s">
        <v>40</v>
      </c>
      <c r="K33" s="74" t="s">
        <v>313</v>
      </c>
      <c r="L33" s="74" t="s">
        <v>341</v>
      </c>
      <c r="M33" s="74" t="s">
        <v>28</v>
      </c>
      <c r="N33" s="74"/>
      <c r="O33" s="75" t="n">
        <v>45937</v>
      </c>
      <c r="P33" s="74"/>
      <c r="Q33" s="74"/>
      <c r="R33" s="74"/>
      <c r="S33" s="74" t="str">
        <f aca="false">+IF(R33&lt;=Q33,"NO","SI")</f>
        <v>NO</v>
      </c>
      <c r="T33" s="74"/>
      <c r="U33" s="74"/>
      <c r="V33" s="74"/>
      <c r="W33" s="74"/>
    </row>
    <row r="34" customFormat="false" ht="14.25" hidden="true" customHeight="false" outlineLevel="0" collapsed="false">
      <c r="B34" s="70" t="s">
        <v>1</v>
      </c>
      <c r="C34" s="71" t="s">
        <v>307</v>
      </c>
      <c r="D34" s="72" t="s">
        <v>351</v>
      </c>
      <c r="E34" s="73" t="s">
        <v>349</v>
      </c>
      <c r="F34" s="73" t="s">
        <v>71</v>
      </c>
      <c r="G34" s="74" t="s">
        <v>312</v>
      </c>
      <c r="H34" s="74" t="n">
        <v>1</v>
      </c>
      <c r="I34" s="74" t="n">
        <v>5</v>
      </c>
      <c r="J34" s="73" t="s">
        <v>40</v>
      </c>
      <c r="K34" s="74" t="s">
        <v>313</v>
      </c>
      <c r="L34" s="74" t="s">
        <v>341</v>
      </c>
      <c r="M34" s="74" t="s">
        <v>28</v>
      </c>
      <c r="N34" s="74"/>
      <c r="O34" s="75" t="n">
        <v>45937</v>
      </c>
      <c r="P34" s="74"/>
      <c r="Q34" s="74"/>
      <c r="R34" s="74"/>
      <c r="S34" s="74" t="str">
        <f aca="false">+IF(R34&lt;=Q34,"NO","SI")</f>
        <v>NO</v>
      </c>
      <c r="T34" s="74"/>
      <c r="U34" s="74"/>
      <c r="V34" s="74"/>
      <c r="W34" s="74"/>
    </row>
    <row r="35" customFormat="false" ht="14.25" hidden="true" customHeight="false" outlineLevel="0" collapsed="false">
      <c r="B35" s="70" t="s">
        <v>1</v>
      </c>
      <c r="C35" s="71" t="s">
        <v>307</v>
      </c>
      <c r="D35" s="72" t="s">
        <v>352</v>
      </c>
      <c r="E35" s="73" t="s">
        <v>349</v>
      </c>
      <c r="F35" s="73" t="s">
        <v>71</v>
      </c>
      <c r="G35" s="74" t="s">
        <v>312</v>
      </c>
      <c r="H35" s="74" t="n">
        <v>1</v>
      </c>
      <c r="I35" s="74" t="n">
        <v>5</v>
      </c>
      <c r="J35" s="73" t="s">
        <v>40</v>
      </c>
      <c r="K35" s="74" t="s">
        <v>313</v>
      </c>
      <c r="L35" s="74" t="s">
        <v>341</v>
      </c>
      <c r="M35" s="74" t="s">
        <v>28</v>
      </c>
      <c r="N35" s="74"/>
      <c r="O35" s="75" t="n">
        <v>45937</v>
      </c>
      <c r="P35" s="74"/>
      <c r="Q35" s="74"/>
      <c r="R35" s="74"/>
      <c r="S35" s="74" t="str">
        <f aca="false">+IF(R35&lt;=Q35,"NO","SI")</f>
        <v>NO</v>
      </c>
      <c r="T35" s="74"/>
      <c r="U35" s="74"/>
      <c r="V35" s="74"/>
      <c r="W35" s="74"/>
    </row>
    <row r="36" s="41" customFormat="true" ht="14.25" hidden="true" customHeight="false" outlineLevel="0" collapsed="false">
      <c r="A36" s="36"/>
      <c r="B36" s="70" t="s">
        <v>1</v>
      </c>
      <c r="C36" s="71" t="s">
        <v>307</v>
      </c>
      <c r="D36" s="72" t="s">
        <v>353</v>
      </c>
      <c r="E36" s="73" t="s">
        <v>349</v>
      </c>
      <c r="F36" s="73" t="s">
        <v>73</v>
      </c>
      <c r="G36" s="74" t="s">
        <v>312</v>
      </c>
      <c r="H36" s="74" t="n">
        <v>1</v>
      </c>
      <c r="I36" s="74" t="n">
        <v>5</v>
      </c>
      <c r="J36" s="73" t="s">
        <v>40</v>
      </c>
      <c r="K36" s="74" t="s">
        <v>313</v>
      </c>
      <c r="L36" s="74" t="s">
        <v>341</v>
      </c>
      <c r="M36" s="74" t="s">
        <v>28</v>
      </c>
      <c r="N36" s="74"/>
      <c r="O36" s="75" t="n">
        <v>45937</v>
      </c>
      <c r="P36" s="74"/>
      <c r="Q36" s="74"/>
      <c r="R36" s="74"/>
      <c r="S36" s="74" t="str">
        <f aca="false">+IF(R36&lt;=Q36,"NO","SI")</f>
        <v>NO</v>
      </c>
      <c r="T36" s="74"/>
      <c r="U36" s="74"/>
      <c r="V36" s="74"/>
      <c r="W36" s="74"/>
    </row>
    <row r="37" s="41" customFormat="true" ht="14.25" hidden="true" customHeight="false" outlineLevel="0" collapsed="false">
      <c r="A37" s="36"/>
      <c r="B37" s="70" t="s">
        <v>1</v>
      </c>
      <c r="C37" s="71" t="s">
        <v>307</v>
      </c>
      <c r="D37" s="72" t="s">
        <v>354</v>
      </c>
      <c r="E37" s="73" t="s">
        <v>349</v>
      </c>
      <c r="F37" s="73" t="s">
        <v>73</v>
      </c>
      <c r="G37" s="74" t="s">
        <v>312</v>
      </c>
      <c r="H37" s="74" t="n">
        <v>1</v>
      </c>
      <c r="I37" s="74" t="n">
        <v>5</v>
      </c>
      <c r="J37" s="73" t="s">
        <v>40</v>
      </c>
      <c r="K37" s="74" t="s">
        <v>313</v>
      </c>
      <c r="L37" s="74" t="s">
        <v>341</v>
      </c>
      <c r="M37" s="74" t="s">
        <v>28</v>
      </c>
      <c r="N37" s="74"/>
      <c r="O37" s="75" t="n">
        <v>45937</v>
      </c>
      <c r="P37" s="74"/>
      <c r="Q37" s="74"/>
      <c r="R37" s="74"/>
      <c r="S37" s="74" t="str">
        <f aca="false">+IF(R37&lt;=Q37,"NO","SI")</f>
        <v>NO</v>
      </c>
      <c r="T37" s="74"/>
      <c r="U37" s="74"/>
      <c r="V37" s="74"/>
      <c r="W37" s="74"/>
    </row>
    <row r="38" s="41" customFormat="true" ht="14.25" hidden="true" customHeight="false" outlineLevel="0" collapsed="false">
      <c r="A38" s="36"/>
      <c r="B38" s="70" t="s">
        <v>1</v>
      </c>
      <c r="C38" s="71" t="s">
        <v>307</v>
      </c>
      <c r="D38" s="72" t="s">
        <v>355</v>
      </c>
      <c r="E38" s="73" t="s">
        <v>349</v>
      </c>
      <c r="F38" s="73" t="s">
        <v>192</v>
      </c>
      <c r="G38" s="74" t="s">
        <v>312</v>
      </c>
      <c r="H38" s="74" t="n">
        <v>1</v>
      </c>
      <c r="I38" s="74" t="n">
        <v>5</v>
      </c>
      <c r="J38" s="73" t="s">
        <v>113</v>
      </c>
      <c r="K38" s="74" t="s">
        <v>313</v>
      </c>
      <c r="L38" s="74" t="s">
        <v>341</v>
      </c>
      <c r="M38" s="74" t="s">
        <v>28</v>
      </c>
      <c r="N38" s="74"/>
      <c r="O38" s="75" t="n">
        <v>45937</v>
      </c>
      <c r="P38" s="74"/>
      <c r="Q38" s="74"/>
      <c r="R38" s="74"/>
      <c r="S38" s="74" t="str">
        <f aca="false">+IF(R38&lt;=Q38,"NO","SI")</f>
        <v>NO</v>
      </c>
      <c r="T38" s="74"/>
      <c r="U38" s="74"/>
      <c r="V38" s="74"/>
      <c r="W38" s="74"/>
    </row>
    <row r="39" s="60" customFormat="true" ht="14.25" hidden="false" customHeight="false" outlineLevel="0" collapsed="false">
      <c r="A39" s="36"/>
      <c r="B39" s="61" t="s">
        <v>309</v>
      </c>
      <c r="C39" s="62" t="s">
        <v>307</v>
      </c>
      <c r="D39" s="63"/>
      <c r="E39" s="64" t="s">
        <v>356</v>
      </c>
      <c r="F39" s="65"/>
      <c r="G39" s="66"/>
      <c r="H39" s="67"/>
      <c r="I39" s="67"/>
      <c r="J39" s="67"/>
      <c r="K39" s="65"/>
      <c r="L39" s="65"/>
      <c r="M39" s="65"/>
      <c r="N39" s="65"/>
      <c r="O39" s="68"/>
      <c r="P39" s="65"/>
      <c r="Q39" s="65"/>
      <c r="R39" s="65"/>
      <c r="S39" s="65"/>
      <c r="T39" s="69"/>
      <c r="U39" s="65"/>
      <c r="V39" s="65"/>
      <c r="W39" s="65"/>
    </row>
    <row r="40" s="41" customFormat="true" ht="14.25" hidden="true" customHeight="false" outlineLevel="0" collapsed="false">
      <c r="A40" s="36"/>
      <c r="B40" s="70" t="s">
        <v>1</v>
      </c>
      <c r="C40" s="71" t="s">
        <v>307</v>
      </c>
      <c r="D40" s="72" t="s">
        <v>357</v>
      </c>
      <c r="E40" s="73" t="s">
        <v>356</v>
      </c>
      <c r="F40" s="73" t="s">
        <v>67</v>
      </c>
      <c r="G40" s="74" t="s">
        <v>312</v>
      </c>
      <c r="H40" s="74" t="n">
        <v>1</v>
      </c>
      <c r="I40" s="74" t="n">
        <v>5</v>
      </c>
      <c r="J40" s="73" t="s">
        <v>40</v>
      </c>
      <c r="K40" s="74" t="s">
        <v>313</v>
      </c>
      <c r="L40" s="74" t="s">
        <v>341</v>
      </c>
      <c r="M40" s="74" t="s">
        <v>28</v>
      </c>
      <c r="N40" s="74"/>
      <c r="O40" s="75" t="n">
        <v>45915</v>
      </c>
      <c r="P40" s="74"/>
      <c r="Q40" s="74"/>
      <c r="R40" s="74"/>
      <c r="S40" s="74" t="str">
        <f aca="false">+IF(R40&lt;=Q40,"NO","SI")</f>
        <v>NO</v>
      </c>
      <c r="T40" s="74"/>
      <c r="U40" s="74"/>
      <c r="V40" s="74"/>
      <c r="W40" s="74"/>
    </row>
    <row r="41" s="41" customFormat="true" ht="14.25" hidden="true" customHeight="false" outlineLevel="0" collapsed="false">
      <c r="A41" s="36"/>
      <c r="B41" s="70" t="s">
        <v>1</v>
      </c>
      <c r="C41" s="71" t="s">
        <v>307</v>
      </c>
      <c r="D41" s="72" t="s">
        <v>358</v>
      </c>
      <c r="E41" s="73" t="s">
        <v>356</v>
      </c>
      <c r="F41" s="73" t="s">
        <v>67</v>
      </c>
      <c r="G41" s="74" t="s">
        <v>312</v>
      </c>
      <c r="H41" s="74" t="n">
        <v>1</v>
      </c>
      <c r="I41" s="74" t="n">
        <v>5</v>
      </c>
      <c r="J41" s="73" t="s">
        <v>40</v>
      </c>
      <c r="K41" s="74" t="s">
        <v>313</v>
      </c>
      <c r="L41" s="74" t="s">
        <v>341</v>
      </c>
      <c r="M41" s="74" t="s">
        <v>28</v>
      </c>
      <c r="N41" s="74"/>
      <c r="O41" s="75" t="n">
        <v>45915</v>
      </c>
      <c r="P41" s="74"/>
      <c r="Q41" s="74"/>
      <c r="R41" s="74"/>
      <c r="S41" s="74" t="str">
        <f aca="false">+IF(R41&lt;=Q41,"NO","SI")</f>
        <v>NO</v>
      </c>
      <c r="T41" s="74"/>
      <c r="U41" s="74"/>
      <c r="V41" s="74"/>
      <c r="W41" s="74"/>
    </row>
    <row r="42" s="41" customFormat="true" ht="14.25" hidden="true" customHeight="false" outlineLevel="0" collapsed="false">
      <c r="A42" s="36"/>
      <c r="B42" s="70" t="s">
        <v>1</v>
      </c>
      <c r="C42" s="71" t="s">
        <v>307</v>
      </c>
      <c r="D42" s="72" t="s">
        <v>359</v>
      </c>
      <c r="E42" s="73" t="s">
        <v>356</v>
      </c>
      <c r="F42" s="73" t="s">
        <v>67</v>
      </c>
      <c r="G42" s="74" t="s">
        <v>312</v>
      </c>
      <c r="H42" s="74" t="n">
        <v>1</v>
      </c>
      <c r="I42" s="74" t="n">
        <v>5</v>
      </c>
      <c r="J42" s="73" t="s">
        <v>40</v>
      </c>
      <c r="K42" s="74" t="s">
        <v>313</v>
      </c>
      <c r="L42" s="74" t="s">
        <v>341</v>
      </c>
      <c r="M42" s="74" t="s">
        <v>28</v>
      </c>
      <c r="N42" s="74"/>
      <c r="O42" s="75" t="n">
        <v>45915</v>
      </c>
      <c r="P42" s="74"/>
      <c r="Q42" s="74"/>
      <c r="R42" s="74"/>
      <c r="S42" s="74" t="str">
        <f aca="false">+IF(R42&lt;=Q42,"NO","SI")</f>
        <v>NO</v>
      </c>
      <c r="T42" s="74"/>
      <c r="U42" s="74"/>
      <c r="V42" s="74"/>
      <c r="W42" s="74"/>
    </row>
    <row r="43" s="41" customFormat="true" ht="14.25" hidden="true" customHeight="false" outlineLevel="0" collapsed="false">
      <c r="A43" s="36"/>
      <c r="B43" s="70" t="s">
        <v>1</v>
      </c>
      <c r="C43" s="71" t="s">
        <v>307</v>
      </c>
      <c r="D43" s="72" t="s">
        <v>360</v>
      </c>
      <c r="E43" s="73" t="s">
        <v>356</v>
      </c>
      <c r="F43" s="73" t="s">
        <v>67</v>
      </c>
      <c r="G43" s="74" t="s">
        <v>312</v>
      </c>
      <c r="H43" s="74" t="n">
        <v>1</v>
      </c>
      <c r="I43" s="74" t="n">
        <v>5</v>
      </c>
      <c r="J43" s="73" t="s">
        <v>40</v>
      </c>
      <c r="K43" s="74" t="s">
        <v>313</v>
      </c>
      <c r="L43" s="74" t="s">
        <v>341</v>
      </c>
      <c r="M43" s="74" t="s">
        <v>28</v>
      </c>
      <c r="N43" s="74"/>
      <c r="O43" s="75" t="n">
        <v>45915</v>
      </c>
      <c r="P43" s="74"/>
      <c r="Q43" s="74"/>
      <c r="R43" s="74"/>
      <c r="S43" s="74" t="str">
        <f aca="false">+IF(R43&lt;=Q43,"NO","SI")</f>
        <v>NO</v>
      </c>
      <c r="T43" s="74"/>
      <c r="U43" s="74"/>
      <c r="V43" s="74"/>
      <c r="W43" s="74"/>
    </row>
    <row r="44" s="41" customFormat="true" ht="14.25" hidden="true" customHeight="false" outlineLevel="0" collapsed="false">
      <c r="A44" s="36"/>
      <c r="B44" s="70" t="s">
        <v>1</v>
      </c>
      <c r="C44" s="71" t="s">
        <v>307</v>
      </c>
      <c r="D44" s="72" t="s">
        <v>361</v>
      </c>
      <c r="E44" s="73" t="s">
        <v>356</v>
      </c>
      <c r="F44" s="73" t="s">
        <v>67</v>
      </c>
      <c r="G44" s="74" t="s">
        <v>312</v>
      </c>
      <c r="H44" s="74" t="n">
        <v>1</v>
      </c>
      <c r="I44" s="74" t="n">
        <v>5</v>
      </c>
      <c r="J44" s="73" t="s">
        <v>40</v>
      </c>
      <c r="K44" s="74" t="s">
        <v>313</v>
      </c>
      <c r="L44" s="74" t="s">
        <v>341</v>
      </c>
      <c r="M44" s="74" t="s">
        <v>28</v>
      </c>
      <c r="N44" s="74"/>
      <c r="O44" s="75" t="n">
        <v>45915</v>
      </c>
      <c r="P44" s="74"/>
      <c r="Q44" s="74"/>
      <c r="R44" s="74"/>
      <c r="S44" s="74" t="str">
        <f aca="false">+IF(R44&lt;=Q44,"NO","SI")</f>
        <v>NO</v>
      </c>
      <c r="T44" s="74"/>
      <c r="U44" s="74"/>
      <c r="V44" s="74"/>
      <c r="W44" s="74"/>
    </row>
    <row r="45" s="41" customFormat="true" ht="14.25" hidden="true" customHeight="false" outlineLevel="0" collapsed="false">
      <c r="A45" s="36"/>
      <c r="B45" s="70" t="s">
        <v>1</v>
      </c>
      <c r="C45" s="71" t="s">
        <v>307</v>
      </c>
      <c r="D45" s="72" t="s">
        <v>362</v>
      </c>
      <c r="E45" s="73" t="s">
        <v>356</v>
      </c>
      <c r="F45" s="73" t="s">
        <v>67</v>
      </c>
      <c r="G45" s="74" t="s">
        <v>312</v>
      </c>
      <c r="H45" s="74" t="n">
        <v>1</v>
      </c>
      <c r="I45" s="74" t="n">
        <v>5</v>
      </c>
      <c r="J45" s="73" t="s">
        <v>40</v>
      </c>
      <c r="K45" s="74" t="s">
        <v>313</v>
      </c>
      <c r="L45" s="74" t="s">
        <v>341</v>
      </c>
      <c r="M45" s="74" t="s">
        <v>28</v>
      </c>
      <c r="N45" s="74"/>
      <c r="O45" s="75" t="n">
        <v>45915</v>
      </c>
      <c r="P45" s="74"/>
      <c r="Q45" s="74"/>
      <c r="R45" s="74"/>
      <c r="S45" s="74" t="str">
        <f aca="false">+IF(R45&lt;=Q45,"NO","SI")</f>
        <v>NO</v>
      </c>
      <c r="T45" s="74"/>
      <c r="U45" s="74"/>
      <c r="V45" s="74"/>
      <c r="W45" s="74"/>
    </row>
    <row r="46" s="41" customFormat="true" ht="14.25" hidden="true" customHeight="false" outlineLevel="0" collapsed="false">
      <c r="A46" s="36"/>
      <c r="B46" s="70" t="s">
        <v>1</v>
      </c>
      <c r="C46" s="71" t="s">
        <v>307</v>
      </c>
      <c r="D46" s="72" t="s">
        <v>363</v>
      </c>
      <c r="E46" s="73" t="s">
        <v>356</v>
      </c>
      <c r="F46" s="73" t="s">
        <v>67</v>
      </c>
      <c r="G46" s="74" t="s">
        <v>312</v>
      </c>
      <c r="H46" s="74" t="n">
        <v>1</v>
      </c>
      <c r="I46" s="74" t="n">
        <v>5</v>
      </c>
      <c r="J46" s="73" t="s">
        <v>40</v>
      </c>
      <c r="K46" s="74" t="s">
        <v>313</v>
      </c>
      <c r="L46" s="74" t="s">
        <v>341</v>
      </c>
      <c r="M46" s="74" t="s">
        <v>28</v>
      </c>
      <c r="N46" s="74"/>
      <c r="O46" s="75" t="n">
        <v>45915</v>
      </c>
      <c r="P46" s="74"/>
      <c r="Q46" s="74"/>
      <c r="R46" s="74"/>
      <c r="S46" s="74" t="str">
        <f aca="false">+IF(R46&lt;=Q46,"NO","SI")</f>
        <v>NO</v>
      </c>
      <c r="T46" s="74"/>
      <c r="U46" s="74"/>
      <c r="V46" s="74"/>
      <c r="W46" s="74"/>
    </row>
    <row r="47" s="41" customFormat="true" ht="14.25" hidden="true" customHeight="false" outlineLevel="0" collapsed="false">
      <c r="A47" s="36"/>
      <c r="B47" s="70" t="s">
        <v>1</v>
      </c>
      <c r="C47" s="71" t="s">
        <v>307</v>
      </c>
      <c r="D47" s="72" t="s">
        <v>364</v>
      </c>
      <c r="E47" s="73" t="s">
        <v>356</v>
      </c>
      <c r="F47" s="73" t="s">
        <v>67</v>
      </c>
      <c r="G47" s="74" t="s">
        <v>312</v>
      </c>
      <c r="H47" s="74" t="n">
        <v>1</v>
      </c>
      <c r="I47" s="74" t="n">
        <v>5</v>
      </c>
      <c r="J47" s="73" t="s">
        <v>40</v>
      </c>
      <c r="K47" s="74" t="s">
        <v>313</v>
      </c>
      <c r="L47" s="74" t="s">
        <v>341</v>
      </c>
      <c r="M47" s="74" t="s">
        <v>28</v>
      </c>
      <c r="N47" s="74"/>
      <c r="O47" s="75" t="n">
        <v>45915</v>
      </c>
      <c r="P47" s="74"/>
      <c r="Q47" s="74"/>
      <c r="R47" s="74"/>
      <c r="S47" s="74" t="str">
        <f aca="false">+IF(R47&lt;=Q47,"NO","SI")</f>
        <v>NO</v>
      </c>
      <c r="T47" s="74"/>
      <c r="U47" s="74"/>
      <c r="V47" s="74"/>
      <c r="W47" s="74"/>
    </row>
    <row r="48" customFormat="false" ht="14.25" hidden="false" customHeight="false" outlineLevel="0" collapsed="false">
      <c r="B48" s="61" t="s">
        <v>309</v>
      </c>
      <c r="C48" s="62" t="s">
        <v>307</v>
      </c>
      <c r="D48" s="63"/>
      <c r="E48" s="64" t="s">
        <v>365</v>
      </c>
      <c r="F48" s="65"/>
      <c r="G48" s="66"/>
      <c r="H48" s="67"/>
      <c r="I48" s="67"/>
      <c r="J48" s="67"/>
      <c r="K48" s="65"/>
      <c r="L48" s="65"/>
      <c r="M48" s="65"/>
      <c r="N48" s="65"/>
      <c r="O48" s="68"/>
      <c r="P48" s="65"/>
      <c r="Q48" s="65"/>
      <c r="R48" s="65"/>
      <c r="S48" s="65"/>
      <c r="T48" s="69"/>
      <c r="U48" s="65"/>
      <c r="V48" s="65"/>
      <c r="W48" s="65"/>
    </row>
    <row r="49" s="41" customFormat="true" ht="14.25" hidden="true" customHeight="false" outlineLevel="0" collapsed="false">
      <c r="A49" s="36"/>
      <c r="B49" s="70" t="s">
        <v>1</v>
      </c>
      <c r="C49" s="71" t="s">
        <v>307</v>
      </c>
      <c r="D49" s="72" t="s">
        <v>366</v>
      </c>
      <c r="E49" s="73" t="s">
        <v>365</v>
      </c>
      <c r="F49" s="73" t="s">
        <v>69</v>
      </c>
      <c r="G49" s="74" t="s">
        <v>312</v>
      </c>
      <c r="H49" s="74" t="n">
        <v>1</v>
      </c>
      <c r="I49" s="74" t="n">
        <v>5</v>
      </c>
      <c r="J49" s="73" t="s">
        <v>40</v>
      </c>
      <c r="K49" s="74" t="s">
        <v>313</v>
      </c>
      <c r="L49" s="74" t="s">
        <v>341</v>
      </c>
      <c r="M49" s="74" t="s">
        <v>28</v>
      </c>
      <c r="N49" s="74"/>
      <c r="O49" s="75" t="n">
        <v>46013</v>
      </c>
      <c r="P49" s="74"/>
      <c r="Q49" s="74"/>
      <c r="R49" s="74"/>
      <c r="S49" s="74" t="str">
        <f aca="false">+IF(R49&lt;=Q49,"NO","SI")</f>
        <v>NO</v>
      </c>
      <c r="T49" s="74"/>
      <c r="U49" s="74"/>
      <c r="V49" s="74"/>
      <c r="W49" s="74"/>
    </row>
    <row r="50" s="41" customFormat="true" ht="14.25" hidden="true" customHeight="false" outlineLevel="0" collapsed="false">
      <c r="A50" s="36"/>
      <c r="B50" s="70" t="s">
        <v>1</v>
      </c>
      <c r="C50" s="71" t="s">
        <v>307</v>
      </c>
      <c r="D50" s="72" t="s">
        <v>367</v>
      </c>
      <c r="E50" s="73" t="s">
        <v>365</v>
      </c>
      <c r="F50" s="73" t="s">
        <v>69</v>
      </c>
      <c r="G50" s="74" t="s">
        <v>312</v>
      </c>
      <c r="H50" s="74" t="n">
        <v>1</v>
      </c>
      <c r="I50" s="74" t="n">
        <v>5</v>
      </c>
      <c r="J50" s="73" t="s">
        <v>40</v>
      </c>
      <c r="K50" s="74" t="s">
        <v>313</v>
      </c>
      <c r="L50" s="74" t="s">
        <v>341</v>
      </c>
      <c r="M50" s="74" t="s">
        <v>28</v>
      </c>
      <c r="N50" s="74"/>
      <c r="O50" s="75" t="n">
        <v>46013</v>
      </c>
      <c r="P50" s="74"/>
      <c r="Q50" s="74"/>
      <c r="R50" s="74"/>
      <c r="S50" s="74" t="str">
        <f aca="false">+IF(R50&lt;=Q50,"NO","SI")</f>
        <v>NO</v>
      </c>
      <c r="T50" s="74"/>
      <c r="U50" s="74"/>
      <c r="V50" s="74"/>
      <c r="W50" s="74"/>
    </row>
    <row r="51" s="41" customFormat="true" ht="14.25" hidden="true" customHeight="false" outlineLevel="0" collapsed="false">
      <c r="A51" s="36"/>
      <c r="B51" s="70" t="s">
        <v>1</v>
      </c>
      <c r="C51" s="71" t="s">
        <v>307</v>
      </c>
      <c r="D51" s="72" t="s">
        <v>368</v>
      </c>
      <c r="E51" s="73" t="s">
        <v>365</v>
      </c>
      <c r="F51" s="73" t="s">
        <v>69</v>
      </c>
      <c r="G51" s="74" t="s">
        <v>312</v>
      </c>
      <c r="H51" s="74" t="n">
        <v>1</v>
      </c>
      <c r="I51" s="74" t="n">
        <v>5</v>
      </c>
      <c r="J51" s="73" t="s">
        <v>40</v>
      </c>
      <c r="K51" s="74" t="s">
        <v>313</v>
      </c>
      <c r="L51" s="74" t="s">
        <v>341</v>
      </c>
      <c r="M51" s="74" t="s">
        <v>28</v>
      </c>
      <c r="N51" s="74"/>
      <c r="O51" s="75" t="n">
        <v>46013</v>
      </c>
      <c r="P51" s="74"/>
      <c r="Q51" s="74"/>
      <c r="R51" s="74"/>
      <c r="S51" s="74" t="str">
        <f aca="false">+IF(R51&lt;=Q51,"NO","SI")</f>
        <v>NO</v>
      </c>
      <c r="T51" s="74"/>
      <c r="U51" s="74"/>
      <c r="V51" s="74"/>
      <c r="W51" s="74"/>
    </row>
    <row r="52" s="41" customFormat="true" ht="14.25" hidden="true" customHeight="false" outlineLevel="0" collapsed="false">
      <c r="A52" s="36"/>
      <c r="B52" s="70" t="s">
        <v>1</v>
      </c>
      <c r="C52" s="71" t="s">
        <v>307</v>
      </c>
      <c r="D52" s="72" t="s">
        <v>369</v>
      </c>
      <c r="E52" s="73" t="s">
        <v>365</v>
      </c>
      <c r="F52" s="73" t="s">
        <v>69</v>
      </c>
      <c r="G52" s="74" t="s">
        <v>312</v>
      </c>
      <c r="H52" s="74" t="n">
        <v>1</v>
      </c>
      <c r="I52" s="74" t="n">
        <v>5</v>
      </c>
      <c r="J52" s="73" t="s">
        <v>40</v>
      </c>
      <c r="K52" s="74" t="s">
        <v>313</v>
      </c>
      <c r="L52" s="74" t="s">
        <v>341</v>
      </c>
      <c r="M52" s="74" t="s">
        <v>28</v>
      </c>
      <c r="N52" s="74"/>
      <c r="O52" s="75" t="n">
        <v>46013</v>
      </c>
      <c r="P52" s="74"/>
      <c r="Q52" s="74"/>
      <c r="R52" s="74"/>
      <c r="S52" s="74" t="str">
        <f aca="false">+IF(R52&lt;=Q52,"NO","SI")</f>
        <v>NO</v>
      </c>
      <c r="T52" s="74"/>
      <c r="U52" s="74"/>
      <c r="V52" s="74"/>
      <c r="W52" s="74"/>
    </row>
    <row r="53" s="41" customFormat="true" ht="14.25" hidden="true" customHeight="false" outlineLevel="0" collapsed="false">
      <c r="A53" s="36"/>
      <c r="B53" s="70" t="s">
        <v>1</v>
      </c>
      <c r="C53" s="71" t="s">
        <v>307</v>
      </c>
      <c r="D53" s="72" t="s">
        <v>370</v>
      </c>
      <c r="E53" s="73" t="s">
        <v>365</v>
      </c>
      <c r="F53" s="73" t="s">
        <v>71</v>
      </c>
      <c r="G53" s="74" t="s">
        <v>312</v>
      </c>
      <c r="H53" s="74" t="n">
        <v>1</v>
      </c>
      <c r="I53" s="74" t="n">
        <v>5</v>
      </c>
      <c r="J53" s="73" t="s">
        <v>40</v>
      </c>
      <c r="K53" s="74" t="s">
        <v>313</v>
      </c>
      <c r="L53" s="74" t="s">
        <v>341</v>
      </c>
      <c r="M53" s="74" t="s">
        <v>28</v>
      </c>
      <c r="N53" s="74"/>
      <c r="O53" s="75" t="n">
        <v>46013</v>
      </c>
      <c r="P53" s="74"/>
      <c r="Q53" s="74"/>
      <c r="R53" s="74"/>
      <c r="S53" s="74" t="str">
        <f aca="false">+IF(R53&lt;=Q53,"NO","SI")</f>
        <v>NO</v>
      </c>
      <c r="T53" s="74"/>
      <c r="U53" s="74"/>
      <c r="V53" s="74"/>
      <c r="W53" s="74"/>
    </row>
    <row r="54" s="41" customFormat="true" ht="14.25" hidden="true" customHeight="false" outlineLevel="0" collapsed="false">
      <c r="A54" s="36"/>
      <c r="B54" s="70" t="s">
        <v>1</v>
      </c>
      <c r="C54" s="71" t="s">
        <v>307</v>
      </c>
      <c r="D54" s="72" t="s">
        <v>371</v>
      </c>
      <c r="E54" s="73" t="s">
        <v>365</v>
      </c>
      <c r="F54" s="73" t="s">
        <v>71</v>
      </c>
      <c r="G54" s="74" t="s">
        <v>312</v>
      </c>
      <c r="H54" s="74" t="n">
        <v>1</v>
      </c>
      <c r="I54" s="74" t="n">
        <v>5</v>
      </c>
      <c r="J54" s="73" t="s">
        <v>40</v>
      </c>
      <c r="K54" s="74" t="s">
        <v>313</v>
      </c>
      <c r="L54" s="74" t="s">
        <v>341</v>
      </c>
      <c r="M54" s="74" t="s">
        <v>28</v>
      </c>
      <c r="N54" s="74"/>
      <c r="O54" s="75" t="n">
        <v>46013</v>
      </c>
      <c r="P54" s="74"/>
      <c r="Q54" s="74"/>
      <c r="R54" s="74"/>
      <c r="S54" s="74" t="str">
        <f aca="false">+IF(R54&lt;=Q54,"NO","SI")</f>
        <v>NO</v>
      </c>
      <c r="T54" s="74"/>
      <c r="U54" s="74"/>
      <c r="V54" s="74"/>
      <c r="W54" s="74"/>
    </row>
    <row r="55" s="41" customFormat="true" ht="14.25" hidden="true" customHeight="false" outlineLevel="0" collapsed="false">
      <c r="A55" s="36"/>
      <c r="B55" s="70" t="s">
        <v>1</v>
      </c>
      <c r="C55" s="71" t="s">
        <v>307</v>
      </c>
      <c r="D55" s="72" t="s">
        <v>372</v>
      </c>
      <c r="E55" s="73" t="s">
        <v>365</v>
      </c>
      <c r="F55" s="73" t="s">
        <v>71</v>
      </c>
      <c r="G55" s="74" t="s">
        <v>312</v>
      </c>
      <c r="H55" s="74" t="n">
        <v>1</v>
      </c>
      <c r="I55" s="74" t="n">
        <v>5</v>
      </c>
      <c r="J55" s="73" t="s">
        <v>40</v>
      </c>
      <c r="K55" s="74" t="s">
        <v>313</v>
      </c>
      <c r="L55" s="74" t="s">
        <v>341</v>
      </c>
      <c r="M55" s="74" t="s">
        <v>28</v>
      </c>
      <c r="N55" s="74"/>
      <c r="O55" s="75" t="n">
        <v>46013</v>
      </c>
      <c r="P55" s="74"/>
      <c r="Q55" s="74"/>
      <c r="R55" s="74"/>
      <c r="S55" s="74" t="str">
        <f aca="false">+IF(R55&lt;=Q55,"NO","SI")</f>
        <v>NO</v>
      </c>
      <c r="T55" s="74"/>
      <c r="U55" s="74"/>
      <c r="V55" s="74"/>
      <c r="W55" s="74"/>
    </row>
    <row r="56" s="41" customFormat="true" ht="14.25" hidden="true" customHeight="false" outlineLevel="0" collapsed="false">
      <c r="A56" s="36"/>
      <c r="B56" s="70" t="s">
        <v>1</v>
      </c>
      <c r="C56" s="71" t="s">
        <v>307</v>
      </c>
      <c r="D56" s="72" t="s">
        <v>373</v>
      </c>
      <c r="E56" s="73" t="s">
        <v>365</v>
      </c>
      <c r="F56" s="73" t="s">
        <v>71</v>
      </c>
      <c r="G56" s="74" t="s">
        <v>312</v>
      </c>
      <c r="H56" s="74" t="n">
        <v>1</v>
      </c>
      <c r="I56" s="74" t="n">
        <v>5</v>
      </c>
      <c r="J56" s="73" t="s">
        <v>40</v>
      </c>
      <c r="K56" s="74" t="s">
        <v>313</v>
      </c>
      <c r="L56" s="74" t="s">
        <v>341</v>
      </c>
      <c r="M56" s="74" t="s">
        <v>28</v>
      </c>
      <c r="N56" s="74"/>
      <c r="O56" s="75" t="n">
        <v>46013</v>
      </c>
      <c r="P56" s="74"/>
      <c r="Q56" s="74"/>
      <c r="R56" s="74"/>
      <c r="S56" s="74" t="str">
        <f aca="false">+IF(R56&lt;=Q56,"NO","SI")</f>
        <v>NO</v>
      </c>
      <c r="T56" s="74"/>
      <c r="U56" s="74"/>
      <c r="V56" s="74"/>
      <c r="W56" s="74"/>
    </row>
    <row r="57" s="41" customFormat="true" ht="14.25" hidden="true" customHeight="false" outlineLevel="0" collapsed="false">
      <c r="A57" s="36"/>
      <c r="B57" s="70" t="s">
        <v>1</v>
      </c>
      <c r="C57" s="71" t="s">
        <v>307</v>
      </c>
      <c r="D57" s="72" t="s">
        <v>374</v>
      </c>
      <c r="E57" s="73" t="s">
        <v>365</v>
      </c>
      <c r="F57" s="73" t="s">
        <v>67</v>
      </c>
      <c r="G57" s="74" t="s">
        <v>312</v>
      </c>
      <c r="H57" s="74" t="n">
        <v>1</v>
      </c>
      <c r="I57" s="74" t="n">
        <v>5</v>
      </c>
      <c r="J57" s="73" t="s">
        <v>40</v>
      </c>
      <c r="K57" s="74" t="s">
        <v>313</v>
      </c>
      <c r="L57" s="74" t="s">
        <v>341</v>
      </c>
      <c r="M57" s="74" t="s">
        <v>28</v>
      </c>
      <c r="N57" s="74"/>
      <c r="O57" s="75" t="n">
        <v>46013</v>
      </c>
      <c r="P57" s="74"/>
      <c r="Q57" s="74"/>
      <c r="R57" s="74"/>
      <c r="S57" s="74" t="str">
        <f aca="false">+IF(R57&lt;=Q57,"NO","SI")</f>
        <v>NO</v>
      </c>
      <c r="T57" s="74"/>
      <c r="U57" s="74"/>
      <c r="V57" s="74"/>
      <c r="W57" s="74"/>
    </row>
    <row r="58" s="41" customFormat="true" ht="14.25" hidden="true" customHeight="false" outlineLevel="0" collapsed="false">
      <c r="A58" s="36"/>
      <c r="B58" s="70" t="s">
        <v>1</v>
      </c>
      <c r="C58" s="71" t="s">
        <v>307</v>
      </c>
      <c r="D58" s="72" t="s">
        <v>375</v>
      </c>
      <c r="E58" s="73" t="s">
        <v>365</v>
      </c>
      <c r="F58" s="73" t="s">
        <v>67</v>
      </c>
      <c r="G58" s="74" t="s">
        <v>312</v>
      </c>
      <c r="H58" s="74" t="n">
        <v>1</v>
      </c>
      <c r="I58" s="74" t="n">
        <v>5</v>
      </c>
      <c r="J58" s="73" t="s">
        <v>40</v>
      </c>
      <c r="K58" s="74" t="s">
        <v>313</v>
      </c>
      <c r="L58" s="74" t="s">
        <v>341</v>
      </c>
      <c r="M58" s="74" t="s">
        <v>28</v>
      </c>
      <c r="N58" s="74"/>
      <c r="O58" s="75" t="n">
        <v>46013</v>
      </c>
      <c r="P58" s="74"/>
      <c r="Q58" s="74"/>
      <c r="R58" s="74"/>
      <c r="S58" s="74" t="str">
        <f aca="false">+IF(R58&lt;=Q58,"NO","SI")</f>
        <v>NO</v>
      </c>
      <c r="T58" s="74"/>
      <c r="U58" s="74"/>
      <c r="V58" s="74"/>
      <c r="W58" s="74"/>
    </row>
    <row r="59" s="41" customFormat="true" ht="14.25" hidden="true" customHeight="false" outlineLevel="0" collapsed="false">
      <c r="A59" s="36"/>
      <c r="B59" s="70" t="s">
        <v>1</v>
      </c>
      <c r="C59" s="71" t="s">
        <v>307</v>
      </c>
      <c r="D59" s="72" t="s">
        <v>376</v>
      </c>
      <c r="E59" s="73" t="s">
        <v>365</v>
      </c>
      <c r="F59" s="73" t="s">
        <v>67</v>
      </c>
      <c r="G59" s="74" t="s">
        <v>312</v>
      </c>
      <c r="H59" s="74" t="n">
        <v>1</v>
      </c>
      <c r="I59" s="74" t="n">
        <v>5</v>
      </c>
      <c r="J59" s="73" t="s">
        <v>40</v>
      </c>
      <c r="K59" s="74" t="s">
        <v>313</v>
      </c>
      <c r="L59" s="74" t="s">
        <v>341</v>
      </c>
      <c r="M59" s="74" t="s">
        <v>28</v>
      </c>
      <c r="N59" s="74"/>
      <c r="O59" s="75" t="n">
        <v>46013</v>
      </c>
      <c r="P59" s="74"/>
      <c r="Q59" s="74"/>
      <c r="R59" s="74"/>
      <c r="S59" s="74" t="str">
        <f aca="false">+IF(R59&lt;=Q59,"NO","SI")</f>
        <v>NO</v>
      </c>
      <c r="T59" s="74"/>
      <c r="U59" s="74"/>
      <c r="V59" s="74"/>
      <c r="W59" s="74"/>
    </row>
    <row r="60" s="41" customFormat="true" ht="14.25" hidden="true" customHeight="false" outlineLevel="0" collapsed="false">
      <c r="A60" s="36"/>
      <c r="B60" s="70" t="s">
        <v>1</v>
      </c>
      <c r="C60" s="71" t="s">
        <v>307</v>
      </c>
      <c r="D60" s="72" t="s">
        <v>377</v>
      </c>
      <c r="E60" s="73" t="s">
        <v>365</v>
      </c>
      <c r="F60" s="73" t="s">
        <v>67</v>
      </c>
      <c r="G60" s="74" t="s">
        <v>312</v>
      </c>
      <c r="H60" s="74" t="n">
        <v>1</v>
      </c>
      <c r="I60" s="74" t="n">
        <v>5</v>
      </c>
      <c r="J60" s="73" t="s">
        <v>40</v>
      </c>
      <c r="K60" s="74" t="s">
        <v>313</v>
      </c>
      <c r="L60" s="74" t="s">
        <v>341</v>
      </c>
      <c r="M60" s="74" t="s">
        <v>28</v>
      </c>
      <c r="N60" s="74"/>
      <c r="O60" s="75" t="n">
        <v>46013</v>
      </c>
      <c r="P60" s="74"/>
      <c r="Q60" s="74"/>
      <c r="R60" s="74"/>
      <c r="S60" s="74" t="str">
        <f aca="false">+IF(R60&lt;=Q60,"NO","SI")</f>
        <v>NO</v>
      </c>
      <c r="T60" s="74"/>
      <c r="U60" s="74"/>
      <c r="V60" s="74"/>
      <c r="W60" s="74"/>
    </row>
    <row r="61" s="41" customFormat="true" ht="14.25" hidden="true" customHeight="false" outlineLevel="0" collapsed="false">
      <c r="A61" s="36"/>
      <c r="B61" s="70" t="s">
        <v>1</v>
      </c>
      <c r="C61" s="71" t="s">
        <v>307</v>
      </c>
      <c r="D61" s="72" t="s">
        <v>378</v>
      </c>
      <c r="E61" s="73" t="s">
        <v>365</v>
      </c>
      <c r="F61" s="73" t="s">
        <v>67</v>
      </c>
      <c r="G61" s="74" t="s">
        <v>312</v>
      </c>
      <c r="H61" s="74" t="n">
        <v>1</v>
      </c>
      <c r="I61" s="74" t="n">
        <v>5</v>
      </c>
      <c r="J61" s="73" t="s">
        <v>40</v>
      </c>
      <c r="K61" s="74" t="s">
        <v>313</v>
      </c>
      <c r="L61" s="74" t="s">
        <v>341</v>
      </c>
      <c r="M61" s="74" t="s">
        <v>28</v>
      </c>
      <c r="N61" s="74"/>
      <c r="O61" s="75" t="n">
        <v>46013</v>
      </c>
      <c r="P61" s="74"/>
      <c r="Q61" s="74"/>
      <c r="R61" s="74"/>
      <c r="S61" s="74" t="str">
        <f aca="false">+IF(R61&lt;=Q61,"NO","SI")</f>
        <v>NO</v>
      </c>
      <c r="T61" s="74"/>
      <c r="U61" s="74"/>
      <c r="V61" s="74"/>
      <c r="W61" s="74"/>
    </row>
    <row r="62" s="41" customFormat="true" ht="14.25" hidden="true" customHeight="false" outlineLevel="0" collapsed="false">
      <c r="A62" s="36"/>
      <c r="B62" s="70" t="s">
        <v>1</v>
      </c>
      <c r="C62" s="71" t="s">
        <v>307</v>
      </c>
      <c r="D62" s="72" t="s">
        <v>379</v>
      </c>
      <c r="E62" s="73" t="s">
        <v>365</v>
      </c>
      <c r="F62" s="73" t="s">
        <v>67</v>
      </c>
      <c r="G62" s="74" t="s">
        <v>312</v>
      </c>
      <c r="H62" s="74" t="n">
        <v>1</v>
      </c>
      <c r="I62" s="74" t="n">
        <v>5</v>
      </c>
      <c r="J62" s="73" t="s">
        <v>40</v>
      </c>
      <c r="K62" s="74" t="s">
        <v>313</v>
      </c>
      <c r="L62" s="74" t="s">
        <v>341</v>
      </c>
      <c r="M62" s="74" t="s">
        <v>28</v>
      </c>
      <c r="N62" s="74"/>
      <c r="O62" s="75" t="n">
        <v>46013</v>
      </c>
      <c r="P62" s="74"/>
      <c r="Q62" s="74"/>
      <c r="R62" s="74"/>
      <c r="S62" s="74" t="str">
        <f aca="false">+IF(R62&lt;=Q62,"NO","SI")</f>
        <v>NO</v>
      </c>
      <c r="T62" s="74"/>
      <c r="U62" s="74"/>
      <c r="V62" s="74"/>
      <c r="W62" s="74"/>
    </row>
    <row r="63" s="41" customFormat="true" ht="14.25" hidden="true" customHeight="false" outlineLevel="0" collapsed="false">
      <c r="A63" s="36"/>
      <c r="B63" s="70" t="s">
        <v>1</v>
      </c>
      <c r="C63" s="71" t="s">
        <v>307</v>
      </c>
      <c r="D63" s="72" t="s">
        <v>380</v>
      </c>
      <c r="E63" s="73" t="s">
        <v>365</v>
      </c>
      <c r="F63" s="73" t="s">
        <v>67</v>
      </c>
      <c r="G63" s="74" t="s">
        <v>312</v>
      </c>
      <c r="H63" s="74" t="n">
        <v>1</v>
      </c>
      <c r="I63" s="74" t="n">
        <v>5</v>
      </c>
      <c r="J63" s="73" t="s">
        <v>40</v>
      </c>
      <c r="K63" s="74" t="s">
        <v>313</v>
      </c>
      <c r="L63" s="74" t="s">
        <v>341</v>
      </c>
      <c r="M63" s="74" t="s">
        <v>28</v>
      </c>
      <c r="N63" s="74"/>
      <c r="O63" s="75" t="n">
        <v>46013</v>
      </c>
      <c r="P63" s="74"/>
      <c r="Q63" s="74"/>
      <c r="R63" s="74"/>
      <c r="S63" s="74" t="str">
        <f aca="false">+IF(R63&lt;=Q63,"NO","SI")</f>
        <v>NO</v>
      </c>
      <c r="T63" s="74"/>
      <c r="U63" s="74"/>
      <c r="V63" s="74"/>
      <c r="W63" s="74"/>
    </row>
    <row r="64" s="41" customFormat="true" ht="14.25" hidden="true" customHeight="false" outlineLevel="0" collapsed="false">
      <c r="A64" s="36"/>
      <c r="B64" s="70" t="s">
        <v>1</v>
      </c>
      <c r="C64" s="71" t="s">
        <v>307</v>
      </c>
      <c r="D64" s="72" t="s">
        <v>381</v>
      </c>
      <c r="E64" s="73" t="s">
        <v>365</v>
      </c>
      <c r="F64" s="73" t="s">
        <v>67</v>
      </c>
      <c r="G64" s="74" t="s">
        <v>312</v>
      </c>
      <c r="H64" s="74" t="n">
        <v>1</v>
      </c>
      <c r="I64" s="74" t="n">
        <v>5</v>
      </c>
      <c r="J64" s="73" t="s">
        <v>40</v>
      </c>
      <c r="K64" s="74" t="s">
        <v>313</v>
      </c>
      <c r="L64" s="74" t="s">
        <v>341</v>
      </c>
      <c r="M64" s="74" t="s">
        <v>28</v>
      </c>
      <c r="N64" s="74"/>
      <c r="O64" s="75" t="n">
        <v>46013</v>
      </c>
      <c r="P64" s="74"/>
      <c r="Q64" s="74"/>
      <c r="R64" s="74"/>
      <c r="S64" s="74" t="str">
        <f aca="false">+IF(R64&lt;=Q64,"NO","SI")</f>
        <v>NO</v>
      </c>
      <c r="T64" s="74"/>
      <c r="U64" s="74"/>
      <c r="V64" s="74"/>
      <c r="W64" s="74"/>
    </row>
    <row r="65" customFormat="false" ht="14.25" hidden="false" customHeight="false" outlineLevel="0" collapsed="false">
      <c r="B65" s="61" t="s">
        <v>309</v>
      </c>
      <c r="C65" s="62" t="s">
        <v>307</v>
      </c>
      <c r="D65" s="63"/>
      <c r="E65" s="64" t="s">
        <v>382</v>
      </c>
      <c r="F65" s="65"/>
      <c r="G65" s="66"/>
      <c r="H65" s="67"/>
      <c r="I65" s="67"/>
      <c r="J65" s="67"/>
      <c r="K65" s="65"/>
      <c r="L65" s="65"/>
      <c r="M65" s="65"/>
      <c r="N65" s="65"/>
      <c r="O65" s="68"/>
      <c r="P65" s="65"/>
      <c r="Q65" s="65"/>
      <c r="R65" s="65"/>
      <c r="S65" s="65"/>
      <c r="T65" s="69"/>
      <c r="U65" s="65"/>
      <c r="V65" s="65"/>
      <c r="W65" s="65"/>
    </row>
    <row r="66" customFormat="false" ht="14.25" hidden="true" customHeight="false" outlineLevel="0" collapsed="false">
      <c r="B66" s="70" t="s">
        <v>1</v>
      </c>
      <c r="C66" s="71" t="s">
        <v>307</v>
      </c>
      <c r="D66" s="72" t="s">
        <v>383</v>
      </c>
      <c r="E66" s="73" t="s">
        <v>382</v>
      </c>
      <c r="F66" s="73" t="s">
        <v>63</v>
      </c>
      <c r="G66" s="74" t="s">
        <v>312</v>
      </c>
      <c r="H66" s="74" t="n">
        <v>1</v>
      </c>
      <c r="I66" s="74" t="n">
        <v>5</v>
      </c>
      <c r="J66" s="73" t="s">
        <v>40</v>
      </c>
      <c r="K66" s="74" t="s">
        <v>313</v>
      </c>
      <c r="L66" s="75" t="s">
        <v>384</v>
      </c>
      <c r="M66" s="74" t="s">
        <v>385</v>
      </c>
      <c r="N66" s="74"/>
      <c r="O66" s="75" t="n">
        <v>46233</v>
      </c>
      <c r="P66" s="74"/>
      <c r="Q66" s="74"/>
      <c r="R66" s="74"/>
      <c r="S66" s="74" t="str">
        <f aca="false">+IF(R66&lt;=Q66,"NO","SI")</f>
        <v>NO</v>
      </c>
      <c r="T66" s="74"/>
      <c r="U66" s="74"/>
      <c r="V66" s="74"/>
      <c r="W66" s="74"/>
    </row>
    <row r="67" customFormat="false" ht="14.25" hidden="true" customHeight="false" outlineLevel="0" collapsed="false">
      <c r="B67" s="70" t="s">
        <v>1</v>
      </c>
      <c r="C67" s="71" t="s">
        <v>307</v>
      </c>
      <c r="D67" s="72" t="s">
        <v>386</v>
      </c>
      <c r="E67" s="73" t="s">
        <v>382</v>
      </c>
      <c r="F67" s="73" t="s">
        <v>63</v>
      </c>
      <c r="G67" s="74" t="s">
        <v>312</v>
      </c>
      <c r="H67" s="74" t="n">
        <v>1</v>
      </c>
      <c r="I67" s="74" t="n">
        <v>5</v>
      </c>
      <c r="J67" s="73" t="s">
        <v>40</v>
      </c>
      <c r="K67" s="74" t="s">
        <v>313</v>
      </c>
      <c r="L67" s="75" t="s">
        <v>384</v>
      </c>
      <c r="M67" s="74" t="s">
        <v>385</v>
      </c>
      <c r="N67" s="74"/>
      <c r="O67" s="75" t="n">
        <v>46233</v>
      </c>
      <c r="P67" s="74"/>
      <c r="Q67" s="74"/>
      <c r="R67" s="74"/>
      <c r="S67" s="74" t="str">
        <f aca="false">+IF(R67&lt;=Q67,"NO","SI")</f>
        <v>NO</v>
      </c>
      <c r="T67" s="74"/>
      <c r="U67" s="74"/>
      <c r="V67" s="74"/>
      <c r="W67" s="74"/>
    </row>
    <row r="68" customFormat="false" ht="14.25" hidden="true" customHeight="false" outlineLevel="0" collapsed="false">
      <c r="B68" s="70" t="s">
        <v>1</v>
      </c>
      <c r="C68" s="71" t="s">
        <v>307</v>
      </c>
      <c r="D68" s="72" t="s">
        <v>387</v>
      </c>
      <c r="E68" s="73" t="s">
        <v>382</v>
      </c>
      <c r="F68" s="73" t="s">
        <v>63</v>
      </c>
      <c r="G68" s="74" t="s">
        <v>312</v>
      </c>
      <c r="H68" s="74" t="n">
        <v>1</v>
      </c>
      <c r="I68" s="74" t="n">
        <v>5</v>
      </c>
      <c r="J68" s="73" t="s">
        <v>40</v>
      </c>
      <c r="K68" s="74" t="s">
        <v>313</v>
      </c>
      <c r="L68" s="75" t="s">
        <v>384</v>
      </c>
      <c r="M68" s="74" t="s">
        <v>385</v>
      </c>
      <c r="N68" s="74"/>
      <c r="O68" s="75" t="n">
        <v>46233</v>
      </c>
      <c r="P68" s="74"/>
      <c r="Q68" s="74"/>
      <c r="R68" s="74"/>
      <c r="S68" s="74" t="str">
        <f aca="false">+IF(R68&lt;=Q68,"NO","SI")</f>
        <v>NO</v>
      </c>
      <c r="T68" s="74"/>
      <c r="U68" s="74"/>
      <c r="V68" s="74"/>
      <c r="W68" s="74"/>
    </row>
    <row r="69" customFormat="false" ht="14.25" hidden="true" customHeight="false" outlineLevel="0" collapsed="false">
      <c r="B69" s="70" t="s">
        <v>1</v>
      </c>
      <c r="C69" s="71" t="s">
        <v>307</v>
      </c>
      <c r="D69" s="72" t="s">
        <v>388</v>
      </c>
      <c r="E69" s="73" t="s">
        <v>382</v>
      </c>
      <c r="F69" s="73" t="s">
        <v>63</v>
      </c>
      <c r="G69" s="74" t="s">
        <v>312</v>
      </c>
      <c r="H69" s="74" t="n">
        <v>1</v>
      </c>
      <c r="I69" s="74" t="n">
        <v>5</v>
      </c>
      <c r="J69" s="73" t="s">
        <v>40</v>
      </c>
      <c r="K69" s="74" t="s">
        <v>313</v>
      </c>
      <c r="L69" s="75" t="s">
        <v>384</v>
      </c>
      <c r="M69" s="74" t="s">
        <v>385</v>
      </c>
      <c r="N69" s="74"/>
      <c r="O69" s="75" t="n">
        <v>46233</v>
      </c>
      <c r="P69" s="74"/>
      <c r="Q69" s="74"/>
      <c r="R69" s="74"/>
      <c r="S69" s="74" t="str">
        <f aca="false">+IF(R69&lt;=Q69,"NO","SI")</f>
        <v>NO</v>
      </c>
      <c r="T69" s="74"/>
      <c r="U69" s="74"/>
      <c r="V69" s="74"/>
      <c r="W69" s="74"/>
    </row>
    <row r="70" customFormat="false" ht="14.25" hidden="true" customHeight="false" outlineLevel="0" collapsed="false">
      <c r="B70" s="70" t="s">
        <v>1</v>
      </c>
      <c r="C70" s="71" t="s">
        <v>307</v>
      </c>
      <c r="D70" s="72" t="s">
        <v>389</v>
      </c>
      <c r="E70" s="73" t="s">
        <v>382</v>
      </c>
      <c r="F70" s="73" t="s">
        <v>63</v>
      </c>
      <c r="G70" s="74" t="s">
        <v>312</v>
      </c>
      <c r="H70" s="74" t="n">
        <v>1</v>
      </c>
      <c r="I70" s="74" t="n">
        <v>5</v>
      </c>
      <c r="J70" s="73" t="s">
        <v>40</v>
      </c>
      <c r="K70" s="74" t="s">
        <v>313</v>
      </c>
      <c r="L70" s="75" t="s">
        <v>384</v>
      </c>
      <c r="M70" s="74" t="s">
        <v>385</v>
      </c>
      <c r="N70" s="74"/>
      <c r="O70" s="75" t="n">
        <v>46233</v>
      </c>
      <c r="P70" s="74"/>
      <c r="Q70" s="74"/>
      <c r="R70" s="74"/>
      <c r="S70" s="74" t="str">
        <f aca="false">+IF(R70&lt;=Q70,"NO","SI")</f>
        <v>NO</v>
      </c>
      <c r="T70" s="74"/>
      <c r="U70" s="74"/>
      <c r="V70" s="74"/>
      <c r="W70" s="74"/>
    </row>
    <row r="71" customFormat="false" ht="14.25" hidden="true" customHeight="false" outlineLevel="0" collapsed="false">
      <c r="B71" s="70" t="s">
        <v>1</v>
      </c>
      <c r="C71" s="71" t="s">
        <v>307</v>
      </c>
      <c r="D71" s="72" t="s">
        <v>390</v>
      </c>
      <c r="E71" s="73" t="s">
        <v>382</v>
      </c>
      <c r="F71" s="73" t="s">
        <v>63</v>
      </c>
      <c r="G71" s="74" t="s">
        <v>312</v>
      </c>
      <c r="H71" s="74" t="n">
        <v>1</v>
      </c>
      <c r="I71" s="74" t="n">
        <v>5</v>
      </c>
      <c r="J71" s="73" t="s">
        <v>40</v>
      </c>
      <c r="K71" s="74" t="s">
        <v>313</v>
      </c>
      <c r="L71" s="75" t="s">
        <v>384</v>
      </c>
      <c r="M71" s="74" t="s">
        <v>385</v>
      </c>
      <c r="N71" s="74"/>
      <c r="O71" s="75" t="n">
        <v>46233</v>
      </c>
      <c r="P71" s="74"/>
      <c r="Q71" s="74"/>
      <c r="R71" s="74"/>
      <c r="S71" s="74" t="str">
        <f aca="false">+IF(R71&lt;=Q71,"NO","SI")</f>
        <v>NO</v>
      </c>
      <c r="T71" s="74"/>
      <c r="U71" s="74"/>
      <c r="V71" s="74"/>
      <c r="W71" s="74"/>
    </row>
    <row r="72" customFormat="false" ht="14.25" hidden="true" customHeight="false" outlineLevel="0" collapsed="false">
      <c r="B72" s="70" t="s">
        <v>1</v>
      </c>
      <c r="C72" s="71" t="s">
        <v>307</v>
      </c>
      <c r="D72" s="72" t="s">
        <v>391</v>
      </c>
      <c r="E72" s="73" t="s">
        <v>382</v>
      </c>
      <c r="F72" s="73" t="s">
        <v>63</v>
      </c>
      <c r="G72" s="74" t="s">
        <v>312</v>
      </c>
      <c r="H72" s="74" t="n">
        <v>1</v>
      </c>
      <c r="I72" s="74" t="n">
        <v>5</v>
      </c>
      <c r="J72" s="73" t="s">
        <v>40</v>
      </c>
      <c r="K72" s="74" t="s">
        <v>313</v>
      </c>
      <c r="L72" s="75" t="s">
        <v>384</v>
      </c>
      <c r="M72" s="74" t="s">
        <v>385</v>
      </c>
      <c r="N72" s="74"/>
      <c r="O72" s="75" t="n">
        <v>46233</v>
      </c>
      <c r="P72" s="74"/>
      <c r="Q72" s="74"/>
      <c r="R72" s="74"/>
      <c r="S72" s="74" t="str">
        <f aca="false">+IF(R72&lt;=Q72,"NO","SI")</f>
        <v>NO</v>
      </c>
      <c r="T72" s="74"/>
      <c r="U72" s="74"/>
      <c r="V72" s="74"/>
      <c r="W72" s="74"/>
    </row>
    <row r="73" customFormat="false" ht="14.25" hidden="true" customHeight="false" outlineLevel="0" collapsed="false">
      <c r="B73" s="70" t="s">
        <v>1</v>
      </c>
      <c r="C73" s="71" t="s">
        <v>307</v>
      </c>
      <c r="D73" s="72" t="s">
        <v>392</v>
      </c>
      <c r="E73" s="73" t="s">
        <v>382</v>
      </c>
      <c r="F73" s="73" t="s">
        <v>63</v>
      </c>
      <c r="G73" s="74" t="s">
        <v>312</v>
      </c>
      <c r="H73" s="74" t="n">
        <v>1</v>
      </c>
      <c r="I73" s="74" t="n">
        <v>5</v>
      </c>
      <c r="J73" s="73" t="s">
        <v>40</v>
      </c>
      <c r="K73" s="74" t="s">
        <v>313</v>
      </c>
      <c r="L73" s="75" t="s">
        <v>384</v>
      </c>
      <c r="M73" s="74" t="s">
        <v>385</v>
      </c>
      <c r="N73" s="74"/>
      <c r="O73" s="75" t="n">
        <v>46233</v>
      </c>
      <c r="P73" s="74"/>
      <c r="Q73" s="74"/>
      <c r="R73" s="74"/>
      <c r="S73" s="74" t="str">
        <f aca="false">+IF(R73&lt;=Q73,"NO","SI")</f>
        <v>NO</v>
      </c>
      <c r="T73" s="74"/>
      <c r="U73" s="74"/>
      <c r="V73" s="74"/>
      <c r="W73" s="74"/>
    </row>
    <row r="74" customFormat="false" ht="14.25" hidden="true" customHeight="false" outlineLevel="0" collapsed="false">
      <c r="B74" s="70" t="s">
        <v>1</v>
      </c>
      <c r="C74" s="71" t="s">
        <v>307</v>
      </c>
      <c r="D74" s="72" t="s">
        <v>393</v>
      </c>
      <c r="E74" s="73" t="s">
        <v>382</v>
      </c>
      <c r="F74" s="73" t="s">
        <v>63</v>
      </c>
      <c r="G74" s="74" t="s">
        <v>312</v>
      </c>
      <c r="H74" s="74" t="n">
        <v>1</v>
      </c>
      <c r="I74" s="74" t="n">
        <v>5</v>
      </c>
      <c r="J74" s="73" t="s">
        <v>40</v>
      </c>
      <c r="K74" s="74" t="s">
        <v>313</v>
      </c>
      <c r="L74" s="75" t="s">
        <v>384</v>
      </c>
      <c r="M74" s="74" t="s">
        <v>385</v>
      </c>
      <c r="N74" s="74"/>
      <c r="O74" s="75" t="n">
        <v>46233</v>
      </c>
      <c r="P74" s="74"/>
      <c r="Q74" s="74"/>
      <c r="R74" s="74"/>
      <c r="S74" s="74" t="str">
        <f aca="false">+IF(R74&lt;=Q74,"NO","SI")</f>
        <v>NO</v>
      </c>
      <c r="T74" s="74"/>
      <c r="U74" s="74"/>
      <c r="V74" s="74"/>
      <c r="W74" s="74"/>
    </row>
    <row r="75" customFormat="false" ht="14.25" hidden="true" customHeight="false" outlineLevel="0" collapsed="false">
      <c r="B75" s="70" t="s">
        <v>1</v>
      </c>
      <c r="C75" s="71" t="s">
        <v>307</v>
      </c>
      <c r="D75" s="72" t="s">
        <v>394</v>
      </c>
      <c r="E75" s="73" t="s">
        <v>382</v>
      </c>
      <c r="F75" s="73" t="s">
        <v>63</v>
      </c>
      <c r="G75" s="74" t="s">
        <v>312</v>
      </c>
      <c r="H75" s="74" t="n">
        <v>1</v>
      </c>
      <c r="I75" s="74" t="n">
        <v>5</v>
      </c>
      <c r="J75" s="73" t="s">
        <v>40</v>
      </c>
      <c r="K75" s="74" t="s">
        <v>313</v>
      </c>
      <c r="L75" s="75" t="s">
        <v>384</v>
      </c>
      <c r="M75" s="74" t="s">
        <v>385</v>
      </c>
      <c r="N75" s="74"/>
      <c r="O75" s="75" t="n">
        <v>46233</v>
      </c>
      <c r="P75" s="74"/>
      <c r="Q75" s="74"/>
      <c r="R75" s="74"/>
      <c r="S75" s="74" t="str">
        <f aca="false">+IF(R75&lt;=Q75,"NO","SI")</f>
        <v>NO</v>
      </c>
      <c r="T75" s="74"/>
      <c r="U75" s="74"/>
      <c r="V75" s="74"/>
      <c r="W75" s="74"/>
    </row>
    <row r="76" customFormat="false" ht="14.25" hidden="true" customHeight="false" outlineLevel="0" collapsed="false">
      <c r="B76" s="70" t="s">
        <v>1</v>
      </c>
      <c r="C76" s="71" t="s">
        <v>307</v>
      </c>
      <c r="D76" s="72" t="s">
        <v>395</v>
      </c>
      <c r="E76" s="73" t="s">
        <v>382</v>
      </c>
      <c r="F76" s="73" t="s">
        <v>63</v>
      </c>
      <c r="G76" s="74" t="s">
        <v>312</v>
      </c>
      <c r="H76" s="74" t="n">
        <v>1</v>
      </c>
      <c r="I76" s="74" t="n">
        <v>5</v>
      </c>
      <c r="J76" s="73" t="s">
        <v>40</v>
      </c>
      <c r="K76" s="74" t="s">
        <v>313</v>
      </c>
      <c r="L76" s="75" t="s">
        <v>384</v>
      </c>
      <c r="M76" s="74" t="s">
        <v>385</v>
      </c>
      <c r="N76" s="74"/>
      <c r="O76" s="75" t="n">
        <v>46233</v>
      </c>
      <c r="P76" s="74"/>
      <c r="Q76" s="74"/>
      <c r="R76" s="74"/>
      <c r="S76" s="74" t="str">
        <f aca="false">+IF(R76&lt;=Q76,"NO","SI")</f>
        <v>NO</v>
      </c>
      <c r="T76" s="74"/>
      <c r="U76" s="74"/>
      <c r="V76" s="74"/>
      <c r="W76" s="74"/>
    </row>
    <row r="77" customFormat="false" ht="14.25" hidden="true" customHeight="false" outlineLevel="0" collapsed="false">
      <c r="B77" s="70" t="s">
        <v>1</v>
      </c>
      <c r="C77" s="71" t="s">
        <v>307</v>
      </c>
      <c r="D77" s="72" t="s">
        <v>396</v>
      </c>
      <c r="E77" s="73" t="s">
        <v>382</v>
      </c>
      <c r="F77" s="73" t="s">
        <v>63</v>
      </c>
      <c r="G77" s="74" t="s">
        <v>312</v>
      </c>
      <c r="H77" s="74" t="n">
        <v>1</v>
      </c>
      <c r="I77" s="74" t="n">
        <v>5</v>
      </c>
      <c r="J77" s="73" t="s">
        <v>40</v>
      </c>
      <c r="K77" s="74" t="s">
        <v>313</v>
      </c>
      <c r="L77" s="75" t="s">
        <v>384</v>
      </c>
      <c r="M77" s="74" t="s">
        <v>385</v>
      </c>
      <c r="N77" s="74"/>
      <c r="O77" s="75" t="n">
        <v>46233</v>
      </c>
      <c r="P77" s="74"/>
      <c r="Q77" s="74"/>
      <c r="R77" s="74"/>
      <c r="S77" s="74" t="str">
        <f aca="false">+IF(R77&lt;=Q77,"NO","SI")</f>
        <v>NO</v>
      </c>
      <c r="T77" s="74"/>
      <c r="U77" s="74"/>
      <c r="V77" s="74"/>
      <c r="W77" s="74"/>
    </row>
    <row r="78" customFormat="false" ht="14.25" hidden="true" customHeight="false" outlineLevel="0" collapsed="false">
      <c r="B78" s="70" t="s">
        <v>1</v>
      </c>
      <c r="C78" s="71" t="s">
        <v>307</v>
      </c>
      <c r="D78" s="72" t="s">
        <v>397</v>
      </c>
      <c r="E78" s="73" t="s">
        <v>382</v>
      </c>
      <c r="F78" s="73" t="s">
        <v>63</v>
      </c>
      <c r="G78" s="74" t="s">
        <v>312</v>
      </c>
      <c r="H78" s="74" t="n">
        <v>1</v>
      </c>
      <c r="I78" s="74" t="n">
        <v>5</v>
      </c>
      <c r="J78" s="73" t="s">
        <v>40</v>
      </c>
      <c r="K78" s="74" t="s">
        <v>313</v>
      </c>
      <c r="L78" s="75" t="s">
        <v>384</v>
      </c>
      <c r="M78" s="74" t="s">
        <v>385</v>
      </c>
      <c r="N78" s="74"/>
      <c r="O78" s="75" t="n">
        <v>46233</v>
      </c>
      <c r="P78" s="74"/>
      <c r="Q78" s="74"/>
      <c r="R78" s="74"/>
      <c r="S78" s="74" t="str">
        <f aca="false">+IF(R78&lt;=Q78,"NO","SI")</f>
        <v>NO</v>
      </c>
      <c r="T78" s="74"/>
      <c r="U78" s="74"/>
      <c r="V78" s="74"/>
      <c r="W78" s="74"/>
    </row>
    <row r="79" customFormat="false" ht="14.25" hidden="true" customHeight="false" outlineLevel="0" collapsed="false">
      <c r="B79" s="70" t="s">
        <v>1</v>
      </c>
      <c r="C79" s="71" t="s">
        <v>307</v>
      </c>
      <c r="D79" s="72" t="s">
        <v>398</v>
      </c>
      <c r="E79" s="73" t="s">
        <v>382</v>
      </c>
      <c r="F79" s="73" t="s">
        <v>63</v>
      </c>
      <c r="G79" s="74" t="s">
        <v>312</v>
      </c>
      <c r="H79" s="74" t="n">
        <v>1</v>
      </c>
      <c r="I79" s="74" t="n">
        <v>5</v>
      </c>
      <c r="J79" s="73" t="s">
        <v>40</v>
      </c>
      <c r="K79" s="74" t="s">
        <v>313</v>
      </c>
      <c r="L79" s="75" t="s">
        <v>384</v>
      </c>
      <c r="M79" s="74" t="s">
        <v>385</v>
      </c>
      <c r="N79" s="74"/>
      <c r="O79" s="75" t="n">
        <v>46233</v>
      </c>
      <c r="P79" s="74"/>
      <c r="Q79" s="74"/>
      <c r="R79" s="74"/>
      <c r="S79" s="74" t="str">
        <f aca="false">+IF(R79&lt;=Q79,"NO","SI")</f>
        <v>NO</v>
      </c>
      <c r="T79" s="74"/>
      <c r="U79" s="74"/>
      <c r="V79" s="74"/>
      <c r="W79" s="74"/>
    </row>
    <row r="80" customFormat="false" ht="14.25" hidden="true" customHeight="false" outlineLevel="0" collapsed="false">
      <c r="B80" s="70" t="s">
        <v>1</v>
      </c>
      <c r="C80" s="71" t="s">
        <v>307</v>
      </c>
      <c r="D80" s="72" t="s">
        <v>399</v>
      </c>
      <c r="E80" s="73" t="s">
        <v>382</v>
      </c>
      <c r="F80" s="73" t="s">
        <v>78</v>
      </c>
      <c r="G80" s="74" t="s">
        <v>312</v>
      </c>
      <c r="H80" s="74" t="n">
        <v>1</v>
      </c>
      <c r="I80" s="74" t="n">
        <v>5</v>
      </c>
      <c r="J80" s="73" t="s">
        <v>77</v>
      </c>
      <c r="K80" s="74" t="s">
        <v>313</v>
      </c>
      <c r="L80" s="75" t="s">
        <v>384</v>
      </c>
      <c r="M80" s="74" t="s">
        <v>385</v>
      </c>
      <c r="N80" s="74"/>
      <c r="O80" s="75" t="n">
        <v>46233</v>
      </c>
      <c r="P80" s="74"/>
      <c r="Q80" s="74"/>
      <c r="R80" s="74"/>
      <c r="S80" s="74" t="str">
        <f aca="false">+IF(R80&lt;=Q80,"NO","SI")</f>
        <v>NO</v>
      </c>
      <c r="T80" s="74"/>
      <c r="U80" s="74"/>
      <c r="V80" s="74"/>
      <c r="W80" s="74"/>
    </row>
    <row r="81" customFormat="false" ht="14.25" hidden="true" customHeight="false" outlineLevel="0" collapsed="false">
      <c r="B81" s="70" t="s">
        <v>1</v>
      </c>
      <c r="C81" s="71" t="s">
        <v>307</v>
      </c>
      <c r="D81" s="72" t="s">
        <v>400</v>
      </c>
      <c r="E81" s="73" t="s">
        <v>382</v>
      </c>
      <c r="F81" s="73" t="s">
        <v>82</v>
      </c>
      <c r="G81" s="74" t="s">
        <v>312</v>
      </c>
      <c r="H81" s="74" t="n">
        <v>1</v>
      </c>
      <c r="I81" s="74" t="n">
        <v>5</v>
      </c>
      <c r="J81" s="73" t="s">
        <v>77</v>
      </c>
      <c r="K81" s="74" t="s">
        <v>313</v>
      </c>
      <c r="L81" s="75" t="s">
        <v>384</v>
      </c>
      <c r="M81" s="74" t="s">
        <v>385</v>
      </c>
      <c r="N81" s="74"/>
      <c r="O81" s="75" t="n">
        <v>46233</v>
      </c>
      <c r="P81" s="74"/>
      <c r="Q81" s="74"/>
      <c r="R81" s="74"/>
      <c r="S81" s="74" t="str">
        <f aca="false">+IF(R81&lt;=Q81,"NO","SI")</f>
        <v>NO</v>
      </c>
      <c r="T81" s="74"/>
      <c r="U81" s="74"/>
      <c r="V81" s="74"/>
      <c r="W81" s="74"/>
    </row>
    <row r="82" customFormat="false" ht="14.25" hidden="true" customHeight="false" outlineLevel="0" collapsed="false">
      <c r="B82" s="70" t="s">
        <v>1</v>
      </c>
      <c r="C82" s="71" t="s">
        <v>307</v>
      </c>
      <c r="D82" s="72" t="s">
        <v>401</v>
      </c>
      <c r="E82" s="73" t="s">
        <v>382</v>
      </c>
      <c r="F82" s="73" t="s">
        <v>80</v>
      </c>
      <c r="G82" s="74" t="s">
        <v>312</v>
      </c>
      <c r="H82" s="74" t="n">
        <v>1</v>
      </c>
      <c r="I82" s="74" t="n">
        <v>5</v>
      </c>
      <c r="J82" s="73" t="s">
        <v>77</v>
      </c>
      <c r="K82" s="74" t="s">
        <v>313</v>
      </c>
      <c r="L82" s="75" t="s">
        <v>384</v>
      </c>
      <c r="M82" s="74" t="s">
        <v>385</v>
      </c>
      <c r="N82" s="74"/>
      <c r="O82" s="75" t="n">
        <v>46233</v>
      </c>
      <c r="P82" s="74"/>
      <c r="Q82" s="74"/>
      <c r="R82" s="74"/>
      <c r="S82" s="74" t="str">
        <f aca="false">+IF(R82&lt;=Q82,"NO","SI")</f>
        <v>NO</v>
      </c>
      <c r="T82" s="74"/>
      <c r="U82" s="74"/>
      <c r="V82" s="74"/>
      <c r="W82" s="74"/>
    </row>
    <row r="83" customFormat="false" ht="14.25" hidden="true" customHeight="false" outlineLevel="0" collapsed="false">
      <c r="B83" s="70" t="s">
        <v>1</v>
      </c>
      <c r="C83" s="71" t="s">
        <v>307</v>
      </c>
      <c r="D83" s="72" t="s">
        <v>402</v>
      </c>
      <c r="E83" s="73" t="s">
        <v>382</v>
      </c>
      <c r="F83" s="73" t="s">
        <v>84</v>
      </c>
      <c r="G83" s="74" t="s">
        <v>312</v>
      </c>
      <c r="H83" s="74" t="n">
        <v>1</v>
      </c>
      <c r="I83" s="74" t="n">
        <v>5</v>
      </c>
      <c r="J83" s="73" t="s">
        <v>77</v>
      </c>
      <c r="K83" s="74" t="s">
        <v>313</v>
      </c>
      <c r="L83" s="75" t="s">
        <v>384</v>
      </c>
      <c r="M83" s="74" t="s">
        <v>385</v>
      </c>
      <c r="N83" s="74"/>
      <c r="O83" s="75" t="n">
        <v>46233</v>
      </c>
      <c r="P83" s="74"/>
      <c r="Q83" s="74"/>
      <c r="R83" s="74"/>
      <c r="S83" s="74" t="str">
        <f aca="false">+IF(R83&lt;=Q83,"NO","SI")</f>
        <v>NO</v>
      </c>
      <c r="T83" s="74"/>
      <c r="U83" s="74"/>
      <c r="V83" s="74"/>
      <c r="W83" s="74"/>
    </row>
    <row r="84" customFormat="false" ht="14.25" hidden="true" customHeight="false" outlineLevel="0" collapsed="false">
      <c r="B84" s="70" t="s">
        <v>1</v>
      </c>
      <c r="C84" s="71" t="s">
        <v>307</v>
      </c>
      <c r="D84" s="72" t="s">
        <v>403</v>
      </c>
      <c r="E84" s="73" t="s">
        <v>382</v>
      </c>
      <c r="F84" s="73" t="s">
        <v>86</v>
      </c>
      <c r="G84" s="74" t="s">
        <v>312</v>
      </c>
      <c r="H84" s="74" t="n">
        <v>1</v>
      </c>
      <c r="I84" s="74" t="n">
        <v>5</v>
      </c>
      <c r="J84" s="73" t="s">
        <v>77</v>
      </c>
      <c r="K84" s="74" t="s">
        <v>313</v>
      </c>
      <c r="L84" s="75" t="s">
        <v>384</v>
      </c>
      <c r="M84" s="74" t="s">
        <v>385</v>
      </c>
      <c r="N84" s="74"/>
      <c r="O84" s="75" t="n">
        <v>46233</v>
      </c>
      <c r="P84" s="74"/>
      <c r="Q84" s="74"/>
      <c r="R84" s="74"/>
      <c r="S84" s="74" t="str">
        <f aca="false">+IF(R84&lt;=Q84,"NO","SI")</f>
        <v>NO</v>
      </c>
      <c r="T84" s="74"/>
      <c r="U84" s="74"/>
      <c r="V84" s="74"/>
      <c r="W84" s="74"/>
    </row>
    <row r="85" customFormat="false" ht="14.25" hidden="true" customHeight="false" outlineLevel="0" collapsed="false">
      <c r="B85" s="70" t="s">
        <v>1</v>
      </c>
      <c r="C85" s="71" t="s">
        <v>307</v>
      </c>
      <c r="D85" s="72" t="s">
        <v>404</v>
      </c>
      <c r="E85" s="73" t="s">
        <v>382</v>
      </c>
      <c r="F85" s="73" t="s">
        <v>90</v>
      </c>
      <c r="G85" s="74" t="s">
        <v>312</v>
      </c>
      <c r="H85" s="74" t="n">
        <v>1</v>
      </c>
      <c r="I85" s="74" t="n">
        <v>5</v>
      </c>
      <c r="J85" s="73" t="s">
        <v>77</v>
      </c>
      <c r="K85" s="74" t="s">
        <v>313</v>
      </c>
      <c r="L85" s="75" t="s">
        <v>384</v>
      </c>
      <c r="M85" s="74" t="s">
        <v>385</v>
      </c>
      <c r="N85" s="74"/>
      <c r="O85" s="75" t="n">
        <v>46233</v>
      </c>
      <c r="P85" s="74"/>
      <c r="Q85" s="74"/>
      <c r="R85" s="74"/>
      <c r="S85" s="74" t="str">
        <f aca="false">+IF(R85&lt;=Q85,"NO","SI")</f>
        <v>NO</v>
      </c>
      <c r="T85" s="74"/>
      <c r="U85" s="74"/>
      <c r="V85" s="74"/>
      <c r="W85" s="74"/>
    </row>
    <row r="86" customFormat="false" ht="14.25" hidden="true" customHeight="false" outlineLevel="0" collapsed="false">
      <c r="B86" s="70" t="s">
        <v>1</v>
      </c>
      <c r="C86" s="71" t="s">
        <v>307</v>
      </c>
      <c r="D86" s="72" t="s">
        <v>405</v>
      </c>
      <c r="E86" s="73" t="s">
        <v>382</v>
      </c>
      <c r="F86" s="73" t="s">
        <v>88</v>
      </c>
      <c r="G86" s="74" t="s">
        <v>312</v>
      </c>
      <c r="H86" s="74" t="n">
        <v>1</v>
      </c>
      <c r="I86" s="74" t="n">
        <v>5</v>
      </c>
      <c r="J86" s="73" t="s">
        <v>77</v>
      </c>
      <c r="K86" s="74" t="s">
        <v>313</v>
      </c>
      <c r="L86" s="75" t="s">
        <v>384</v>
      </c>
      <c r="M86" s="74" t="s">
        <v>385</v>
      </c>
      <c r="N86" s="74"/>
      <c r="O86" s="75" t="n">
        <v>46233</v>
      </c>
      <c r="P86" s="74"/>
      <c r="Q86" s="74"/>
      <c r="R86" s="74"/>
      <c r="S86" s="74" t="str">
        <f aca="false">+IF(R86&lt;=Q86,"NO","SI")</f>
        <v>NO</v>
      </c>
      <c r="T86" s="74"/>
      <c r="U86" s="74"/>
      <c r="V86" s="74"/>
      <c r="W86" s="74"/>
    </row>
    <row r="87" customFormat="false" ht="14.25" hidden="true" customHeight="false" outlineLevel="0" collapsed="false">
      <c r="B87" s="70" t="s">
        <v>1</v>
      </c>
      <c r="C87" s="71" t="s">
        <v>307</v>
      </c>
      <c r="D87" s="72" t="s">
        <v>406</v>
      </c>
      <c r="E87" s="73" t="s">
        <v>382</v>
      </c>
      <c r="F87" s="73" t="s">
        <v>92</v>
      </c>
      <c r="G87" s="74" t="s">
        <v>312</v>
      </c>
      <c r="H87" s="74" t="n">
        <v>1</v>
      </c>
      <c r="I87" s="74" t="n">
        <v>5</v>
      </c>
      <c r="J87" s="73" t="s">
        <v>77</v>
      </c>
      <c r="K87" s="74" t="s">
        <v>313</v>
      </c>
      <c r="L87" s="75" t="s">
        <v>384</v>
      </c>
      <c r="M87" s="74" t="s">
        <v>385</v>
      </c>
      <c r="N87" s="74"/>
      <c r="O87" s="75" t="n">
        <v>46233</v>
      </c>
      <c r="P87" s="74"/>
      <c r="Q87" s="74"/>
      <c r="R87" s="74"/>
      <c r="S87" s="74" t="str">
        <f aca="false">+IF(R87&lt;=Q87,"NO","SI")</f>
        <v>NO</v>
      </c>
      <c r="T87" s="74"/>
      <c r="U87" s="74"/>
      <c r="V87" s="74"/>
      <c r="W87" s="74"/>
    </row>
    <row r="88" customFormat="false" ht="14.25" hidden="false" customHeight="false" outlineLevel="0" collapsed="false">
      <c r="B88" s="61" t="s">
        <v>309</v>
      </c>
      <c r="C88" s="62" t="s">
        <v>307</v>
      </c>
      <c r="D88" s="63"/>
      <c r="E88" s="64" t="s">
        <v>407</v>
      </c>
      <c r="F88" s="65"/>
      <c r="G88" s="66"/>
      <c r="H88" s="67"/>
      <c r="I88" s="67"/>
      <c r="J88" s="67"/>
      <c r="K88" s="65"/>
      <c r="L88" s="65"/>
      <c r="M88" s="65"/>
      <c r="N88" s="65"/>
      <c r="O88" s="68"/>
      <c r="P88" s="65"/>
      <c r="Q88" s="65"/>
      <c r="R88" s="65"/>
      <c r="S88" s="65"/>
      <c r="T88" s="69"/>
      <c r="U88" s="65"/>
      <c r="V88" s="65"/>
      <c r="W88" s="65"/>
    </row>
    <row r="89" customFormat="false" ht="14.25" hidden="false" customHeight="false" outlineLevel="0" collapsed="false">
      <c r="B89" s="70" t="s">
        <v>1</v>
      </c>
      <c r="C89" s="71" t="s">
        <v>307</v>
      </c>
      <c r="D89" s="72" t="s">
        <v>408</v>
      </c>
      <c r="E89" s="73" t="s">
        <v>409</v>
      </c>
      <c r="F89" s="73" t="s">
        <v>69</v>
      </c>
      <c r="G89" s="74" t="s">
        <v>312</v>
      </c>
      <c r="H89" s="74" t="n">
        <v>1</v>
      </c>
      <c r="I89" s="74" t="n">
        <v>5</v>
      </c>
      <c r="J89" s="73" t="s">
        <v>40</v>
      </c>
      <c r="K89" s="74" t="s">
        <v>3</v>
      </c>
      <c r="L89" s="75" t="s">
        <v>410</v>
      </c>
      <c r="M89" s="74" t="s">
        <v>8</v>
      </c>
      <c r="N89" s="74" t="s">
        <v>326</v>
      </c>
      <c r="O89" s="76" t="n">
        <v>46073</v>
      </c>
      <c r="P89" s="74"/>
      <c r="Q89" s="79" t="n">
        <v>46127</v>
      </c>
      <c r="R89" s="71" t="n">
        <v>46157</v>
      </c>
      <c r="S89" s="71" t="str">
        <f aca="false">+IF(R89&lt;=Q89,"NO","SI")</f>
        <v>SI</v>
      </c>
      <c r="T89" s="78" t="n">
        <f aca="false">+R89-Q89</f>
        <v>30</v>
      </c>
      <c r="U89" s="74"/>
      <c r="V89" s="74"/>
      <c r="W89" s="71"/>
    </row>
    <row r="90" customFormat="false" ht="14.25" hidden="false" customHeight="false" outlineLevel="0" collapsed="false">
      <c r="B90" s="70" t="s">
        <v>1</v>
      </c>
      <c r="C90" s="71" t="s">
        <v>307</v>
      </c>
      <c r="D90" s="72" t="s">
        <v>411</v>
      </c>
      <c r="E90" s="73" t="s">
        <v>409</v>
      </c>
      <c r="F90" s="73" t="s">
        <v>71</v>
      </c>
      <c r="G90" s="74" t="s">
        <v>312</v>
      </c>
      <c r="H90" s="74" t="n">
        <v>1</v>
      </c>
      <c r="I90" s="74" t="n">
        <v>5</v>
      </c>
      <c r="J90" s="73" t="s">
        <v>40</v>
      </c>
      <c r="K90" s="74" t="s">
        <v>3</v>
      </c>
      <c r="L90" s="75" t="s">
        <v>410</v>
      </c>
      <c r="M90" s="74" t="s">
        <v>8</v>
      </c>
      <c r="N90" s="74" t="s">
        <v>326</v>
      </c>
      <c r="O90" s="76" t="n">
        <v>46073</v>
      </c>
      <c r="P90" s="74"/>
      <c r="Q90" s="79" t="n">
        <v>46127</v>
      </c>
      <c r="R90" s="71" t="n">
        <v>46167</v>
      </c>
      <c r="S90" s="71" t="str">
        <f aca="false">+IF(R90&lt;=Q90,"NO","SI")</f>
        <v>SI</v>
      </c>
      <c r="T90" s="78" t="n">
        <f aca="false">+R90-Q90</f>
        <v>40</v>
      </c>
      <c r="U90" s="74"/>
      <c r="V90" s="74"/>
      <c r="W90" s="71"/>
    </row>
    <row r="91" customFormat="false" ht="14.25" hidden="false" customHeight="false" outlineLevel="0" collapsed="false">
      <c r="B91" s="70" t="s">
        <v>1</v>
      </c>
      <c r="C91" s="71" t="s">
        <v>307</v>
      </c>
      <c r="D91" s="72" t="s">
        <v>412</v>
      </c>
      <c r="E91" s="73" t="s">
        <v>413</v>
      </c>
      <c r="F91" s="73" t="s">
        <v>192</v>
      </c>
      <c r="G91" s="74" t="s">
        <v>312</v>
      </c>
      <c r="H91" s="74" t="n">
        <v>1</v>
      </c>
      <c r="I91" s="74" t="n">
        <v>5</v>
      </c>
      <c r="J91" s="73" t="s">
        <v>113</v>
      </c>
      <c r="K91" s="74" t="s">
        <v>3</v>
      </c>
      <c r="L91" s="75" t="s">
        <v>410</v>
      </c>
      <c r="M91" s="74" t="s">
        <v>8</v>
      </c>
      <c r="N91" s="74" t="s">
        <v>326</v>
      </c>
      <c r="O91" s="76" t="n">
        <v>46073</v>
      </c>
      <c r="P91" s="74"/>
      <c r="Q91" s="79" t="n">
        <v>46127</v>
      </c>
      <c r="R91" s="71" t="n">
        <v>46167</v>
      </c>
      <c r="S91" s="71" t="str">
        <f aca="false">+IF(R91&lt;=Q91,"NO","SI")</f>
        <v>SI</v>
      </c>
      <c r="T91" s="78" t="n">
        <f aca="false">+R91-Q91</f>
        <v>40</v>
      </c>
      <c r="U91" s="74"/>
      <c r="V91" s="74"/>
      <c r="W91" s="71"/>
    </row>
    <row r="92" customFormat="false" ht="14.25" hidden="false" customHeight="false" outlineLevel="0" collapsed="false">
      <c r="B92" s="70" t="s">
        <v>1</v>
      </c>
      <c r="C92" s="71" t="s">
        <v>307</v>
      </c>
      <c r="D92" s="72" t="s">
        <v>414</v>
      </c>
      <c r="E92" s="73" t="s">
        <v>415</v>
      </c>
      <c r="F92" s="73" t="s">
        <v>69</v>
      </c>
      <c r="G92" s="74" t="s">
        <v>312</v>
      </c>
      <c r="H92" s="74" t="n">
        <v>1</v>
      </c>
      <c r="I92" s="74" t="n">
        <v>5</v>
      </c>
      <c r="J92" s="73" t="s">
        <v>40</v>
      </c>
      <c r="K92" s="74" t="s">
        <v>3</v>
      </c>
      <c r="L92" s="75" t="s">
        <v>410</v>
      </c>
      <c r="M92" s="74" t="s">
        <v>8</v>
      </c>
      <c r="N92" s="74" t="s">
        <v>326</v>
      </c>
      <c r="O92" s="76" t="n">
        <v>46073</v>
      </c>
      <c r="P92" s="74"/>
      <c r="Q92" s="79" t="n">
        <v>46127</v>
      </c>
      <c r="R92" s="71" t="n">
        <v>46157</v>
      </c>
      <c r="S92" s="71" t="str">
        <f aca="false">+IF(R92&lt;=Q92,"NO","SI")</f>
        <v>SI</v>
      </c>
      <c r="T92" s="78" t="n">
        <f aca="false">+R92-Q92</f>
        <v>30</v>
      </c>
      <c r="U92" s="74"/>
      <c r="V92" s="74"/>
      <c r="W92" s="71"/>
    </row>
    <row r="93" customFormat="false" ht="14.25" hidden="false" customHeight="false" outlineLevel="0" collapsed="false">
      <c r="B93" s="70" t="s">
        <v>1</v>
      </c>
      <c r="C93" s="71" t="s">
        <v>307</v>
      </c>
      <c r="D93" s="72" t="s">
        <v>416</v>
      </c>
      <c r="E93" s="73" t="s">
        <v>415</v>
      </c>
      <c r="F93" s="73" t="s">
        <v>71</v>
      </c>
      <c r="G93" s="74" t="s">
        <v>312</v>
      </c>
      <c r="H93" s="74" t="n">
        <v>1</v>
      </c>
      <c r="I93" s="74" t="n">
        <v>5</v>
      </c>
      <c r="J93" s="73" t="s">
        <v>40</v>
      </c>
      <c r="K93" s="74" t="s">
        <v>3</v>
      </c>
      <c r="L93" s="75" t="s">
        <v>410</v>
      </c>
      <c r="M93" s="74" t="s">
        <v>8</v>
      </c>
      <c r="N93" s="74" t="s">
        <v>326</v>
      </c>
      <c r="O93" s="76" t="n">
        <v>46073</v>
      </c>
      <c r="P93" s="74"/>
      <c r="Q93" s="79" t="n">
        <v>46127</v>
      </c>
      <c r="R93" s="71" t="n">
        <v>46167</v>
      </c>
      <c r="S93" s="71" t="str">
        <f aca="false">+IF(R93&lt;=Q93,"NO","SI")</f>
        <v>SI</v>
      </c>
      <c r="T93" s="78" t="n">
        <f aca="false">+R93-Q93</f>
        <v>40</v>
      </c>
      <c r="U93" s="74"/>
      <c r="V93" s="74"/>
      <c r="W93" s="71"/>
    </row>
    <row r="94" customFormat="false" ht="14.25" hidden="false" customHeight="false" outlineLevel="0" collapsed="false">
      <c r="B94" s="70" t="s">
        <v>1</v>
      </c>
      <c r="C94" s="71" t="s">
        <v>307</v>
      </c>
      <c r="D94" s="72" t="s">
        <v>417</v>
      </c>
      <c r="E94" s="73" t="s">
        <v>415</v>
      </c>
      <c r="F94" s="73" t="s">
        <v>73</v>
      </c>
      <c r="G94" s="74" t="s">
        <v>312</v>
      </c>
      <c r="H94" s="74" t="n">
        <v>1</v>
      </c>
      <c r="I94" s="74" t="n">
        <v>5</v>
      </c>
      <c r="J94" s="73" t="s">
        <v>40</v>
      </c>
      <c r="K94" s="74" t="s">
        <v>3</v>
      </c>
      <c r="L94" s="75" t="s">
        <v>410</v>
      </c>
      <c r="M94" s="74" t="s">
        <v>8</v>
      </c>
      <c r="N94" s="74" t="s">
        <v>326</v>
      </c>
      <c r="O94" s="76" t="n">
        <v>46073</v>
      </c>
      <c r="P94" s="74"/>
      <c r="Q94" s="79" t="n">
        <v>46127</v>
      </c>
      <c r="R94" s="71" t="n">
        <v>46174</v>
      </c>
      <c r="S94" s="71" t="str">
        <f aca="false">+IF(R94&lt;=Q94,"NO","SI")</f>
        <v>SI</v>
      </c>
      <c r="T94" s="78" t="n">
        <f aca="false">+R94-Q94</f>
        <v>47</v>
      </c>
      <c r="U94" s="74"/>
      <c r="V94" s="74"/>
      <c r="W94" s="71"/>
    </row>
    <row r="95" s="80" customFormat="true" ht="14.25" hidden="false" customHeight="false" outlineLevel="0" collapsed="false">
      <c r="A95" s="36"/>
      <c r="B95" s="51" t="s">
        <v>306</v>
      </c>
      <c r="C95" s="52" t="s">
        <v>307</v>
      </c>
      <c r="D95" s="53"/>
      <c r="E95" s="54" t="s">
        <v>418</v>
      </c>
      <c r="F95" s="55"/>
      <c r="G95" s="56"/>
      <c r="H95" s="57"/>
      <c r="I95" s="57"/>
      <c r="J95" s="57"/>
      <c r="K95" s="55"/>
      <c r="L95" s="55"/>
      <c r="M95" s="55"/>
      <c r="N95" s="55"/>
      <c r="O95" s="58"/>
      <c r="P95" s="55"/>
      <c r="Q95" s="55"/>
      <c r="R95" s="55"/>
      <c r="S95" s="55"/>
      <c r="T95" s="59"/>
      <c r="U95" s="55"/>
      <c r="V95" s="55"/>
      <c r="W95" s="55"/>
    </row>
    <row r="96" customFormat="false" ht="14.25" hidden="false" customHeight="false" outlineLevel="0" collapsed="false">
      <c r="B96" s="61" t="s">
        <v>309</v>
      </c>
      <c r="C96" s="62" t="s">
        <v>307</v>
      </c>
      <c r="D96" s="63"/>
      <c r="E96" s="64" t="s">
        <v>419</v>
      </c>
      <c r="F96" s="65"/>
      <c r="G96" s="66"/>
      <c r="H96" s="67"/>
      <c r="I96" s="67"/>
      <c r="J96" s="67"/>
      <c r="K96" s="65"/>
      <c r="L96" s="68"/>
      <c r="M96" s="65"/>
      <c r="N96" s="65"/>
      <c r="O96" s="68"/>
      <c r="P96" s="65"/>
      <c r="Q96" s="65"/>
      <c r="R96" s="65"/>
      <c r="S96" s="65"/>
      <c r="T96" s="69"/>
      <c r="U96" s="65"/>
      <c r="V96" s="65"/>
      <c r="W96" s="65"/>
    </row>
    <row r="97" s="41" customFormat="true" ht="14.25" hidden="true" customHeight="false" outlineLevel="0" collapsed="false">
      <c r="A97" s="36"/>
      <c r="B97" s="70" t="s">
        <v>1</v>
      </c>
      <c r="C97" s="71" t="s">
        <v>307</v>
      </c>
      <c r="D97" s="72" t="s">
        <v>420</v>
      </c>
      <c r="E97" s="73" t="s">
        <v>421</v>
      </c>
      <c r="F97" s="73" t="s">
        <v>69</v>
      </c>
      <c r="G97" s="74" t="s">
        <v>312</v>
      </c>
      <c r="H97" s="74" t="n">
        <v>1</v>
      </c>
      <c r="I97" s="74" t="n">
        <v>5</v>
      </c>
      <c r="J97" s="73" t="s">
        <v>40</v>
      </c>
      <c r="K97" s="74" t="s">
        <v>313</v>
      </c>
      <c r="L97" s="75" t="s">
        <v>422</v>
      </c>
      <c r="M97" s="74"/>
      <c r="N97" s="74"/>
      <c r="O97" s="75" t="n">
        <v>46111</v>
      </c>
      <c r="P97" s="74"/>
      <c r="Q97" s="74"/>
      <c r="R97" s="74"/>
      <c r="S97" s="74" t="str">
        <f aca="false">+IF(R97&lt;=Q97,"NO","SI")</f>
        <v>NO</v>
      </c>
      <c r="T97" s="74"/>
      <c r="U97" s="74"/>
      <c r="V97" s="74"/>
      <c r="W97" s="74"/>
    </row>
    <row r="98" s="41" customFormat="true" ht="14.25" hidden="true" customHeight="false" outlineLevel="0" collapsed="false">
      <c r="A98" s="36"/>
      <c r="B98" s="70" t="s">
        <v>1</v>
      </c>
      <c r="C98" s="71" t="s">
        <v>307</v>
      </c>
      <c r="D98" s="72" t="s">
        <v>423</v>
      </c>
      <c r="E98" s="73" t="s">
        <v>421</v>
      </c>
      <c r="F98" s="73" t="s">
        <v>71</v>
      </c>
      <c r="G98" s="74" t="s">
        <v>312</v>
      </c>
      <c r="H98" s="74" t="n">
        <v>1</v>
      </c>
      <c r="I98" s="74" t="n">
        <v>5</v>
      </c>
      <c r="J98" s="73" t="s">
        <v>40</v>
      </c>
      <c r="K98" s="74" t="s">
        <v>313</v>
      </c>
      <c r="L98" s="75" t="s">
        <v>422</v>
      </c>
      <c r="M98" s="74"/>
      <c r="N98" s="74"/>
      <c r="O98" s="75" t="n">
        <v>46111</v>
      </c>
      <c r="P98" s="74"/>
      <c r="Q98" s="74"/>
      <c r="R98" s="74"/>
      <c r="S98" s="74" t="str">
        <f aca="false">+IF(R98&lt;=Q98,"NO","SI")</f>
        <v>NO</v>
      </c>
      <c r="T98" s="74"/>
      <c r="U98" s="74"/>
      <c r="V98" s="74"/>
      <c r="W98" s="74"/>
    </row>
    <row r="99" s="41" customFormat="true" ht="14.25" hidden="true" customHeight="false" outlineLevel="0" collapsed="false">
      <c r="A99" s="36"/>
      <c r="B99" s="70" t="s">
        <v>1</v>
      </c>
      <c r="C99" s="71" t="s">
        <v>307</v>
      </c>
      <c r="D99" s="72" t="s">
        <v>424</v>
      </c>
      <c r="E99" s="73" t="s">
        <v>421</v>
      </c>
      <c r="F99" s="73" t="s">
        <v>73</v>
      </c>
      <c r="G99" s="74" t="s">
        <v>312</v>
      </c>
      <c r="H99" s="74" t="n">
        <v>1</v>
      </c>
      <c r="I99" s="74" t="n">
        <v>5</v>
      </c>
      <c r="J99" s="73" t="s">
        <v>40</v>
      </c>
      <c r="K99" s="74" t="s">
        <v>313</v>
      </c>
      <c r="L99" s="75" t="s">
        <v>422</v>
      </c>
      <c r="M99" s="74"/>
      <c r="N99" s="74"/>
      <c r="O99" s="75" t="n">
        <v>46111</v>
      </c>
      <c r="P99" s="74"/>
      <c r="Q99" s="74"/>
      <c r="R99" s="74"/>
      <c r="S99" s="74" t="str">
        <f aca="false">+IF(R99&lt;=Q99,"NO","SI")</f>
        <v>NO</v>
      </c>
      <c r="T99" s="74"/>
      <c r="U99" s="74"/>
      <c r="V99" s="74"/>
      <c r="W99" s="74"/>
    </row>
    <row r="100" s="41" customFormat="true" ht="14.25" hidden="true" customHeight="false" outlineLevel="0" collapsed="false">
      <c r="A100" s="36"/>
      <c r="B100" s="70" t="s">
        <v>1</v>
      </c>
      <c r="C100" s="71" t="s">
        <v>307</v>
      </c>
      <c r="D100" s="72" t="s">
        <v>425</v>
      </c>
      <c r="E100" s="73" t="s">
        <v>421</v>
      </c>
      <c r="F100" s="73" t="s">
        <v>192</v>
      </c>
      <c r="G100" s="74" t="s">
        <v>312</v>
      </c>
      <c r="H100" s="74" t="n">
        <v>1</v>
      </c>
      <c r="I100" s="74" t="n">
        <v>5</v>
      </c>
      <c r="J100" s="73" t="s">
        <v>113</v>
      </c>
      <c r="K100" s="74" t="s">
        <v>313</v>
      </c>
      <c r="L100" s="75" t="s">
        <v>422</v>
      </c>
      <c r="M100" s="74"/>
      <c r="N100" s="74"/>
      <c r="O100" s="75" t="n">
        <v>46111</v>
      </c>
      <c r="P100" s="74"/>
      <c r="Q100" s="74"/>
      <c r="R100" s="74"/>
      <c r="S100" s="74" t="str">
        <f aca="false">+IF(R100&lt;=Q100,"NO","SI")</f>
        <v>NO</v>
      </c>
      <c r="T100" s="74"/>
      <c r="U100" s="74"/>
      <c r="V100" s="74"/>
      <c r="W100" s="74"/>
    </row>
    <row r="101" s="41" customFormat="true" ht="42.75" hidden="true" customHeight="false" outlineLevel="0" collapsed="false">
      <c r="A101" s="36"/>
      <c r="B101" s="81" t="s">
        <v>1</v>
      </c>
      <c r="C101" s="82" t="s">
        <v>307</v>
      </c>
      <c r="D101" s="83" t="s">
        <v>426</v>
      </c>
      <c r="E101" s="84" t="s">
        <v>427</v>
      </c>
      <c r="F101" s="84" t="s">
        <v>69</v>
      </c>
      <c r="G101" s="85" t="s">
        <v>312</v>
      </c>
      <c r="H101" s="85" t="n">
        <v>1</v>
      </c>
      <c r="I101" s="85" t="n">
        <v>5</v>
      </c>
      <c r="J101" s="84" t="s">
        <v>40</v>
      </c>
      <c r="K101" s="85" t="s">
        <v>313</v>
      </c>
      <c r="L101" s="85"/>
      <c r="M101" s="85" t="s">
        <v>428</v>
      </c>
      <c r="N101" s="85"/>
      <c r="O101" s="86"/>
      <c r="P101" s="85"/>
      <c r="Q101" s="85"/>
      <c r="R101" s="85"/>
      <c r="S101" s="85" t="str">
        <f aca="false">+IF(R101&lt;=Q101,"NO","SI")</f>
        <v>NO</v>
      </c>
      <c r="T101" s="85"/>
      <c r="U101" s="85"/>
      <c r="V101" s="85"/>
      <c r="W101" s="85"/>
    </row>
    <row r="102" s="41" customFormat="true" ht="42.75" hidden="true" customHeight="false" outlineLevel="0" collapsed="false">
      <c r="A102" s="36"/>
      <c r="B102" s="81" t="s">
        <v>1</v>
      </c>
      <c r="C102" s="82" t="s">
        <v>307</v>
      </c>
      <c r="D102" s="83" t="s">
        <v>429</v>
      </c>
      <c r="E102" s="84" t="s">
        <v>427</v>
      </c>
      <c r="F102" s="84" t="s">
        <v>71</v>
      </c>
      <c r="G102" s="85" t="s">
        <v>312</v>
      </c>
      <c r="H102" s="85" t="n">
        <v>1</v>
      </c>
      <c r="I102" s="85" t="n">
        <v>5</v>
      </c>
      <c r="J102" s="84" t="s">
        <v>40</v>
      </c>
      <c r="K102" s="85" t="s">
        <v>313</v>
      </c>
      <c r="L102" s="85"/>
      <c r="M102" s="85" t="s">
        <v>428</v>
      </c>
      <c r="N102" s="85"/>
      <c r="O102" s="86"/>
      <c r="P102" s="85"/>
      <c r="Q102" s="85"/>
      <c r="R102" s="85"/>
      <c r="S102" s="85" t="str">
        <f aca="false">+IF(R102&lt;=Q102,"NO","SI")</f>
        <v>NO</v>
      </c>
      <c r="T102" s="85"/>
      <c r="U102" s="85"/>
      <c r="V102" s="85"/>
      <c r="W102" s="85"/>
    </row>
    <row r="103" s="41" customFormat="true" ht="42.75" hidden="true" customHeight="false" outlineLevel="0" collapsed="false">
      <c r="A103" s="36"/>
      <c r="B103" s="81" t="s">
        <v>1</v>
      </c>
      <c r="C103" s="82" t="s">
        <v>307</v>
      </c>
      <c r="D103" s="83" t="s">
        <v>430</v>
      </c>
      <c r="E103" s="84" t="s">
        <v>427</v>
      </c>
      <c r="F103" s="84" t="s">
        <v>73</v>
      </c>
      <c r="G103" s="85" t="s">
        <v>312</v>
      </c>
      <c r="H103" s="85" t="n">
        <v>1</v>
      </c>
      <c r="I103" s="85" t="n">
        <v>5</v>
      </c>
      <c r="J103" s="84" t="s">
        <v>40</v>
      </c>
      <c r="K103" s="85" t="s">
        <v>313</v>
      </c>
      <c r="L103" s="85"/>
      <c r="M103" s="85" t="s">
        <v>428</v>
      </c>
      <c r="N103" s="85"/>
      <c r="O103" s="86"/>
      <c r="P103" s="85"/>
      <c r="Q103" s="85"/>
      <c r="R103" s="85"/>
      <c r="S103" s="85" t="str">
        <f aca="false">+IF(R103&lt;=Q103,"NO","SI")</f>
        <v>NO</v>
      </c>
      <c r="T103" s="85"/>
      <c r="U103" s="85"/>
      <c r="V103" s="85"/>
      <c r="W103" s="85"/>
    </row>
    <row r="104" s="41" customFormat="true" ht="42.75" hidden="true" customHeight="false" outlineLevel="0" collapsed="false">
      <c r="A104" s="36"/>
      <c r="B104" s="81" t="s">
        <v>1</v>
      </c>
      <c r="C104" s="82" t="s">
        <v>307</v>
      </c>
      <c r="D104" s="83" t="s">
        <v>431</v>
      </c>
      <c r="E104" s="84" t="s">
        <v>427</v>
      </c>
      <c r="F104" s="84" t="s">
        <v>192</v>
      </c>
      <c r="G104" s="85" t="s">
        <v>312</v>
      </c>
      <c r="H104" s="85" t="n">
        <v>1</v>
      </c>
      <c r="I104" s="85" t="n">
        <v>5</v>
      </c>
      <c r="J104" s="84" t="s">
        <v>113</v>
      </c>
      <c r="K104" s="85" t="s">
        <v>313</v>
      </c>
      <c r="L104" s="85"/>
      <c r="M104" s="85" t="s">
        <v>428</v>
      </c>
      <c r="N104" s="85"/>
      <c r="O104" s="86"/>
      <c r="P104" s="85"/>
      <c r="Q104" s="85"/>
      <c r="R104" s="85"/>
      <c r="S104" s="85" t="str">
        <f aca="false">+IF(R104&lt;=Q104,"NO","SI")</f>
        <v>NO</v>
      </c>
      <c r="T104" s="85"/>
      <c r="U104" s="85"/>
      <c r="V104" s="85"/>
      <c r="W104" s="85"/>
    </row>
    <row r="105" s="41" customFormat="true" ht="57" hidden="true" customHeight="false" outlineLevel="0" collapsed="false">
      <c r="A105" s="36"/>
      <c r="B105" s="81" t="s">
        <v>1</v>
      </c>
      <c r="C105" s="82" t="s">
        <v>307</v>
      </c>
      <c r="D105" s="83" t="s">
        <v>432</v>
      </c>
      <c r="E105" s="84" t="s">
        <v>427</v>
      </c>
      <c r="F105" s="84" t="s">
        <v>69</v>
      </c>
      <c r="G105" s="85" t="s">
        <v>312</v>
      </c>
      <c r="H105" s="85" t="n">
        <v>1</v>
      </c>
      <c r="I105" s="85" t="n">
        <v>5</v>
      </c>
      <c r="J105" s="84" t="s">
        <v>40</v>
      </c>
      <c r="K105" s="85" t="s">
        <v>313</v>
      </c>
      <c r="L105" s="85"/>
      <c r="M105" s="85" t="s">
        <v>433</v>
      </c>
      <c r="N105" s="85"/>
      <c r="O105" s="86"/>
      <c r="P105" s="85"/>
      <c r="Q105" s="85"/>
      <c r="R105" s="85"/>
      <c r="S105" s="85" t="str">
        <f aca="false">+IF(R105&lt;=Q105,"NO","SI")</f>
        <v>NO</v>
      </c>
      <c r="T105" s="85"/>
      <c r="U105" s="85"/>
      <c r="V105" s="85"/>
      <c r="W105" s="85"/>
    </row>
    <row r="106" s="41" customFormat="true" ht="57" hidden="true" customHeight="false" outlineLevel="0" collapsed="false">
      <c r="A106" s="36"/>
      <c r="B106" s="81" t="s">
        <v>1</v>
      </c>
      <c r="C106" s="82" t="s">
        <v>307</v>
      </c>
      <c r="D106" s="83" t="s">
        <v>434</v>
      </c>
      <c r="E106" s="84" t="s">
        <v>427</v>
      </c>
      <c r="F106" s="84" t="s">
        <v>71</v>
      </c>
      <c r="G106" s="85" t="s">
        <v>312</v>
      </c>
      <c r="H106" s="85" t="n">
        <v>1</v>
      </c>
      <c r="I106" s="85" t="n">
        <v>5</v>
      </c>
      <c r="J106" s="84" t="s">
        <v>40</v>
      </c>
      <c r="K106" s="85" t="s">
        <v>313</v>
      </c>
      <c r="L106" s="85"/>
      <c r="M106" s="85" t="s">
        <v>433</v>
      </c>
      <c r="N106" s="85"/>
      <c r="O106" s="86"/>
      <c r="P106" s="85"/>
      <c r="Q106" s="85"/>
      <c r="R106" s="85"/>
      <c r="S106" s="85" t="str">
        <f aca="false">+IF(R106&lt;=Q106,"NO","SI")</f>
        <v>NO</v>
      </c>
      <c r="T106" s="85"/>
      <c r="U106" s="85"/>
      <c r="V106" s="85"/>
      <c r="W106" s="85"/>
    </row>
    <row r="107" s="41" customFormat="true" ht="57" hidden="true" customHeight="false" outlineLevel="0" collapsed="false">
      <c r="A107" s="36"/>
      <c r="B107" s="81" t="s">
        <v>1</v>
      </c>
      <c r="C107" s="82" t="s">
        <v>307</v>
      </c>
      <c r="D107" s="83" t="s">
        <v>435</v>
      </c>
      <c r="E107" s="84" t="s">
        <v>427</v>
      </c>
      <c r="F107" s="84" t="s">
        <v>73</v>
      </c>
      <c r="G107" s="85" t="s">
        <v>312</v>
      </c>
      <c r="H107" s="85" t="n">
        <v>1</v>
      </c>
      <c r="I107" s="85" t="n">
        <v>5</v>
      </c>
      <c r="J107" s="84" t="s">
        <v>40</v>
      </c>
      <c r="K107" s="85" t="s">
        <v>313</v>
      </c>
      <c r="L107" s="85"/>
      <c r="M107" s="85" t="s">
        <v>433</v>
      </c>
      <c r="N107" s="85"/>
      <c r="O107" s="86"/>
      <c r="P107" s="85"/>
      <c r="Q107" s="85"/>
      <c r="R107" s="85"/>
      <c r="S107" s="85" t="str">
        <f aca="false">+IF(R107&lt;=Q107,"NO","SI")</f>
        <v>NO</v>
      </c>
      <c r="T107" s="85"/>
      <c r="U107" s="85"/>
      <c r="V107" s="85"/>
      <c r="W107" s="85"/>
    </row>
    <row r="108" customFormat="false" ht="14.25" hidden="false" customHeight="false" outlineLevel="0" collapsed="false">
      <c r="B108" s="61" t="s">
        <v>309</v>
      </c>
      <c r="C108" s="62" t="s">
        <v>307</v>
      </c>
      <c r="D108" s="63"/>
      <c r="E108" s="64" t="s">
        <v>436</v>
      </c>
      <c r="F108" s="65"/>
      <c r="G108" s="66"/>
      <c r="H108" s="67"/>
      <c r="I108" s="67"/>
      <c r="J108" s="67"/>
      <c r="K108" s="65"/>
      <c r="L108" s="65"/>
      <c r="M108" s="65"/>
      <c r="N108" s="65"/>
      <c r="O108" s="68"/>
      <c r="P108" s="65"/>
      <c r="Q108" s="65"/>
      <c r="R108" s="65"/>
      <c r="S108" s="65"/>
      <c r="T108" s="69"/>
      <c r="U108" s="65"/>
      <c r="V108" s="65"/>
      <c r="W108" s="65"/>
    </row>
    <row r="109" s="41" customFormat="true" ht="14.25" hidden="false" customHeight="false" outlineLevel="0" collapsed="false">
      <c r="A109" s="36"/>
      <c r="B109" s="70" t="s">
        <v>1</v>
      </c>
      <c r="C109" s="71" t="s">
        <v>307</v>
      </c>
      <c r="D109" s="72" t="s">
        <v>437</v>
      </c>
      <c r="E109" s="73" t="s">
        <v>436</v>
      </c>
      <c r="F109" s="73" t="s">
        <v>69</v>
      </c>
      <c r="G109" s="74" t="s">
        <v>312</v>
      </c>
      <c r="H109" s="74" t="n">
        <v>1</v>
      </c>
      <c r="I109" s="74" t="n">
        <v>5</v>
      </c>
      <c r="J109" s="73" t="s">
        <v>40</v>
      </c>
      <c r="K109" s="74" t="s">
        <v>3</v>
      </c>
      <c r="L109" s="74" t="s">
        <v>325</v>
      </c>
      <c r="M109" s="74" t="s">
        <v>8</v>
      </c>
      <c r="N109" s="74" t="s">
        <v>326</v>
      </c>
      <c r="O109" s="76" t="n">
        <v>46069</v>
      </c>
      <c r="P109" s="74"/>
      <c r="Q109" s="79" t="n">
        <v>46139</v>
      </c>
      <c r="R109" s="71" t="n">
        <v>46157</v>
      </c>
      <c r="S109" s="71" t="str">
        <f aca="false">+IF(R109&lt;=Q109,"NO","SI")</f>
        <v>SI</v>
      </c>
      <c r="T109" s="78" t="n">
        <f aca="false">+R109-Q109</f>
        <v>18</v>
      </c>
      <c r="U109" s="74"/>
      <c r="V109" s="74"/>
      <c r="W109" s="71"/>
    </row>
    <row r="110" s="41" customFormat="true" ht="14.25" hidden="false" customHeight="false" outlineLevel="0" collapsed="false">
      <c r="A110" s="36"/>
      <c r="B110" s="70" t="s">
        <v>1</v>
      </c>
      <c r="C110" s="71" t="s">
        <v>307</v>
      </c>
      <c r="D110" s="72" t="s">
        <v>438</v>
      </c>
      <c r="E110" s="73" t="s">
        <v>436</v>
      </c>
      <c r="F110" s="73" t="s">
        <v>71</v>
      </c>
      <c r="G110" s="74" t="s">
        <v>312</v>
      </c>
      <c r="H110" s="74" t="n">
        <v>1</v>
      </c>
      <c r="I110" s="74" t="n">
        <v>5</v>
      </c>
      <c r="J110" s="73" t="s">
        <v>40</v>
      </c>
      <c r="K110" s="74" t="s">
        <v>3</v>
      </c>
      <c r="L110" s="74" t="s">
        <v>325</v>
      </c>
      <c r="M110" s="74" t="s">
        <v>8</v>
      </c>
      <c r="N110" s="74" t="s">
        <v>326</v>
      </c>
      <c r="O110" s="76" t="n">
        <v>46069</v>
      </c>
      <c r="P110" s="74"/>
      <c r="Q110" s="79" t="n">
        <v>46139</v>
      </c>
      <c r="R110" s="71" t="n">
        <v>46167</v>
      </c>
      <c r="S110" s="71" t="str">
        <f aca="false">+IF(R110&lt;=Q110,"NO","SI")</f>
        <v>SI</v>
      </c>
      <c r="T110" s="78" t="n">
        <f aca="false">+R110-Q110</f>
        <v>28</v>
      </c>
      <c r="U110" s="74"/>
      <c r="V110" s="74"/>
      <c r="W110" s="71"/>
    </row>
    <row r="111" s="41" customFormat="true" ht="14.25" hidden="false" customHeight="false" outlineLevel="0" collapsed="false">
      <c r="A111" s="36"/>
      <c r="B111" s="70" t="s">
        <v>1</v>
      </c>
      <c r="C111" s="71" t="s">
        <v>307</v>
      </c>
      <c r="D111" s="72" t="s">
        <v>439</v>
      </c>
      <c r="E111" s="73" t="s">
        <v>436</v>
      </c>
      <c r="F111" s="73" t="s">
        <v>73</v>
      </c>
      <c r="G111" s="74" t="s">
        <v>312</v>
      </c>
      <c r="H111" s="74" t="n">
        <v>1</v>
      </c>
      <c r="I111" s="74" t="n">
        <v>5</v>
      </c>
      <c r="J111" s="73" t="s">
        <v>40</v>
      </c>
      <c r="K111" s="74" t="s">
        <v>3</v>
      </c>
      <c r="L111" s="74" t="s">
        <v>325</v>
      </c>
      <c r="M111" s="74" t="s">
        <v>8</v>
      </c>
      <c r="N111" s="74" t="s">
        <v>326</v>
      </c>
      <c r="O111" s="76" t="n">
        <v>46069</v>
      </c>
      <c r="P111" s="74"/>
      <c r="Q111" s="77" t="n">
        <v>46139</v>
      </c>
      <c r="R111" s="71" t="n">
        <v>46174</v>
      </c>
      <c r="S111" s="71" t="str">
        <f aca="false">+IF(R111&lt;=Q111,"NO","SI")</f>
        <v>SI</v>
      </c>
      <c r="T111" s="78" t="n">
        <f aca="false">+R111-Q111</f>
        <v>35</v>
      </c>
      <c r="U111" s="74"/>
      <c r="V111" s="74"/>
      <c r="W111" s="71"/>
    </row>
    <row r="112" s="41" customFormat="true" ht="14.25" hidden="false" customHeight="false" outlineLevel="0" collapsed="false">
      <c r="A112" s="36"/>
      <c r="B112" s="70" t="s">
        <v>1</v>
      </c>
      <c r="C112" s="71" t="s">
        <v>307</v>
      </c>
      <c r="D112" s="72" t="s">
        <v>440</v>
      </c>
      <c r="E112" s="73" t="s">
        <v>436</v>
      </c>
      <c r="F112" s="73" t="s">
        <v>69</v>
      </c>
      <c r="G112" s="74" t="s">
        <v>312</v>
      </c>
      <c r="H112" s="74" t="n">
        <v>1</v>
      </c>
      <c r="I112" s="74" t="n">
        <v>5</v>
      </c>
      <c r="J112" s="73" t="s">
        <v>40</v>
      </c>
      <c r="K112" s="74" t="s">
        <v>3</v>
      </c>
      <c r="L112" s="74" t="s">
        <v>325</v>
      </c>
      <c r="M112" s="74" t="s">
        <v>8</v>
      </c>
      <c r="N112" s="74" t="s">
        <v>326</v>
      </c>
      <c r="O112" s="76" t="n">
        <v>46069</v>
      </c>
      <c r="P112" s="74"/>
      <c r="Q112" s="77" t="n">
        <v>46139</v>
      </c>
      <c r="R112" s="71" t="n">
        <v>46157</v>
      </c>
      <c r="S112" s="71" t="str">
        <f aca="false">+IF(R112&lt;=Q112,"NO","SI")</f>
        <v>SI</v>
      </c>
      <c r="T112" s="78" t="n">
        <f aca="false">+R112-Q112</f>
        <v>18</v>
      </c>
      <c r="U112" s="74"/>
      <c r="V112" s="74"/>
      <c r="W112" s="71"/>
    </row>
    <row r="113" s="41" customFormat="true" ht="14.25" hidden="false" customHeight="false" outlineLevel="0" collapsed="false">
      <c r="A113" s="36"/>
      <c r="B113" s="70" t="s">
        <v>1</v>
      </c>
      <c r="C113" s="71" t="s">
        <v>307</v>
      </c>
      <c r="D113" s="72" t="s">
        <v>441</v>
      </c>
      <c r="E113" s="73" t="s">
        <v>436</v>
      </c>
      <c r="F113" s="73" t="s">
        <v>71</v>
      </c>
      <c r="G113" s="74" t="s">
        <v>312</v>
      </c>
      <c r="H113" s="74" t="n">
        <v>1</v>
      </c>
      <c r="I113" s="74" t="n">
        <v>5</v>
      </c>
      <c r="J113" s="73" t="s">
        <v>40</v>
      </c>
      <c r="K113" s="74" t="s">
        <v>3</v>
      </c>
      <c r="L113" s="74" t="s">
        <v>325</v>
      </c>
      <c r="M113" s="74" t="s">
        <v>8</v>
      </c>
      <c r="N113" s="74" t="s">
        <v>326</v>
      </c>
      <c r="O113" s="76" t="n">
        <v>46069</v>
      </c>
      <c r="P113" s="74"/>
      <c r="Q113" s="77" t="n">
        <v>46139</v>
      </c>
      <c r="R113" s="71" t="n">
        <v>46167</v>
      </c>
      <c r="S113" s="71" t="str">
        <f aca="false">+IF(R113&lt;=Q113,"NO","SI")</f>
        <v>SI</v>
      </c>
      <c r="T113" s="78" t="n">
        <f aca="false">+R113-Q113</f>
        <v>28</v>
      </c>
      <c r="U113" s="74"/>
      <c r="V113" s="74"/>
      <c r="W113" s="71"/>
    </row>
    <row r="114" s="41" customFormat="true" ht="14.25" hidden="false" customHeight="false" outlineLevel="0" collapsed="false">
      <c r="A114" s="36"/>
      <c r="B114" s="70" t="s">
        <v>1</v>
      </c>
      <c r="C114" s="71" t="s">
        <v>307</v>
      </c>
      <c r="D114" s="72" t="s">
        <v>442</v>
      </c>
      <c r="E114" s="73" t="s">
        <v>436</v>
      </c>
      <c r="F114" s="73" t="s">
        <v>73</v>
      </c>
      <c r="G114" s="74" t="s">
        <v>312</v>
      </c>
      <c r="H114" s="74" t="n">
        <v>1</v>
      </c>
      <c r="I114" s="74" t="n">
        <v>5</v>
      </c>
      <c r="J114" s="73" t="s">
        <v>40</v>
      </c>
      <c r="K114" s="74" t="s">
        <v>3</v>
      </c>
      <c r="L114" s="74" t="s">
        <v>325</v>
      </c>
      <c r="M114" s="74" t="s">
        <v>8</v>
      </c>
      <c r="N114" s="74" t="s">
        <v>326</v>
      </c>
      <c r="O114" s="76" t="n">
        <v>46069</v>
      </c>
      <c r="P114" s="74"/>
      <c r="Q114" s="77" t="n">
        <v>46139</v>
      </c>
      <c r="R114" s="71" t="n">
        <v>46174</v>
      </c>
      <c r="S114" s="71" t="str">
        <f aca="false">+IF(R114&lt;=Q114,"NO","SI")</f>
        <v>SI</v>
      </c>
      <c r="T114" s="78" t="n">
        <f aca="false">+R114-Q114</f>
        <v>35</v>
      </c>
      <c r="U114" s="74"/>
      <c r="V114" s="74"/>
      <c r="W114" s="71"/>
    </row>
    <row r="115" s="41" customFormat="true" ht="14.25" hidden="false" customHeight="false" outlineLevel="0" collapsed="false">
      <c r="A115" s="36"/>
      <c r="B115" s="70" t="s">
        <v>1</v>
      </c>
      <c r="C115" s="71" t="s">
        <v>307</v>
      </c>
      <c r="D115" s="72" t="s">
        <v>443</v>
      </c>
      <c r="E115" s="73" t="s">
        <v>436</v>
      </c>
      <c r="F115" s="73" t="s">
        <v>192</v>
      </c>
      <c r="G115" s="74" t="s">
        <v>312</v>
      </c>
      <c r="H115" s="74" t="n">
        <v>1</v>
      </c>
      <c r="I115" s="74" t="n">
        <v>5</v>
      </c>
      <c r="J115" s="73" t="s">
        <v>113</v>
      </c>
      <c r="K115" s="74" t="s">
        <v>3</v>
      </c>
      <c r="L115" s="74" t="s">
        <v>325</v>
      </c>
      <c r="M115" s="74" t="s">
        <v>8</v>
      </c>
      <c r="N115" s="74" t="s">
        <v>326</v>
      </c>
      <c r="O115" s="76" t="n">
        <v>46069</v>
      </c>
      <c r="P115" s="74"/>
      <c r="Q115" s="79" t="n">
        <v>46139</v>
      </c>
      <c r="R115" s="71" t="n">
        <v>46167</v>
      </c>
      <c r="S115" s="71" t="str">
        <f aca="false">+IF(R115&lt;=Q115,"NO","SI")</f>
        <v>SI</v>
      </c>
      <c r="T115" s="78" t="n">
        <f aca="false">+R115-Q115</f>
        <v>28</v>
      </c>
      <c r="U115" s="74"/>
      <c r="V115" s="74"/>
      <c r="W115" s="71"/>
    </row>
    <row r="116" s="41" customFormat="true" ht="14.25" hidden="false" customHeight="false" outlineLevel="0" collapsed="false">
      <c r="A116" s="36"/>
      <c r="B116" s="70" t="s">
        <v>1</v>
      </c>
      <c r="C116" s="71" t="s">
        <v>307</v>
      </c>
      <c r="D116" s="72" t="s">
        <v>444</v>
      </c>
      <c r="E116" s="73" t="s">
        <v>436</v>
      </c>
      <c r="F116" s="73" t="s">
        <v>254</v>
      </c>
      <c r="G116" s="74" t="s">
        <v>312</v>
      </c>
      <c r="H116" s="74" t="n">
        <v>1</v>
      </c>
      <c r="I116" s="74" t="n">
        <v>5</v>
      </c>
      <c r="J116" s="73" t="s">
        <v>113</v>
      </c>
      <c r="K116" s="74" t="s">
        <v>3</v>
      </c>
      <c r="L116" s="74" t="s">
        <v>325</v>
      </c>
      <c r="M116" s="74" t="s">
        <v>8</v>
      </c>
      <c r="N116" s="74" t="s">
        <v>326</v>
      </c>
      <c r="O116" s="76" t="n">
        <v>46069</v>
      </c>
      <c r="P116" s="74"/>
      <c r="Q116" s="79" t="n">
        <v>46139</v>
      </c>
      <c r="R116" s="71" t="n">
        <v>46167</v>
      </c>
      <c r="S116" s="71" t="str">
        <f aca="false">+IF(R116&lt;=Q116,"NO","SI")</f>
        <v>SI</v>
      </c>
      <c r="T116" s="78" t="n">
        <f aca="false">+R116-Q116</f>
        <v>28</v>
      </c>
      <c r="U116" s="74"/>
      <c r="V116" s="74"/>
      <c r="W116" s="71"/>
    </row>
    <row r="117" s="41" customFormat="true" ht="14.25" hidden="false" customHeight="false" outlineLevel="0" collapsed="false">
      <c r="A117" s="36"/>
      <c r="B117" s="70" t="s">
        <v>1</v>
      </c>
      <c r="C117" s="71" t="s">
        <v>307</v>
      </c>
      <c r="D117" s="72" t="s">
        <v>445</v>
      </c>
      <c r="E117" s="73" t="s">
        <v>436</v>
      </c>
      <c r="F117" s="73" t="s">
        <v>67</v>
      </c>
      <c r="G117" s="74" t="s">
        <v>312</v>
      </c>
      <c r="H117" s="74" t="n">
        <v>1</v>
      </c>
      <c r="I117" s="74" t="n">
        <v>5</v>
      </c>
      <c r="J117" s="73" t="s">
        <v>40</v>
      </c>
      <c r="K117" s="74" t="s">
        <v>3</v>
      </c>
      <c r="L117" s="74" t="s">
        <v>325</v>
      </c>
      <c r="M117" s="74" t="s">
        <v>8</v>
      </c>
      <c r="N117" s="74" t="s">
        <v>326</v>
      </c>
      <c r="O117" s="76" t="n">
        <v>46069</v>
      </c>
      <c r="P117" s="74"/>
      <c r="Q117" s="79" t="n">
        <v>46139</v>
      </c>
      <c r="R117" s="71" t="n">
        <v>46155</v>
      </c>
      <c r="S117" s="71" t="str">
        <f aca="false">+IF(R117&lt;=Q117,"NO","SI")</f>
        <v>SI</v>
      </c>
      <c r="T117" s="78" t="n">
        <f aca="false">+R117-Q117</f>
        <v>16</v>
      </c>
      <c r="U117" s="74"/>
      <c r="V117" s="74"/>
      <c r="W117" s="71"/>
    </row>
    <row r="118" s="41" customFormat="true" ht="14.25" hidden="false" customHeight="false" outlineLevel="0" collapsed="false">
      <c r="A118" s="36"/>
      <c r="B118" s="70" t="s">
        <v>1</v>
      </c>
      <c r="C118" s="71" t="s">
        <v>307</v>
      </c>
      <c r="D118" s="72" t="s">
        <v>446</v>
      </c>
      <c r="E118" s="73" t="s">
        <v>436</v>
      </c>
      <c r="F118" s="73" t="s">
        <v>67</v>
      </c>
      <c r="G118" s="74" t="s">
        <v>312</v>
      </c>
      <c r="H118" s="74" t="n">
        <v>1</v>
      </c>
      <c r="I118" s="74" t="n">
        <v>5</v>
      </c>
      <c r="J118" s="73" t="s">
        <v>40</v>
      </c>
      <c r="K118" s="74" t="s">
        <v>3</v>
      </c>
      <c r="L118" s="74" t="s">
        <v>325</v>
      </c>
      <c r="M118" s="74" t="s">
        <v>8</v>
      </c>
      <c r="N118" s="74" t="s">
        <v>326</v>
      </c>
      <c r="O118" s="76" t="n">
        <v>46069</v>
      </c>
      <c r="P118" s="74"/>
      <c r="Q118" s="79" t="n">
        <v>46139</v>
      </c>
      <c r="R118" s="71" t="n">
        <v>46155</v>
      </c>
      <c r="S118" s="71" t="str">
        <f aca="false">+IF(R118&lt;=Q118,"NO","SI")</f>
        <v>SI</v>
      </c>
      <c r="T118" s="78" t="n">
        <f aca="false">+R118-Q118</f>
        <v>16</v>
      </c>
      <c r="U118" s="74"/>
      <c r="V118" s="74"/>
      <c r="W118" s="71"/>
    </row>
    <row r="119" s="41" customFormat="true" ht="14.25" hidden="false" customHeight="false" outlineLevel="0" collapsed="false">
      <c r="A119" s="36"/>
      <c r="B119" s="70" t="s">
        <v>1</v>
      </c>
      <c r="C119" s="71" t="s">
        <v>307</v>
      </c>
      <c r="D119" s="72" t="s">
        <v>447</v>
      </c>
      <c r="E119" s="73" t="s">
        <v>436</v>
      </c>
      <c r="F119" s="73" t="s">
        <v>67</v>
      </c>
      <c r="G119" s="74" t="s">
        <v>312</v>
      </c>
      <c r="H119" s="74" t="n">
        <v>1</v>
      </c>
      <c r="I119" s="74" t="n">
        <v>5</v>
      </c>
      <c r="J119" s="73" t="s">
        <v>40</v>
      </c>
      <c r="K119" s="74" t="s">
        <v>3</v>
      </c>
      <c r="L119" s="74" t="s">
        <v>325</v>
      </c>
      <c r="M119" s="74" t="s">
        <v>8</v>
      </c>
      <c r="N119" s="74" t="s">
        <v>326</v>
      </c>
      <c r="O119" s="76" t="n">
        <v>46069</v>
      </c>
      <c r="P119" s="74"/>
      <c r="Q119" s="79" t="n">
        <v>46139</v>
      </c>
      <c r="R119" s="71" t="n">
        <v>46155</v>
      </c>
      <c r="S119" s="71" t="str">
        <f aca="false">+IF(R119&lt;=Q119,"NO","SI")</f>
        <v>SI</v>
      </c>
      <c r="T119" s="78" t="n">
        <f aca="false">+R119-Q119</f>
        <v>16</v>
      </c>
      <c r="U119" s="74"/>
      <c r="V119" s="74"/>
      <c r="W119" s="71"/>
    </row>
    <row r="120" s="41" customFormat="true" ht="14.25" hidden="false" customHeight="false" outlineLevel="0" collapsed="false">
      <c r="A120" s="36"/>
      <c r="B120" s="70" t="s">
        <v>1</v>
      </c>
      <c r="C120" s="71" t="s">
        <v>307</v>
      </c>
      <c r="D120" s="72" t="s">
        <v>448</v>
      </c>
      <c r="E120" s="73" t="s">
        <v>436</v>
      </c>
      <c r="F120" s="73" t="s">
        <v>67</v>
      </c>
      <c r="G120" s="74" t="s">
        <v>312</v>
      </c>
      <c r="H120" s="74" t="n">
        <v>1</v>
      </c>
      <c r="I120" s="74" t="n">
        <v>5</v>
      </c>
      <c r="J120" s="73" t="s">
        <v>40</v>
      </c>
      <c r="K120" s="74" t="s">
        <v>3</v>
      </c>
      <c r="L120" s="74" t="s">
        <v>325</v>
      </c>
      <c r="M120" s="74" t="s">
        <v>8</v>
      </c>
      <c r="N120" s="74" t="s">
        <v>326</v>
      </c>
      <c r="O120" s="76" t="n">
        <v>46069</v>
      </c>
      <c r="P120" s="74"/>
      <c r="Q120" s="79" t="n">
        <v>46139</v>
      </c>
      <c r="R120" s="71" t="n">
        <v>46155</v>
      </c>
      <c r="S120" s="71" t="str">
        <f aca="false">+IF(R120&lt;=Q120,"NO","SI")</f>
        <v>SI</v>
      </c>
      <c r="T120" s="78" t="n">
        <f aca="false">+R120-Q120</f>
        <v>16</v>
      </c>
      <c r="U120" s="74"/>
      <c r="V120" s="74"/>
      <c r="W120" s="71"/>
    </row>
    <row r="121" s="41" customFormat="true" ht="14.25" hidden="false" customHeight="false" outlineLevel="0" collapsed="false">
      <c r="A121" s="36"/>
      <c r="B121" s="70" t="s">
        <v>1</v>
      </c>
      <c r="C121" s="71" t="s">
        <v>307</v>
      </c>
      <c r="D121" s="72" t="s">
        <v>449</v>
      </c>
      <c r="E121" s="73" t="s">
        <v>436</v>
      </c>
      <c r="F121" s="73" t="s">
        <v>73</v>
      </c>
      <c r="G121" s="74" t="s">
        <v>312</v>
      </c>
      <c r="H121" s="74" t="n">
        <v>1</v>
      </c>
      <c r="I121" s="74" t="n">
        <v>5</v>
      </c>
      <c r="J121" s="73" t="s">
        <v>40</v>
      </c>
      <c r="K121" s="74" t="s">
        <v>3</v>
      </c>
      <c r="L121" s="74" t="s">
        <v>325</v>
      </c>
      <c r="M121" s="74" t="s">
        <v>8</v>
      </c>
      <c r="N121" s="74" t="s">
        <v>326</v>
      </c>
      <c r="O121" s="76" t="n">
        <v>46069</v>
      </c>
      <c r="P121" s="74"/>
      <c r="Q121" s="79" t="n">
        <v>46139</v>
      </c>
      <c r="R121" s="71" t="n">
        <v>46174</v>
      </c>
      <c r="S121" s="71" t="str">
        <f aca="false">+IF(R121&lt;=Q121,"NO","SI")</f>
        <v>SI</v>
      </c>
      <c r="T121" s="78" t="n">
        <f aca="false">+R121-Q121</f>
        <v>35</v>
      </c>
      <c r="U121" s="74"/>
      <c r="V121" s="74"/>
      <c r="W121" s="71"/>
    </row>
    <row r="122" s="41" customFormat="true" ht="28.5" hidden="false" customHeight="false" outlineLevel="0" collapsed="false">
      <c r="A122" s="36"/>
      <c r="B122" s="87" t="s">
        <v>1</v>
      </c>
      <c r="C122" s="88" t="s">
        <v>307</v>
      </c>
      <c r="D122" s="89" t="s">
        <v>450</v>
      </c>
      <c r="E122" s="90" t="s">
        <v>436</v>
      </c>
      <c r="F122" s="90" t="s">
        <v>192</v>
      </c>
      <c r="G122" s="91" t="s">
        <v>312</v>
      </c>
      <c r="H122" s="91" t="n">
        <v>1</v>
      </c>
      <c r="I122" s="91" t="n">
        <v>5</v>
      </c>
      <c r="J122" s="90" t="s">
        <v>113</v>
      </c>
      <c r="K122" s="91" t="s">
        <v>3</v>
      </c>
      <c r="L122" s="91" t="s">
        <v>325</v>
      </c>
      <c r="M122" s="91" t="s">
        <v>8</v>
      </c>
      <c r="N122" s="91" t="s">
        <v>326</v>
      </c>
      <c r="O122" s="92" t="n">
        <v>46069</v>
      </c>
      <c r="P122" s="91"/>
      <c r="Q122" s="88" t="n">
        <v>46157</v>
      </c>
      <c r="R122" s="88" t="n">
        <v>46167</v>
      </c>
      <c r="S122" s="88" t="str">
        <f aca="false">+IF(R122&lt;=Q122,"NO","SI")</f>
        <v>SI</v>
      </c>
      <c r="T122" s="93" t="n">
        <f aca="false">+R122-Q122</f>
        <v>10</v>
      </c>
      <c r="U122" s="91"/>
      <c r="V122" s="91"/>
      <c r="W122" s="88" t="s">
        <v>451</v>
      </c>
    </row>
    <row r="123" s="41" customFormat="true" ht="28.5" hidden="false" customHeight="false" outlineLevel="0" collapsed="false">
      <c r="A123" s="36"/>
      <c r="B123" s="87" t="s">
        <v>1</v>
      </c>
      <c r="C123" s="88" t="s">
        <v>307</v>
      </c>
      <c r="D123" s="89" t="s">
        <v>452</v>
      </c>
      <c r="E123" s="90" t="s">
        <v>436</v>
      </c>
      <c r="F123" s="90" t="s">
        <v>254</v>
      </c>
      <c r="G123" s="91" t="s">
        <v>312</v>
      </c>
      <c r="H123" s="91" t="n">
        <v>1</v>
      </c>
      <c r="I123" s="91" t="n">
        <v>5</v>
      </c>
      <c r="J123" s="90" t="s">
        <v>113</v>
      </c>
      <c r="K123" s="91" t="s">
        <v>3</v>
      </c>
      <c r="L123" s="91" t="s">
        <v>325</v>
      </c>
      <c r="M123" s="91" t="s">
        <v>8</v>
      </c>
      <c r="N123" s="91" t="s">
        <v>326</v>
      </c>
      <c r="O123" s="92" t="n">
        <v>46069</v>
      </c>
      <c r="P123" s="91"/>
      <c r="Q123" s="88" t="n">
        <v>46157</v>
      </c>
      <c r="R123" s="88" t="n">
        <v>46167</v>
      </c>
      <c r="S123" s="88" t="str">
        <f aca="false">+IF(R123&lt;=Q123,"NO","SI")</f>
        <v>SI</v>
      </c>
      <c r="T123" s="93" t="n">
        <f aca="false">+R123-Q123</f>
        <v>10</v>
      </c>
      <c r="U123" s="91"/>
      <c r="V123" s="91"/>
      <c r="W123" s="88" t="s">
        <v>451</v>
      </c>
    </row>
    <row r="124" s="41" customFormat="true" ht="28.5" hidden="false" customHeight="false" outlineLevel="0" collapsed="false">
      <c r="A124" s="36"/>
      <c r="B124" s="87" t="s">
        <v>1</v>
      </c>
      <c r="C124" s="88" t="s">
        <v>307</v>
      </c>
      <c r="D124" s="89" t="s">
        <v>453</v>
      </c>
      <c r="E124" s="90" t="s">
        <v>436</v>
      </c>
      <c r="F124" s="90" t="s">
        <v>69</v>
      </c>
      <c r="G124" s="91" t="s">
        <v>312</v>
      </c>
      <c r="H124" s="91" t="n">
        <v>1</v>
      </c>
      <c r="I124" s="91" t="n">
        <v>5</v>
      </c>
      <c r="J124" s="90" t="s">
        <v>40</v>
      </c>
      <c r="K124" s="91" t="s">
        <v>3</v>
      </c>
      <c r="L124" s="91" t="s">
        <v>325</v>
      </c>
      <c r="M124" s="91" t="s">
        <v>8</v>
      </c>
      <c r="N124" s="91" t="s">
        <v>326</v>
      </c>
      <c r="O124" s="92" t="n">
        <v>46069</v>
      </c>
      <c r="P124" s="91"/>
      <c r="Q124" s="88" t="n">
        <v>46157</v>
      </c>
      <c r="R124" s="88" t="n">
        <v>46160</v>
      </c>
      <c r="S124" s="88" t="str">
        <f aca="false">+IF(R124&lt;=Q124,"NO","SI")</f>
        <v>SI</v>
      </c>
      <c r="T124" s="93" t="n">
        <f aca="false">+R124-Q124</f>
        <v>3</v>
      </c>
      <c r="U124" s="91"/>
      <c r="V124" s="91"/>
      <c r="W124" s="88" t="s">
        <v>451</v>
      </c>
    </row>
    <row r="125" s="41" customFormat="true" ht="28.5" hidden="false" customHeight="false" outlineLevel="0" collapsed="false">
      <c r="A125" s="36"/>
      <c r="B125" s="87" t="s">
        <v>1</v>
      </c>
      <c r="C125" s="88" t="s">
        <v>307</v>
      </c>
      <c r="D125" s="89" t="s">
        <v>454</v>
      </c>
      <c r="E125" s="90" t="s">
        <v>436</v>
      </c>
      <c r="F125" s="90" t="s">
        <v>71</v>
      </c>
      <c r="G125" s="91" t="s">
        <v>312</v>
      </c>
      <c r="H125" s="91" t="n">
        <v>1</v>
      </c>
      <c r="I125" s="91" t="n">
        <v>5</v>
      </c>
      <c r="J125" s="90" t="s">
        <v>40</v>
      </c>
      <c r="K125" s="91" t="s">
        <v>3</v>
      </c>
      <c r="L125" s="91" t="s">
        <v>325</v>
      </c>
      <c r="M125" s="91" t="s">
        <v>8</v>
      </c>
      <c r="N125" s="91" t="s">
        <v>326</v>
      </c>
      <c r="O125" s="92" t="n">
        <v>46069</v>
      </c>
      <c r="P125" s="91"/>
      <c r="Q125" s="88" t="n">
        <v>46157</v>
      </c>
      <c r="R125" s="88" t="n">
        <v>46167</v>
      </c>
      <c r="S125" s="88" t="str">
        <f aca="false">+IF(R125&lt;=Q125,"NO","SI")</f>
        <v>SI</v>
      </c>
      <c r="T125" s="93" t="n">
        <f aca="false">+R125-Q125</f>
        <v>10</v>
      </c>
      <c r="U125" s="91"/>
      <c r="V125" s="91"/>
      <c r="W125" s="88" t="s">
        <v>451</v>
      </c>
    </row>
    <row r="126" s="41" customFormat="true" ht="28.5" hidden="false" customHeight="false" outlineLevel="0" collapsed="false">
      <c r="A126" s="36"/>
      <c r="B126" s="87" t="s">
        <v>1</v>
      </c>
      <c r="C126" s="88" t="s">
        <v>307</v>
      </c>
      <c r="D126" s="89" t="s">
        <v>455</v>
      </c>
      <c r="E126" s="90" t="s">
        <v>436</v>
      </c>
      <c r="F126" s="90" t="s">
        <v>73</v>
      </c>
      <c r="G126" s="91" t="s">
        <v>312</v>
      </c>
      <c r="H126" s="91" t="n">
        <v>1</v>
      </c>
      <c r="I126" s="91" t="n">
        <v>5</v>
      </c>
      <c r="J126" s="90" t="s">
        <v>40</v>
      </c>
      <c r="K126" s="91" t="s">
        <v>3</v>
      </c>
      <c r="L126" s="91" t="s">
        <v>325</v>
      </c>
      <c r="M126" s="91" t="s">
        <v>8</v>
      </c>
      <c r="N126" s="91" t="s">
        <v>326</v>
      </c>
      <c r="O126" s="92" t="n">
        <v>46069</v>
      </c>
      <c r="P126" s="91"/>
      <c r="Q126" s="88" t="n">
        <v>46157</v>
      </c>
      <c r="R126" s="88" t="n">
        <v>46174</v>
      </c>
      <c r="S126" s="88" t="str">
        <f aca="false">+IF(R126&lt;=Q126,"NO","SI")</f>
        <v>SI</v>
      </c>
      <c r="T126" s="93" t="n">
        <f aca="false">+R126-Q126</f>
        <v>17</v>
      </c>
      <c r="U126" s="91"/>
      <c r="V126" s="91"/>
      <c r="W126" s="88" t="s">
        <v>451</v>
      </c>
    </row>
    <row r="127" s="41" customFormat="true" ht="28.5" hidden="false" customHeight="false" outlineLevel="0" collapsed="false">
      <c r="A127" s="36"/>
      <c r="B127" s="87" t="s">
        <v>1</v>
      </c>
      <c r="C127" s="88" t="s">
        <v>307</v>
      </c>
      <c r="D127" s="89" t="s">
        <v>456</v>
      </c>
      <c r="E127" s="90" t="s">
        <v>436</v>
      </c>
      <c r="F127" s="90" t="s">
        <v>192</v>
      </c>
      <c r="G127" s="91" t="s">
        <v>312</v>
      </c>
      <c r="H127" s="91" t="n">
        <v>1</v>
      </c>
      <c r="I127" s="91" t="n">
        <v>5</v>
      </c>
      <c r="J127" s="90" t="s">
        <v>113</v>
      </c>
      <c r="K127" s="91" t="s">
        <v>3</v>
      </c>
      <c r="L127" s="91" t="s">
        <v>325</v>
      </c>
      <c r="M127" s="91" t="s">
        <v>8</v>
      </c>
      <c r="N127" s="91" t="s">
        <v>326</v>
      </c>
      <c r="O127" s="92" t="n">
        <v>46069</v>
      </c>
      <c r="P127" s="91"/>
      <c r="Q127" s="88" t="n">
        <v>46157</v>
      </c>
      <c r="R127" s="88" t="n">
        <v>46167</v>
      </c>
      <c r="S127" s="88" t="str">
        <f aca="false">+IF(R127&lt;=Q127,"NO","SI")</f>
        <v>SI</v>
      </c>
      <c r="T127" s="93" t="n">
        <f aca="false">+R127-Q127</f>
        <v>10</v>
      </c>
      <c r="U127" s="91"/>
      <c r="V127" s="91"/>
      <c r="W127" s="88" t="s">
        <v>451</v>
      </c>
    </row>
    <row r="128" s="41" customFormat="true" ht="28.5" hidden="false" customHeight="false" outlineLevel="0" collapsed="false">
      <c r="A128" s="36"/>
      <c r="B128" s="87" t="s">
        <v>1</v>
      </c>
      <c r="C128" s="88" t="s">
        <v>307</v>
      </c>
      <c r="D128" s="89" t="s">
        <v>457</v>
      </c>
      <c r="E128" s="90" t="s">
        <v>436</v>
      </c>
      <c r="F128" s="90" t="s">
        <v>254</v>
      </c>
      <c r="G128" s="91" t="s">
        <v>312</v>
      </c>
      <c r="H128" s="91" t="n">
        <v>1</v>
      </c>
      <c r="I128" s="91" t="n">
        <v>5</v>
      </c>
      <c r="J128" s="90" t="s">
        <v>113</v>
      </c>
      <c r="K128" s="91" t="s">
        <v>3</v>
      </c>
      <c r="L128" s="91" t="s">
        <v>325</v>
      </c>
      <c r="M128" s="91" t="s">
        <v>8</v>
      </c>
      <c r="N128" s="91" t="s">
        <v>326</v>
      </c>
      <c r="O128" s="92" t="n">
        <v>46069</v>
      </c>
      <c r="P128" s="91"/>
      <c r="Q128" s="88" t="n">
        <v>46157</v>
      </c>
      <c r="R128" s="88" t="n">
        <v>46167</v>
      </c>
      <c r="S128" s="91" t="str">
        <f aca="false">+IF(R128&lt;=Q128,"NO","SI")</f>
        <v>SI</v>
      </c>
      <c r="T128" s="93" t="n">
        <f aca="false">+R128-Q128</f>
        <v>10</v>
      </c>
      <c r="U128" s="91"/>
      <c r="V128" s="91"/>
      <c r="W128" s="91" t="s">
        <v>451</v>
      </c>
    </row>
    <row r="129" s="41" customFormat="true" ht="14.25" hidden="false" customHeight="false" outlineLevel="0" collapsed="false">
      <c r="A129" s="36"/>
      <c r="B129" s="70" t="s">
        <v>1</v>
      </c>
      <c r="C129" s="71" t="s">
        <v>307</v>
      </c>
      <c r="D129" s="72" t="s">
        <v>458</v>
      </c>
      <c r="E129" s="73" t="s">
        <v>436</v>
      </c>
      <c r="F129" s="73" t="s">
        <v>278</v>
      </c>
      <c r="G129" s="74" t="s">
        <v>312</v>
      </c>
      <c r="H129" s="74" t="n">
        <v>1</v>
      </c>
      <c r="I129" s="74" t="n">
        <v>5</v>
      </c>
      <c r="J129" s="73" t="s">
        <v>277</v>
      </c>
      <c r="K129" s="74" t="s">
        <v>3</v>
      </c>
      <c r="L129" s="74" t="s">
        <v>459</v>
      </c>
      <c r="M129" s="74" t="s">
        <v>10</v>
      </c>
      <c r="N129" s="74" t="s">
        <v>460</v>
      </c>
      <c r="O129" s="76"/>
      <c r="P129" s="74"/>
      <c r="Q129" s="94" t="n">
        <v>46168</v>
      </c>
      <c r="R129" s="71" t="n">
        <v>46174</v>
      </c>
      <c r="S129" s="74" t="str">
        <f aca="false">+IF(R129&lt;=Q129,"NO","SI")</f>
        <v>SI</v>
      </c>
      <c r="T129" s="78" t="n">
        <f aca="false">+R129-Q129</f>
        <v>6</v>
      </c>
      <c r="U129" s="74"/>
      <c r="V129" s="74"/>
      <c r="W129" s="74"/>
    </row>
    <row r="130" s="41" customFormat="true" ht="28.5" hidden="false" customHeight="false" outlineLevel="0" collapsed="false">
      <c r="A130" s="36"/>
      <c r="B130" s="87" t="s">
        <v>1</v>
      </c>
      <c r="C130" s="88" t="s">
        <v>307</v>
      </c>
      <c r="D130" s="89" t="s">
        <v>461</v>
      </c>
      <c r="E130" s="90" t="s">
        <v>436</v>
      </c>
      <c r="F130" s="90" t="s">
        <v>194</v>
      </c>
      <c r="G130" s="91" t="s">
        <v>312</v>
      </c>
      <c r="H130" s="91" t="n">
        <v>1</v>
      </c>
      <c r="I130" s="91" t="n">
        <v>5</v>
      </c>
      <c r="J130" s="90" t="s">
        <v>113</v>
      </c>
      <c r="K130" s="91" t="s">
        <v>3</v>
      </c>
      <c r="L130" s="91" t="s">
        <v>325</v>
      </c>
      <c r="M130" s="91" t="s">
        <v>8</v>
      </c>
      <c r="N130" s="91" t="s">
        <v>326</v>
      </c>
      <c r="O130" s="92" t="n">
        <v>46069</v>
      </c>
      <c r="P130" s="91"/>
      <c r="Q130" s="88" t="n">
        <v>46157</v>
      </c>
      <c r="R130" s="88" t="n">
        <v>46174</v>
      </c>
      <c r="S130" s="88" t="str">
        <f aca="false">+IF(R130&lt;=Q130,"NO","SI")</f>
        <v>SI</v>
      </c>
      <c r="T130" s="93" t="n">
        <f aca="false">+R130-Q130</f>
        <v>17</v>
      </c>
      <c r="U130" s="91"/>
      <c r="V130" s="91"/>
      <c r="W130" s="88" t="s">
        <v>451</v>
      </c>
    </row>
    <row r="131" s="41" customFormat="true" ht="28.5" hidden="false" customHeight="false" outlineLevel="0" collapsed="false">
      <c r="A131" s="36"/>
      <c r="B131" s="87" t="s">
        <v>1</v>
      </c>
      <c r="C131" s="88" t="s">
        <v>307</v>
      </c>
      <c r="D131" s="89" t="s">
        <v>462</v>
      </c>
      <c r="E131" s="90" t="s">
        <v>436</v>
      </c>
      <c r="F131" s="90" t="s">
        <v>202</v>
      </c>
      <c r="G131" s="91" t="s">
        <v>312</v>
      </c>
      <c r="H131" s="91" t="n">
        <v>1</v>
      </c>
      <c r="I131" s="91" t="n">
        <v>5</v>
      </c>
      <c r="J131" s="90" t="s">
        <v>113</v>
      </c>
      <c r="K131" s="91" t="s">
        <v>3</v>
      </c>
      <c r="L131" s="91" t="s">
        <v>325</v>
      </c>
      <c r="M131" s="91" t="s">
        <v>8</v>
      </c>
      <c r="N131" s="91" t="s">
        <v>326</v>
      </c>
      <c r="O131" s="92" t="n">
        <v>46069</v>
      </c>
      <c r="P131" s="91"/>
      <c r="Q131" s="88" t="n">
        <v>46157</v>
      </c>
      <c r="R131" s="88" t="n">
        <v>46160</v>
      </c>
      <c r="S131" s="88" t="str">
        <f aca="false">+IF(R131&lt;=Q131,"NO","SI")</f>
        <v>SI</v>
      </c>
      <c r="T131" s="93" t="n">
        <f aca="false">+R131-Q131</f>
        <v>3</v>
      </c>
      <c r="U131" s="91"/>
      <c r="V131" s="91"/>
      <c r="W131" s="88" t="s">
        <v>451</v>
      </c>
    </row>
    <row r="132" s="41" customFormat="true" ht="28.5" hidden="false" customHeight="false" outlineLevel="0" collapsed="false">
      <c r="A132" s="36"/>
      <c r="B132" s="87" t="s">
        <v>1</v>
      </c>
      <c r="C132" s="88" t="s">
        <v>307</v>
      </c>
      <c r="D132" s="89" t="s">
        <v>463</v>
      </c>
      <c r="E132" s="90" t="s">
        <v>436</v>
      </c>
      <c r="F132" s="90" t="s">
        <v>202</v>
      </c>
      <c r="G132" s="91" t="s">
        <v>312</v>
      </c>
      <c r="H132" s="91" t="n">
        <v>1</v>
      </c>
      <c r="I132" s="91" t="n">
        <v>5</v>
      </c>
      <c r="J132" s="90" t="s">
        <v>113</v>
      </c>
      <c r="K132" s="91" t="s">
        <v>3</v>
      </c>
      <c r="L132" s="91" t="s">
        <v>325</v>
      </c>
      <c r="M132" s="91" t="s">
        <v>8</v>
      </c>
      <c r="N132" s="91" t="s">
        <v>326</v>
      </c>
      <c r="O132" s="92" t="n">
        <v>46069</v>
      </c>
      <c r="P132" s="91"/>
      <c r="Q132" s="88" t="n">
        <v>46157</v>
      </c>
      <c r="R132" s="88" t="n">
        <v>46160</v>
      </c>
      <c r="S132" s="88" t="str">
        <f aca="false">+IF(R132&lt;=Q132,"NO","SI")</f>
        <v>SI</v>
      </c>
      <c r="T132" s="93" t="n">
        <f aca="false">+R132-Q132</f>
        <v>3</v>
      </c>
      <c r="U132" s="91"/>
      <c r="V132" s="91"/>
      <c r="W132" s="88" t="s">
        <v>451</v>
      </c>
    </row>
    <row r="133" s="41" customFormat="true" ht="28.5" hidden="false" customHeight="false" outlineLevel="0" collapsed="false">
      <c r="A133" s="36"/>
      <c r="B133" s="70" t="s">
        <v>1</v>
      </c>
      <c r="C133" s="71" t="s">
        <v>307</v>
      </c>
      <c r="D133" s="72" t="s">
        <v>464</v>
      </c>
      <c r="E133" s="73" t="s">
        <v>436</v>
      </c>
      <c r="F133" s="73" t="s">
        <v>465</v>
      </c>
      <c r="G133" s="74" t="s">
        <v>312</v>
      </c>
      <c r="H133" s="74" t="n">
        <v>1</v>
      </c>
      <c r="I133" s="74" t="n">
        <v>5</v>
      </c>
      <c r="J133" s="73" t="s">
        <v>40</v>
      </c>
      <c r="K133" s="74" t="s">
        <v>3</v>
      </c>
      <c r="L133" s="74" t="s">
        <v>325</v>
      </c>
      <c r="M133" s="74" t="s">
        <v>8</v>
      </c>
      <c r="N133" s="74" t="s">
        <v>326</v>
      </c>
      <c r="O133" s="76" t="n">
        <v>46069</v>
      </c>
      <c r="P133" s="74"/>
      <c r="Q133" s="79" t="n">
        <v>46139</v>
      </c>
      <c r="R133" s="71" t="n">
        <v>46157</v>
      </c>
      <c r="S133" s="71" t="str">
        <f aca="false">+IF(R133&lt;=Q133,"NO","SI")</f>
        <v>SI</v>
      </c>
      <c r="T133" s="78" t="n">
        <f aca="false">+R133-Q133</f>
        <v>18</v>
      </c>
      <c r="U133" s="74"/>
      <c r="V133" s="74"/>
      <c r="W133" s="71"/>
    </row>
    <row r="134" s="41" customFormat="true" ht="14.25" hidden="false" customHeight="false" outlineLevel="0" collapsed="false">
      <c r="A134" s="36"/>
      <c r="B134" s="70" t="s">
        <v>1</v>
      </c>
      <c r="C134" s="71" t="s">
        <v>307</v>
      </c>
      <c r="D134" s="72" t="s">
        <v>466</v>
      </c>
      <c r="E134" s="73" t="s">
        <v>436</v>
      </c>
      <c r="F134" s="73" t="s">
        <v>467</v>
      </c>
      <c r="G134" s="74" t="s">
        <v>312</v>
      </c>
      <c r="H134" s="74" t="n">
        <v>1</v>
      </c>
      <c r="I134" s="74" t="n">
        <v>5</v>
      </c>
      <c r="J134" s="73" t="s">
        <v>40</v>
      </c>
      <c r="K134" s="74" t="s">
        <v>3</v>
      </c>
      <c r="L134" s="74" t="s">
        <v>325</v>
      </c>
      <c r="M134" s="74" t="s">
        <v>8</v>
      </c>
      <c r="N134" s="74" t="s">
        <v>326</v>
      </c>
      <c r="O134" s="76" t="n">
        <v>46069</v>
      </c>
      <c r="P134" s="74"/>
      <c r="Q134" s="79" t="n">
        <v>46139</v>
      </c>
      <c r="R134" s="71" t="n">
        <v>46176</v>
      </c>
      <c r="S134" s="71" t="str">
        <f aca="false">+IF(R134&lt;=Q134,"NO","SI")</f>
        <v>SI</v>
      </c>
      <c r="T134" s="78" t="n">
        <f aca="false">+R134-Q134</f>
        <v>37</v>
      </c>
      <c r="U134" s="74"/>
      <c r="V134" s="74"/>
      <c r="W134" s="71"/>
    </row>
    <row r="135" s="41" customFormat="true" ht="14.25" hidden="false" customHeight="false" outlineLevel="0" collapsed="false">
      <c r="A135" s="36"/>
      <c r="B135" s="70" t="s">
        <v>1</v>
      </c>
      <c r="C135" s="71" t="s">
        <v>307</v>
      </c>
      <c r="D135" s="72" t="s">
        <v>468</v>
      </c>
      <c r="E135" s="73" t="s">
        <v>436</v>
      </c>
      <c r="F135" s="73" t="s">
        <v>467</v>
      </c>
      <c r="G135" s="74" t="s">
        <v>312</v>
      </c>
      <c r="H135" s="74" t="n">
        <v>1</v>
      </c>
      <c r="I135" s="74" t="n">
        <v>5</v>
      </c>
      <c r="J135" s="73" t="s">
        <v>40</v>
      </c>
      <c r="K135" s="74" t="s">
        <v>3</v>
      </c>
      <c r="L135" s="74" t="s">
        <v>325</v>
      </c>
      <c r="M135" s="74" t="s">
        <v>8</v>
      </c>
      <c r="N135" s="74" t="s">
        <v>326</v>
      </c>
      <c r="O135" s="76" t="n">
        <v>46069</v>
      </c>
      <c r="P135" s="74"/>
      <c r="Q135" s="79" t="n">
        <v>46139</v>
      </c>
      <c r="R135" s="71" t="n">
        <v>46176</v>
      </c>
      <c r="S135" s="71" t="str">
        <f aca="false">+IF(R135&lt;=Q135,"NO","SI")</f>
        <v>SI</v>
      </c>
      <c r="T135" s="78" t="n">
        <f aca="false">+R135-Q135</f>
        <v>37</v>
      </c>
      <c r="U135" s="74"/>
      <c r="V135" s="74"/>
      <c r="W135" s="71"/>
    </row>
    <row r="136" s="41" customFormat="true" ht="14.25" hidden="false" customHeight="false" outlineLevel="0" collapsed="false">
      <c r="A136" s="36"/>
      <c r="B136" s="70" t="s">
        <v>1</v>
      </c>
      <c r="C136" s="71" t="s">
        <v>307</v>
      </c>
      <c r="D136" s="72" t="s">
        <v>469</v>
      </c>
      <c r="E136" s="73" t="s">
        <v>436</v>
      </c>
      <c r="F136" s="73" t="s">
        <v>73</v>
      </c>
      <c r="G136" s="74" t="s">
        <v>312</v>
      </c>
      <c r="H136" s="74" t="n">
        <v>1</v>
      </c>
      <c r="I136" s="74" t="n">
        <v>5</v>
      </c>
      <c r="J136" s="73" t="s">
        <v>40</v>
      </c>
      <c r="K136" s="74" t="s">
        <v>3</v>
      </c>
      <c r="L136" s="74" t="s">
        <v>325</v>
      </c>
      <c r="M136" s="74" t="s">
        <v>8</v>
      </c>
      <c r="N136" s="74" t="s">
        <v>326</v>
      </c>
      <c r="O136" s="76" t="n">
        <v>46069</v>
      </c>
      <c r="P136" s="74"/>
      <c r="Q136" s="79" t="n">
        <v>46139</v>
      </c>
      <c r="R136" s="71" t="n">
        <v>46174</v>
      </c>
      <c r="S136" s="71" t="str">
        <f aca="false">+IF(R136&lt;=Q136,"NO","SI")</f>
        <v>SI</v>
      </c>
      <c r="T136" s="78" t="n">
        <f aca="false">+R136-Q136</f>
        <v>35</v>
      </c>
      <c r="U136" s="74"/>
      <c r="V136" s="74"/>
      <c r="W136" s="71"/>
    </row>
    <row r="137" s="41" customFormat="true" ht="21.75" hidden="false" customHeight="true" outlineLevel="0" collapsed="false">
      <c r="A137" s="36"/>
      <c r="B137" s="95" t="s">
        <v>1</v>
      </c>
      <c r="C137" s="96" t="s">
        <v>307</v>
      </c>
      <c r="D137" s="97" t="s">
        <v>470</v>
      </c>
      <c r="E137" s="98" t="s">
        <v>436</v>
      </c>
      <c r="F137" s="98" t="s">
        <v>69</v>
      </c>
      <c r="G137" s="99" t="s">
        <v>312</v>
      </c>
      <c r="H137" s="99" t="n">
        <v>1</v>
      </c>
      <c r="I137" s="99" t="n">
        <v>5</v>
      </c>
      <c r="J137" s="98" t="s">
        <v>40</v>
      </c>
      <c r="K137" s="99" t="s">
        <v>3</v>
      </c>
      <c r="L137" s="99" t="s">
        <v>325</v>
      </c>
      <c r="M137" s="99" t="s">
        <v>13</v>
      </c>
      <c r="N137" s="99" t="s">
        <v>326</v>
      </c>
      <c r="O137" s="100" t="n">
        <v>46069</v>
      </c>
      <c r="P137" s="99"/>
      <c r="Q137" s="96" t="n">
        <v>46156</v>
      </c>
      <c r="R137" s="96" t="n">
        <v>46157</v>
      </c>
      <c r="S137" s="96" t="str">
        <f aca="false">+IF(R137&lt;=Q137,"NO","SI")</f>
        <v>SI</v>
      </c>
      <c r="T137" s="101" t="n">
        <f aca="false">+R137-Q137</f>
        <v>1</v>
      </c>
      <c r="U137" s="99"/>
      <c r="V137" s="99"/>
      <c r="W137" s="96" t="s">
        <v>471</v>
      </c>
    </row>
    <row r="138" s="41" customFormat="true" ht="42.75" hidden="false" customHeight="false" outlineLevel="0" collapsed="false">
      <c r="A138" s="36"/>
      <c r="B138" s="95" t="s">
        <v>1</v>
      </c>
      <c r="C138" s="96" t="s">
        <v>307</v>
      </c>
      <c r="D138" s="97" t="s">
        <v>472</v>
      </c>
      <c r="E138" s="98" t="s">
        <v>436</v>
      </c>
      <c r="F138" s="98" t="s">
        <v>71</v>
      </c>
      <c r="G138" s="99" t="s">
        <v>312</v>
      </c>
      <c r="H138" s="99" t="n">
        <v>1</v>
      </c>
      <c r="I138" s="99" t="n">
        <v>5</v>
      </c>
      <c r="J138" s="98" t="s">
        <v>40</v>
      </c>
      <c r="K138" s="99" t="s">
        <v>3</v>
      </c>
      <c r="L138" s="99" t="s">
        <v>325</v>
      </c>
      <c r="M138" s="99" t="s">
        <v>13</v>
      </c>
      <c r="N138" s="99" t="s">
        <v>326</v>
      </c>
      <c r="O138" s="100" t="n">
        <v>46069</v>
      </c>
      <c r="P138" s="99"/>
      <c r="Q138" s="96" t="n">
        <v>46157</v>
      </c>
      <c r="R138" s="96" t="n">
        <v>46167</v>
      </c>
      <c r="S138" s="96" t="str">
        <f aca="false">+IF(R138&lt;=Q138,"NO","SI")</f>
        <v>SI</v>
      </c>
      <c r="T138" s="101" t="n">
        <f aca="false">+R138-Q138</f>
        <v>10</v>
      </c>
      <c r="U138" s="99"/>
      <c r="V138" s="99"/>
      <c r="W138" s="96" t="s">
        <v>471</v>
      </c>
    </row>
    <row r="139" s="80" customFormat="true" ht="14.25" hidden="false" customHeight="false" outlineLevel="0" collapsed="false">
      <c r="A139" s="36"/>
      <c r="B139" s="51" t="s">
        <v>306</v>
      </c>
      <c r="C139" s="52" t="s">
        <v>307</v>
      </c>
      <c r="D139" s="53"/>
      <c r="E139" s="54" t="s">
        <v>473</v>
      </c>
      <c r="F139" s="55"/>
      <c r="G139" s="56"/>
      <c r="H139" s="57"/>
      <c r="I139" s="57"/>
      <c r="J139" s="57"/>
      <c r="K139" s="55"/>
      <c r="L139" s="55"/>
      <c r="M139" s="55"/>
      <c r="N139" s="55"/>
      <c r="O139" s="102"/>
      <c r="P139" s="55"/>
      <c r="Q139" s="55"/>
      <c r="R139" s="55"/>
      <c r="S139" s="55" t="str">
        <f aca="false">+IF(R139&lt;=Q139,"NO","SI")</f>
        <v>NO</v>
      </c>
      <c r="T139" s="59" t="n">
        <f aca="false">+R139-Q139</f>
        <v>0</v>
      </c>
      <c r="U139" s="55"/>
      <c r="V139" s="103"/>
      <c r="W139" s="55"/>
    </row>
    <row r="140" customFormat="false" ht="14.25" hidden="false" customHeight="false" outlineLevel="0" collapsed="false">
      <c r="B140" s="61" t="s">
        <v>309</v>
      </c>
      <c r="C140" s="62" t="s">
        <v>307</v>
      </c>
      <c r="D140" s="63"/>
      <c r="E140" s="64" t="s">
        <v>474</v>
      </c>
      <c r="F140" s="65"/>
      <c r="G140" s="66"/>
      <c r="H140" s="67"/>
      <c r="I140" s="67"/>
      <c r="J140" s="67"/>
      <c r="K140" s="65"/>
      <c r="L140" s="65"/>
      <c r="M140" s="65"/>
      <c r="N140" s="65"/>
      <c r="O140" s="104"/>
      <c r="P140" s="65"/>
      <c r="Q140" s="65"/>
      <c r="R140" s="65"/>
      <c r="S140" s="65" t="str">
        <f aca="false">+IF(R140&lt;=Q140,"NO","SI")</f>
        <v>NO</v>
      </c>
      <c r="T140" s="69" t="n">
        <f aca="false">+R140-Q140</f>
        <v>0</v>
      </c>
      <c r="U140" s="65"/>
      <c r="V140" s="105"/>
      <c r="W140" s="65"/>
    </row>
    <row r="141" s="41" customFormat="true" ht="14.25" hidden="false" customHeight="false" outlineLevel="0" collapsed="false">
      <c r="A141" s="36"/>
      <c r="B141" s="81" t="s">
        <v>1</v>
      </c>
      <c r="C141" s="82" t="s">
        <v>307</v>
      </c>
      <c r="D141" s="83"/>
      <c r="E141" s="84" t="s">
        <v>475</v>
      </c>
      <c r="F141" s="84" t="s">
        <v>476</v>
      </c>
      <c r="G141" s="85" t="s">
        <v>312</v>
      </c>
      <c r="H141" s="85"/>
      <c r="I141" s="85" t="n">
        <v>5</v>
      </c>
      <c r="J141" s="84" t="s">
        <v>40</v>
      </c>
      <c r="K141" s="85" t="s">
        <v>3</v>
      </c>
      <c r="L141" s="85" t="s">
        <v>477</v>
      </c>
      <c r="M141" s="85" t="s">
        <v>8</v>
      </c>
      <c r="N141" s="85" t="s">
        <v>326</v>
      </c>
      <c r="O141" s="106" t="n">
        <v>46073</v>
      </c>
      <c r="P141" s="85"/>
      <c r="Q141" s="82" t="n">
        <v>46230</v>
      </c>
      <c r="R141" s="82" t="n">
        <v>46203</v>
      </c>
      <c r="S141" s="82" t="str">
        <f aca="false">+IF(R141&lt;=Q141,"NO","SI")</f>
        <v>NO</v>
      </c>
      <c r="T141" s="107" t="n">
        <f aca="false">+R141-Q141</f>
        <v>-27</v>
      </c>
      <c r="U141" s="85"/>
      <c r="V141" s="108"/>
      <c r="W141" s="82"/>
    </row>
    <row r="142" s="41" customFormat="true" ht="14.25" hidden="false" customHeight="false" outlineLevel="0" collapsed="false">
      <c r="A142" s="36"/>
      <c r="B142" s="81" t="s">
        <v>1</v>
      </c>
      <c r="C142" s="82" t="s">
        <v>307</v>
      </c>
      <c r="D142" s="83"/>
      <c r="E142" s="84" t="s">
        <v>478</v>
      </c>
      <c r="F142" s="84" t="s">
        <v>67</v>
      </c>
      <c r="G142" s="85" t="s">
        <v>312</v>
      </c>
      <c r="H142" s="85"/>
      <c r="I142" s="85" t="n">
        <v>5</v>
      </c>
      <c r="J142" s="84" t="s">
        <v>40</v>
      </c>
      <c r="K142" s="85" t="s">
        <v>3</v>
      </c>
      <c r="L142" s="85" t="s">
        <v>477</v>
      </c>
      <c r="M142" s="85" t="s">
        <v>8</v>
      </c>
      <c r="N142" s="85" t="s">
        <v>326</v>
      </c>
      <c r="O142" s="106" t="n">
        <v>46073</v>
      </c>
      <c r="P142" s="85"/>
      <c r="Q142" s="82" t="n">
        <v>46230</v>
      </c>
      <c r="R142" s="82" t="n">
        <v>46210</v>
      </c>
      <c r="S142" s="82" t="str">
        <f aca="false">+IF(R142&lt;=Q142,"NO","SI")</f>
        <v>NO</v>
      </c>
      <c r="T142" s="107" t="n">
        <f aca="false">+R142-Q142</f>
        <v>-20</v>
      </c>
      <c r="U142" s="85"/>
      <c r="V142" s="108"/>
      <c r="W142" s="82"/>
    </row>
    <row r="143" s="41" customFormat="true" ht="14.25" hidden="false" customHeight="false" outlineLevel="0" collapsed="false">
      <c r="A143" s="36"/>
      <c r="B143" s="81" t="s">
        <v>1</v>
      </c>
      <c r="C143" s="82" t="s">
        <v>307</v>
      </c>
      <c r="D143" s="83"/>
      <c r="E143" s="84" t="s">
        <v>479</v>
      </c>
      <c r="F143" s="84" t="s">
        <v>73</v>
      </c>
      <c r="G143" s="85" t="s">
        <v>312</v>
      </c>
      <c r="H143" s="85"/>
      <c r="I143" s="85" t="n">
        <v>5</v>
      </c>
      <c r="J143" s="84" t="s">
        <v>40</v>
      </c>
      <c r="K143" s="85" t="s">
        <v>3</v>
      </c>
      <c r="L143" s="85" t="s">
        <v>477</v>
      </c>
      <c r="M143" s="85" t="s">
        <v>8</v>
      </c>
      <c r="N143" s="85" t="s">
        <v>326</v>
      </c>
      <c r="O143" s="106" t="n">
        <v>46073</v>
      </c>
      <c r="P143" s="85"/>
      <c r="Q143" s="82" t="n">
        <v>46230</v>
      </c>
      <c r="R143" s="82" t="n">
        <v>46220</v>
      </c>
      <c r="S143" s="82" t="str">
        <f aca="false">+IF(R143&lt;=Q143,"NO","SI")</f>
        <v>NO</v>
      </c>
      <c r="T143" s="107" t="n">
        <f aca="false">+R143-Q143</f>
        <v>-10</v>
      </c>
      <c r="U143" s="85"/>
      <c r="V143" s="108"/>
      <c r="W143" s="82"/>
    </row>
    <row r="144" s="109" customFormat="true" ht="14.25" hidden="false" customHeight="false" outlineLevel="0" collapsed="false">
      <c r="A144" s="36"/>
      <c r="B144" s="51" t="s">
        <v>306</v>
      </c>
      <c r="C144" s="52" t="s">
        <v>480</v>
      </c>
      <c r="D144" s="53"/>
      <c r="E144" s="54" t="s">
        <v>481</v>
      </c>
      <c r="F144" s="55"/>
      <c r="G144" s="56"/>
      <c r="H144" s="57"/>
      <c r="I144" s="57"/>
      <c r="J144" s="57"/>
      <c r="K144" s="55"/>
      <c r="L144" s="55"/>
      <c r="M144" s="55"/>
      <c r="N144" s="55"/>
      <c r="O144" s="58"/>
      <c r="P144" s="55"/>
      <c r="Q144" s="55"/>
      <c r="R144" s="55"/>
      <c r="S144" s="55"/>
      <c r="T144" s="59"/>
      <c r="U144" s="55"/>
      <c r="V144" s="55"/>
      <c r="W144" s="55"/>
    </row>
    <row r="145" customFormat="false" ht="14.25" hidden="false" customHeight="false" outlineLevel="0" collapsed="false">
      <c r="B145" s="61" t="s">
        <v>309</v>
      </c>
      <c r="C145" s="62" t="s">
        <v>480</v>
      </c>
      <c r="D145" s="63"/>
      <c r="E145" s="64" t="s">
        <v>482</v>
      </c>
      <c r="F145" s="65"/>
      <c r="G145" s="66"/>
      <c r="H145" s="67"/>
      <c r="I145" s="67"/>
      <c r="J145" s="67"/>
      <c r="K145" s="65"/>
      <c r="L145" s="65"/>
      <c r="M145" s="65"/>
      <c r="N145" s="65"/>
      <c r="O145" s="68"/>
      <c r="P145" s="65"/>
      <c r="Q145" s="65"/>
      <c r="R145" s="65"/>
      <c r="S145" s="65"/>
      <c r="T145" s="69"/>
      <c r="U145" s="65"/>
      <c r="V145" s="65"/>
      <c r="W145" s="65"/>
    </row>
    <row r="146" s="41" customFormat="true" ht="28.5" hidden="true" customHeight="false" outlineLevel="0" collapsed="false">
      <c r="A146" s="36"/>
      <c r="B146" s="70" t="s">
        <v>1</v>
      </c>
      <c r="C146" s="71" t="s">
        <v>480</v>
      </c>
      <c r="D146" s="72" t="s">
        <v>483</v>
      </c>
      <c r="E146" s="73" t="s">
        <v>484</v>
      </c>
      <c r="F146" s="73" t="s">
        <v>264</v>
      </c>
      <c r="G146" s="74" t="s">
        <v>312</v>
      </c>
      <c r="H146" s="74" t="n">
        <v>1</v>
      </c>
      <c r="I146" s="74" t="n">
        <v>5</v>
      </c>
      <c r="J146" s="73" t="s">
        <v>261</v>
      </c>
      <c r="K146" s="74" t="s">
        <v>313</v>
      </c>
      <c r="L146" s="74" t="s">
        <v>485</v>
      </c>
      <c r="M146" s="74" t="s">
        <v>28</v>
      </c>
      <c r="N146" s="74"/>
      <c r="O146" s="75" t="n">
        <v>45945</v>
      </c>
      <c r="P146" s="74"/>
      <c r="Q146" s="74"/>
      <c r="R146" s="74"/>
      <c r="S146" s="74"/>
      <c r="T146" s="74"/>
      <c r="U146" s="74"/>
      <c r="V146" s="74"/>
      <c r="W146" s="74"/>
    </row>
    <row r="147" s="41" customFormat="true" ht="28.5" hidden="true" customHeight="false" outlineLevel="0" collapsed="false">
      <c r="A147" s="36"/>
      <c r="B147" s="70" t="s">
        <v>1</v>
      </c>
      <c r="C147" s="71" t="s">
        <v>480</v>
      </c>
      <c r="D147" s="72" t="s">
        <v>486</v>
      </c>
      <c r="E147" s="73" t="s">
        <v>484</v>
      </c>
      <c r="F147" s="73" t="s">
        <v>264</v>
      </c>
      <c r="G147" s="74" t="s">
        <v>312</v>
      </c>
      <c r="H147" s="74" t="n">
        <v>1</v>
      </c>
      <c r="I147" s="74" t="n">
        <v>5</v>
      </c>
      <c r="J147" s="73" t="s">
        <v>261</v>
      </c>
      <c r="K147" s="74" t="s">
        <v>313</v>
      </c>
      <c r="L147" s="74" t="s">
        <v>485</v>
      </c>
      <c r="M147" s="74" t="s">
        <v>28</v>
      </c>
      <c r="N147" s="74"/>
      <c r="O147" s="75" t="n">
        <v>45945</v>
      </c>
      <c r="P147" s="74"/>
      <c r="Q147" s="74"/>
      <c r="R147" s="74"/>
      <c r="S147" s="74"/>
      <c r="T147" s="74"/>
      <c r="U147" s="74"/>
      <c r="V147" s="74"/>
      <c r="W147" s="74"/>
    </row>
    <row r="148" s="41" customFormat="true" ht="28.5" hidden="true" customHeight="false" outlineLevel="0" collapsed="false">
      <c r="A148" s="36"/>
      <c r="B148" s="70" t="s">
        <v>1</v>
      </c>
      <c r="C148" s="71" t="s">
        <v>480</v>
      </c>
      <c r="D148" s="72" t="s">
        <v>487</v>
      </c>
      <c r="E148" s="73" t="s">
        <v>484</v>
      </c>
      <c r="F148" s="73" t="s">
        <v>264</v>
      </c>
      <c r="G148" s="74" t="s">
        <v>312</v>
      </c>
      <c r="H148" s="74" t="n">
        <v>1</v>
      </c>
      <c r="I148" s="74" t="n">
        <v>5</v>
      </c>
      <c r="J148" s="73" t="s">
        <v>261</v>
      </c>
      <c r="K148" s="74" t="s">
        <v>313</v>
      </c>
      <c r="L148" s="74" t="s">
        <v>485</v>
      </c>
      <c r="M148" s="74" t="s">
        <v>28</v>
      </c>
      <c r="N148" s="74"/>
      <c r="O148" s="75" t="n">
        <v>45945</v>
      </c>
      <c r="P148" s="74"/>
      <c r="Q148" s="74"/>
      <c r="R148" s="74"/>
      <c r="S148" s="74"/>
      <c r="T148" s="74"/>
      <c r="U148" s="74"/>
      <c r="V148" s="74"/>
      <c r="W148" s="74"/>
    </row>
    <row r="149" s="41" customFormat="true" ht="28.5" hidden="true" customHeight="false" outlineLevel="0" collapsed="false">
      <c r="A149" s="36"/>
      <c r="B149" s="70" t="s">
        <v>1</v>
      </c>
      <c r="C149" s="71" t="s">
        <v>480</v>
      </c>
      <c r="D149" s="72" t="s">
        <v>488</v>
      </c>
      <c r="E149" s="73" t="s">
        <v>484</v>
      </c>
      <c r="F149" s="73" t="s">
        <v>264</v>
      </c>
      <c r="G149" s="74" t="s">
        <v>312</v>
      </c>
      <c r="H149" s="74" t="n">
        <v>1</v>
      </c>
      <c r="I149" s="74" t="n">
        <v>5</v>
      </c>
      <c r="J149" s="73" t="s">
        <v>261</v>
      </c>
      <c r="K149" s="74" t="s">
        <v>313</v>
      </c>
      <c r="L149" s="74" t="s">
        <v>485</v>
      </c>
      <c r="M149" s="74" t="s">
        <v>28</v>
      </c>
      <c r="N149" s="74"/>
      <c r="O149" s="75" t="n">
        <v>45945</v>
      </c>
      <c r="P149" s="74"/>
      <c r="Q149" s="74"/>
      <c r="R149" s="74"/>
      <c r="S149" s="74"/>
      <c r="T149" s="74"/>
      <c r="U149" s="74"/>
      <c r="V149" s="74"/>
      <c r="W149" s="74"/>
    </row>
    <row r="150" s="41" customFormat="true" ht="28.5" hidden="true" customHeight="false" outlineLevel="0" collapsed="false">
      <c r="A150" s="36"/>
      <c r="B150" s="70" t="s">
        <v>1</v>
      </c>
      <c r="C150" s="71" t="s">
        <v>480</v>
      </c>
      <c r="D150" s="72" t="s">
        <v>489</v>
      </c>
      <c r="E150" s="73" t="s">
        <v>484</v>
      </c>
      <c r="F150" s="73" t="s">
        <v>264</v>
      </c>
      <c r="G150" s="74" t="s">
        <v>312</v>
      </c>
      <c r="H150" s="74" t="n">
        <v>1</v>
      </c>
      <c r="I150" s="74" t="n">
        <v>5</v>
      </c>
      <c r="J150" s="73" t="s">
        <v>261</v>
      </c>
      <c r="K150" s="74" t="s">
        <v>313</v>
      </c>
      <c r="L150" s="74" t="s">
        <v>485</v>
      </c>
      <c r="M150" s="74" t="s">
        <v>28</v>
      </c>
      <c r="N150" s="74"/>
      <c r="O150" s="75" t="n">
        <v>45945</v>
      </c>
      <c r="P150" s="74"/>
      <c r="Q150" s="74"/>
      <c r="R150" s="74"/>
      <c r="S150" s="74"/>
      <c r="T150" s="74"/>
      <c r="U150" s="74"/>
      <c r="V150" s="74"/>
      <c r="W150" s="74"/>
    </row>
    <row r="151" s="41" customFormat="true" ht="28.5" hidden="true" customHeight="false" outlineLevel="0" collapsed="false">
      <c r="A151" s="36"/>
      <c r="B151" s="70" t="s">
        <v>1</v>
      </c>
      <c r="C151" s="71" t="s">
        <v>480</v>
      </c>
      <c r="D151" s="72" t="s">
        <v>490</v>
      </c>
      <c r="E151" s="73" t="s">
        <v>484</v>
      </c>
      <c r="F151" s="73" t="s">
        <v>264</v>
      </c>
      <c r="G151" s="74" t="s">
        <v>312</v>
      </c>
      <c r="H151" s="74" t="n">
        <v>1</v>
      </c>
      <c r="I151" s="74" t="n">
        <v>5</v>
      </c>
      <c r="J151" s="73" t="s">
        <v>261</v>
      </c>
      <c r="K151" s="74" t="s">
        <v>313</v>
      </c>
      <c r="L151" s="74" t="s">
        <v>485</v>
      </c>
      <c r="M151" s="74" t="s">
        <v>28</v>
      </c>
      <c r="N151" s="74"/>
      <c r="O151" s="75" t="n">
        <v>45945</v>
      </c>
      <c r="P151" s="74"/>
      <c r="Q151" s="74"/>
      <c r="R151" s="74"/>
      <c r="S151" s="74"/>
      <c r="T151" s="74"/>
      <c r="U151" s="74"/>
      <c r="V151" s="74"/>
      <c r="W151" s="74"/>
    </row>
    <row r="152" customFormat="false" ht="14.25" hidden="false" customHeight="false" outlineLevel="0" collapsed="false">
      <c r="B152" s="61" t="s">
        <v>309</v>
      </c>
      <c r="C152" s="62" t="s">
        <v>480</v>
      </c>
      <c r="D152" s="63"/>
      <c r="E152" s="64" t="s">
        <v>491</v>
      </c>
      <c r="F152" s="65"/>
      <c r="G152" s="66"/>
      <c r="H152" s="67"/>
      <c r="I152" s="67"/>
      <c r="J152" s="67"/>
      <c r="K152" s="65"/>
      <c r="L152" s="65"/>
      <c r="M152" s="65"/>
      <c r="N152" s="65"/>
      <c r="O152" s="68"/>
      <c r="P152" s="65"/>
      <c r="Q152" s="65"/>
      <c r="R152" s="65"/>
      <c r="S152" s="65"/>
      <c r="T152" s="69"/>
      <c r="U152" s="65"/>
      <c r="V152" s="65"/>
      <c r="W152" s="65"/>
    </row>
    <row r="153" s="41" customFormat="true" ht="14.25" hidden="false" customHeight="false" outlineLevel="0" collapsed="false">
      <c r="A153" s="36"/>
      <c r="B153" s="70" t="s">
        <v>1</v>
      </c>
      <c r="C153" s="71" t="s">
        <v>480</v>
      </c>
      <c r="D153" s="72" t="s">
        <v>492</v>
      </c>
      <c r="E153" s="73" t="s">
        <v>493</v>
      </c>
      <c r="F153" s="73" t="s">
        <v>264</v>
      </c>
      <c r="G153" s="74" t="s">
        <v>312</v>
      </c>
      <c r="H153" s="74" t="n">
        <v>1</v>
      </c>
      <c r="I153" s="74" t="n">
        <v>5</v>
      </c>
      <c r="J153" s="73" t="s">
        <v>261</v>
      </c>
      <c r="K153" s="74" t="s">
        <v>3</v>
      </c>
      <c r="L153" s="74" t="s">
        <v>494</v>
      </c>
      <c r="M153" s="74" t="s">
        <v>8</v>
      </c>
      <c r="N153" s="74" t="s">
        <v>495</v>
      </c>
      <c r="O153" s="75" t="n">
        <v>46114</v>
      </c>
      <c r="P153" s="74"/>
      <c r="Q153" s="71" t="n">
        <v>46153</v>
      </c>
      <c r="R153" s="71" t="n">
        <v>46169</v>
      </c>
      <c r="S153" s="71" t="str">
        <f aca="false">+IF(R153&lt;=Q153,"NO","SI")</f>
        <v>SI</v>
      </c>
      <c r="T153" s="78" t="n">
        <f aca="false">+R153-Q153</f>
        <v>16</v>
      </c>
      <c r="U153" s="74"/>
      <c r="V153" s="74"/>
      <c r="W153" s="71"/>
    </row>
    <row r="154" s="41" customFormat="true" ht="14.25" hidden="false" customHeight="false" outlineLevel="0" collapsed="false">
      <c r="A154" s="36"/>
      <c r="B154" s="70" t="s">
        <v>1</v>
      </c>
      <c r="C154" s="71" t="s">
        <v>480</v>
      </c>
      <c r="D154" s="72" t="s">
        <v>496</v>
      </c>
      <c r="E154" s="73" t="s">
        <v>493</v>
      </c>
      <c r="F154" s="73" t="s">
        <v>264</v>
      </c>
      <c r="G154" s="74" t="s">
        <v>312</v>
      </c>
      <c r="H154" s="74" t="n">
        <v>1</v>
      </c>
      <c r="I154" s="74" t="n">
        <v>5</v>
      </c>
      <c r="J154" s="73" t="s">
        <v>261</v>
      </c>
      <c r="K154" s="74" t="s">
        <v>3</v>
      </c>
      <c r="L154" s="74" t="s">
        <v>494</v>
      </c>
      <c r="M154" s="74" t="s">
        <v>8</v>
      </c>
      <c r="N154" s="74" t="s">
        <v>495</v>
      </c>
      <c r="O154" s="75" t="n">
        <v>46114</v>
      </c>
      <c r="P154" s="74"/>
      <c r="Q154" s="71" t="n">
        <v>46153</v>
      </c>
      <c r="R154" s="71" t="n">
        <v>46169</v>
      </c>
      <c r="S154" s="71" t="str">
        <f aca="false">+IF(R154&lt;=Q154,"NO","SI")</f>
        <v>SI</v>
      </c>
      <c r="T154" s="78" t="n">
        <f aca="false">+R154-Q154</f>
        <v>16</v>
      </c>
      <c r="U154" s="74"/>
      <c r="V154" s="74"/>
      <c r="W154" s="71"/>
    </row>
    <row r="155" s="41" customFormat="true" ht="14.25" hidden="false" customHeight="false" outlineLevel="0" collapsed="false">
      <c r="A155" s="36"/>
      <c r="B155" s="70" t="s">
        <v>1</v>
      </c>
      <c r="C155" s="71" t="s">
        <v>480</v>
      </c>
      <c r="D155" s="72" t="s">
        <v>497</v>
      </c>
      <c r="E155" s="73" t="s">
        <v>493</v>
      </c>
      <c r="F155" s="73" t="s">
        <v>264</v>
      </c>
      <c r="G155" s="74" t="s">
        <v>312</v>
      </c>
      <c r="H155" s="74" t="n">
        <v>1</v>
      </c>
      <c r="I155" s="74" t="n">
        <v>5</v>
      </c>
      <c r="J155" s="73" t="s">
        <v>261</v>
      </c>
      <c r="K155" s="74" t="s">
        <v>3</v>
      </c>
      <c r="L155" s="74" t="s">
        <v>494</v>
      </c>
      <c r="M155" s="74" t="s">
        <v>8</v>
      </c>
      <c r="N155" s="74" t="s">
        <v>495</v>
      </c>
      <c r="O155" s="75" t="n">
        <v>46114</v>
      </c>
      <c r="P155" s="74"/>
      <c r="Q155" s="71" t="n">
        <v>46153</v>
      </c>
      <c r="R155" s="71" t="n">
        <v>46169</v>
      </c>
      <c r="S155" s="71" t="str">
        <f aca="false">+IF(R155&lt;=Q155,"NO","SI")</f>
        <v>SI</v>
      </c>
      <c r="T155" s="78" t="n">
        <f aca="false">+R155-Q155</f>
        <v>16</v>
      </c>
      <c r="U155" s="74"/>
      <c r="V155" s="74"/>
      <c r="W155" s="71"/>
    </row>
    <row r="156" s="41" customFormat="true" ht="14.25" hidden="false" customHeight="false" outlineLevel="0" collapsed="false">
      <c r="A156" s="36"/>
      <c r="B156" s="70" t="s">
        <v>1</v>
      </c>
      <c r="C156" s="71" t="s">
        <v>480</v>
      </c>
      <c r="D156" s="72" t="s">
        <v>498</v>
      </c>
      <c r="E156" s="73" t="s">
        <v>493</v>
      </c>
      <c r="F156" s="73" t="s">
        <v>264</v>
      </c>
      <c r="G156" s="74" t="s">
        <v>312</v>
      </c>
      <c r="H156" s="74" t="n">
        <v>1</v>
      </c>
      <c r="I156" s="74" t="n">
        <v>5</v>
      </c>
      <c r="J156" s="73" t="s">
        <v>261</v>
      </c>
      <c r="K156" s="74" t="s">
        <v>3</v>
      </c>
      <c r="L156" s="74" t="s">
        <v>494</v>
      </c>
      <c r="M156" s="74" t="s">
        <v>8</v>
      </c>
      <c r="N156" s="74" t="s">
        <v>495</v>
      </c>
      <c r="O156" s="75" t="n">
        <v>46114</v>
      </c>
      <c r="P156" s="74"/>
      <c r="Q156" s="71" t="n">
        <v>46153</v>
      </c>
      <c r="R156" s="71" t="n">
        <v>46169</v>
      </c>
      <c r="S156" s="71" t="str">
        <f aca="false">+IF(R156&lt;=Q156,"NO","SI")</f>
        <v>SI</v>
      </c>
      <c r="T156" s="78" t="n">
        <f aca="false">+R156-Q156</f>
        <v>16</v>
      </c>
      <c r="U156" s="74"/>
      <c r="V156" s="74"/>
      <c r="W156" s="71"/>
    </row>
    <row r="157" s="41" customFormat="true" ht="14.25" hidden="false" customHeight="false" outlineLevel="0" collapsed="false">
      <c r="A157" s="36"/>
      <c r="B157" s="70" t="s">
        <v>1</v>
      </c>
      <c r="C157" s="71" t="s">
        <v>480</v>
      </c>
      <c r="D157" s="72" t="s">
        <v>499</v>
      </c>
      <c r="E157" s="73" t="s">
        <v>500</v>
      </c>
      <c r="F157" s="73" t="s">
        <v>264</v>
      </c>
      <c r="G157" s="74" t="s">
        <v>312</v>
      </c>
      <c r="H157" s="74" t="n">
        <v>1</v>
      </c>
      <c r="I157" s="74" t="n">
        <v>5</v>
      </c>
      <c r="J157" s="73" t="s">
        <v>261</v>
      </c>
      <c r="K157" s="74" t="s">
        <v>3</v>
      </c>
      <c r="L157" s="74" t="s">
        <v>494</v>
      </c>
      <c r="M157" s="74" t="s">
        <v>8</v>
      </c>
      <c r="N157" s="74" t="s">
        <v>495</v>
      </c>
      <c r="O157" s="75" t="n">
        <v>46114</v>
      </c>
      <c r="P157" s="74"/>
      <c r="Q157" s="71" t="n">
        <v>46153</v>
      </c>
      <c r="R157" s="71" t="n">
        <v>46169</v>
      </c>
      <c r="S157" s="71" t="str">
        <f aca="false">+IF(R157&lt;=Q157,"NO","SI")</f>
        <v>SI</v>
      </c>
      <c r="T157" s="78" t="n">
        <f aca="false">+R157-Q157</f>
        <v>16</v>
      </c>
      <c r="U157" s="74"/>
      <c r="V157" s="74"/>
      <c r="W157" s="71"/>
    </row>
    <row r="158" s="41" customFormat="true" ht="14.25" hidden="false" customHeight="false" outlineLevel="0" collapsed="false">
      <c r="A158" s="36"/>
      <c r="B158" s="70" t="s">
        <v>1</v>
      </c>
      <c r="C158" s="71" t="s">
        <v>480</v>
      </c>
      <c r="D158" s="72" t="s">
        <v>501</v>
      </c>
      <c r="E158" s="73" t="s">
        <v>500</v>
      </c>
      <c r="F158" s="73" t="s">
        <v>264</v>
      </c>
      <c r="G158" s="74" t="s">
        <v>312</v>
      </c>
      <c r="H158" s="74" t="n">
        <v>1</v>
      </c>
      <c r="I158" s="74" t="n">
        <v>5</v>
      </c>
      <c r="J158" s="73" t="s">
        <v>261</v>
      </c>
      <c r="K158" s="74" t="s">
        <v>3</v>
      </c>
      <c r="L158" s="74" t="s">
        <v>494</v>
      </c>
      <c r="M158" s="74" t="s">
        <v>8</v>
      </c>
      <c r="N158" s="74" t="s">
        <v>495</v>
      </c>
      <c r="O158" s="75" t="n">
        <v>46114</v>
      </c>
      <c r="P158" s="74"/>
      <c r="Q158" s="71" t="n">
        <v>46153</v>
      </c>
      <c r="R158" s="71" t="n">
        <v>46169</v>
      </c>
      <c r="S158" s="71" t="str">
        <f aca="false">+IF(R158&lt;=Q158,"NO","SI")</f>
        <v>SI</v>
      </c>
      <c r="T158" s="78" t="n">
        <f aca="false">+R158-Q158</f>
        <v>16</v>
      </c>
      <c r="U158" s="74"/>
      <c r="V158" s="74"/>
      <c r="W158" s="71"/>
    </row>
    <row r="159" s="41" customFormat="true" ht="14.25" hidden="false" customHeight="false" outlineLevel="0" collapsed="false">
      <c r="A159" s="36"/>
      <c r="B159" s="70" t="s">
        <v>1</v>
      </c>
      <c r="C159" s="71" t="s">
        <v>480</v>
      </c>
      <c r="D159" s="72" t="s">
        <v>502</v>
      </c>
      <c r="E159" s="73" t="s">
        <v>503</v>
      </c>
      <c r="F159" s="73" t="s">
        <v>264</v>
      </c>
      <c r="G159" s="74" t="s">
        <v>312</v>
      </c>
      <c r="H159" s="74" t="n">
        <v>1</v>
      </c>
      <c r="I159" s="74" t="n">
        <v>5</v>
      </c>
      <c r="J159" s="73" t="s">
        <v>261</v>
      </c>
      <c r="K159" s="74" t="s">
        <v>3</v>
      </c>
      <c r="L159" s="74" t="s">
        <v>504</v>
      </c>
      <c r="M159" s="74" t="s">
        <v>8</v>
      </c>
      <c r="N159" s="74" t="s">
        <v>495</v>
      </c>
      <c r="O159" s="75" t="n">
        <v>46114</v>
      </c>
      <c r="P159" s="74"/>
      <c r="Q159" s="71" t="n">
        <v>46202</v>
      </c>
      <c r="R159" s="71" t="n">
        <v>46205</v>
      </c>
      <c r="S159" s="71" t="str">
        <f aca="false">+IF(R159&lt;=Q159,"NO","SI")</f>
        <v>SI</v>
      </c>
      <c r="T159" s="78" t="n">
        <f aca="false">+R159-Q159</f>
        <v>3</v>
      </c>
      <c r="U159" s="74"/>
      <c r="V159" s="74"/>
      <c r="W159" s="71"/>
    </row>
    <row r="160" s="41" customFormat="true" ht="14.25" hidden="false" customHeight="false" outlineLevel="0" collapsed="false">
      <c r="A160" s="36"/>
      <c r="B160" s="70" t="s">
        <v>1</v>
      </c>
      <c r="C160" s="71" t="s">
        <v>480</v>
      </c>
      <c r="D160" s="72" t="s">
        <v>505</v>
      </c>
      <c r="E160" s="73" t="s">
        <v>503</v>
      </c>
      <c r="F160" s="73" t="s">
        <v>264</v>
      </c>
      <c r="G160" s="74" t="s">
        <v>312</v>
      </c>
      <c r="H160" s="74" t="n">
        <v>1</v>
      </c>
      <c r="I160" s="74" t="n">
        <v>5</v>
      </c>
      <c r="J160" s="73" t="s">
        <v>261</v>
      </c>
      <c r="K160" s="74" t="s">
        <v>3</v>
      </c>
      <c r="L160" s="74" t="s">
        <v>504</v>
      </c>
      <c r="M160" s="74" t="s">
        <v>8</v>
      </c>
      <c r="N160" s="74" t="s">
        <v>495</v>
      </c>
      <c r="O160" s="75" t="n">
        <v>46114</v>
      </c>
      <c r="P160" s="74"/>
      <c r="Q160" s="71" t="n">
        <v>46202</v>
      </c>
      <c r="R160" s="71" t="n">
        <v>46230</v>
      </c>
      <c r="S160" s="71" t="str">
        <f aca="false">+IF(R160&lt;=Q160,"NO","SI")</f>
        <v>SI</v>
      </c>
      <c r="T160" s="78" t="n">
        <f aca="false">+R160-Q160</f>
        <v>28</v>
      </c>
      <c r="U160" s="74"/>
      <c r="V160" s="74"/>
      <c r="W160" s="71"/>
    </row>
    <row r="161" s="41" customFormat="true" ht="28.5" hidden="false" customHeight="false" outlineLevel="0" collapsed="false">
      <c r="A161" s="36"/>
      <c r="B161" s="70" t="s">
        <v>1</v>
      </c>
      <c r="C161" s="71" t="s">
        <v>480</v>
      </c>
      <c r="D161" s="72" t="s">
        <v>506</v>
      </c>
      <c r="E161" s="73" t="s">
        <v>507</v>
      </c>
      <c r="F161" s="73" t="s">
        <v>264</v>
      </c>
      <c r="G161" s="74" t="s">
        <v>312</v>
      </c>
      <c r="H161" s="74" t="n">
        <v>1</v>
      </c>
      <c r="I161" s="74" t="n">
        <v>5</v>
      </c>
      <c r="J161" s="73" t="s">
        <v>261</v>
      </c>
      <c r="K161" s="74" t="s">
        <v>3</v>
      </c>
      <c r="L161" s="74" t="s">
        <v>508</v>
      </c>
      <c r="M161" s="74" t="s">
        <v>10</v>
      </c>
      <c r="N161" s="74" t="s">
        <v>509</v>
      </c>
      <c r="O161" s="75"/>
      <c r="P161" s="74"/>
      <c r="Q161" s="71" t="n">
        <v>46188</v>
      </c>
      <c r="R161" s="71" t="n">
        <v>46190</v>
      </c>
      <c r="S161" s="71" t="str">
        <f aca="false">+IF(R161&lt;=Q161,"NO","SI")</f>
        <v>SI</v>
      </c>
      <c r="T161" s="78" t="n">
        <f aca="false">+R161-Q161</f>
        <v>2</v>
      </c>
      <c r="U161" s="74"/>
      <c r="V161" s="74"/>
      <c r="W161" s="71" t="s">
        <v>510</v>
      </c>
    </row>
    <row r="162" s="41" customFormat="true" ht="28.5" hidden="false" customHeight="false" outlineLevel="0" collapsed="false">
      <c r="A162" s="36"/>
      <c r="B162" s="70" t="s">
        <v>1</v>
      </c>
      <c r="C162" s="71" t="s">
        <v>480</v>
      </c>
      <c r="D162" s="72" t="s">
        <v>511</v>
      </c>
      <c r="E162" s="73" t="s">
        <v>507</v>
      </c>
      <c r="F162" s="73" t="s">
        <v>264</v>
      </c>
      <c r="G162" s="74" t="s">
        <v>312</v>
      </c>
      <c r="H162" s="74" t="n">
        <v>1</v>
      </c>
      <c r="I162" s="74" t="n">
        <v>5</v>
      </c>
      <c r="J162" s="73" t="s">
        <v>261</v>
      </c>
      <c r="K162" s="74" t="s">
        <v>3</v>
      </c>
      <c r="L162" s="74" t="s">
        <v>508</v>
      </c>
      <c r="M162" s="74" t="s">
        <v>10</v>
      </c>
      <c r="N162" s="74" t="s">
        <v>509</v>
      </c>
      <c r="O162" s="75"/>
      <c r="P162" s="74"/>
      <c r="Q162" s="71" t="n">
        <v>46188</v>
      </c>
      <c r="R162" s="71" t="n">
        <v>46190</v>
      </c>
      <c r="S162" s="71" t="str">
        <f aca="false">+IF(R162&lt;=Q162,"NO","SI")</f>
        <v>SI</v>
      </c>
      <c r="T162" s="78" t="n">
        <f aca="false">+R162-Q162</f>
        <v>2</v>
      </c>
      <c r="U162" s="74"/>
      <c r="V162" s="74"/>
      <c r="W162" s="71" t="s">
        <v>510</v>
      </c>
    </row>
    <row r="163" s="41" customFormat="true" ht="28.5" hidden="false" customHeight="false" outlineLevel="0" collapsed="false">
      <c r="A163" s="36"/>
      <c r="B163" s="70" t="s">
        <v>1</v>
      </c>
      <c r="C163" s="71" t="s">
        <v>480</v>
      </c>
      <c r="D163" s="72" t="s">
        <v>512</v>
      </c>
      <c r="E163" s="73" t="s">
        <v>507</v>
      </c>
      <c r="F163" s="73" t="s">
        <v>264</v>
      </c>
      <c r="G163" s="74" t="s">
        <v>312</v>
      </c>
      <c r="H163" s="74" t="n">
        <v>1</v>
      </c>
      <c r="I163" s="74" t="n">
        <v>5</v>
      </c>
      <c r="J163" s="73" t="s">
        <v>261</v>
      </c>
      <c r="K163" s="74" t="s">
        <v>3</v>
      </c>
      <c r="L163" s="74" t="s">
        <v>508</v>
      </c>
      <c r="M163" s="74" t="s">
        <v>10</v>
      </c>
      <c r="N163" s="74" t="s">
        <v>509</v>
      </c>
      <c r="O163" s="75"/>
      <c r="P163" s="74"/>
      <c r="Q163" s="71" t="n">
        <v>46188</v>
      </c>
      <c r="R163" s="71" t="n">
        <v>46205</v>
      </c>
      <c r="S163" s="71" t="str">
        <f aca="false">+IF(R163&lt;=Q163,"NO","SI")</f>
        <v>SI</v>
      </c>
      <c r="T163" s="78" t="n">
        <f aca="false">+R163-Q163</f>
        <v>17</v>
      </c>
      <c r="U163" s="74"/>
      <c r="V163" s="74"/>
      <c r="W163" s="71" t="s">
        <v>510</v>
      </c>
    </row>
    <row r="164" s="41" customFormat="true" ht="28.5" hidden="false" customHeight="false" outlineLevel="0" collapsed="false">
      <c r="A164" s="36"/>
      <c r="B164" s="70" t="s">
        <v>1</v>
      </c>
      <c r="C164" s="71" t="s">
        <v>480</v>
      </c>
      <c r="D164" s="72" t="s">
        <v>513</v>
      </c>
      <c r="E164" s="73" t="s">
        <v>507</v>
      </c>
      <c r="F164" s="73" t="s">
        <v>264</v>
      </c>
      <c r="G164" s="74" t="s">
        <v>312</v>
      </c>
      <c r="H164" s="74" t="n">
        <v>1</v>
      </c>
      <c r="I164" s="74" t="n">
        <v>5</v>
      </c>
      <c r="J164" s="73" t="s">
        <v>261</v>
      </c>
      <c r="K164" s="74" t="s">
        <v>3</v>
      </c>
      <c r="L164" s="74" t="s">
        <v>508</v>
      </c>
      <c r="M164" s="74" t="s">
        <v>10</v>
      </c>
      <c r="N164" s="74" t="s">
        <v>509</v>
      </c>
      <c r="O164" s="75"/>
      <c r="P164" s="74"/>
      <c r="Q164" s="71" t="n">
        <v>46188</v>
      </c>
      <c r="R164" s="71" t="n">
        <v>46205</v>
      </c>
      <c r="S164" s="71" t="str">
        <f aca="false">+IF(R164&lt;=Q164,"NO","SI")</f>
        <v>SI</v>
      </c>
      <c r="T164" s="78" t="n">
        <f aca="false">+R164-Q164</f>
        <v>17</v>
      </c>
      <c r="U164" s="74"/>
      <c r="V164" s="74"/>
      <c r="W164" s="71" t="s">
        <v>510</v>
      </c>
    </row>
    <row r="165" s="41" customFormat="true" ht="28.5" hidden="false" customHeight="false" outlineLevel="0" collapsed="false">
      <c r="A165" s="36"/>
      <c r="B165" s="70" t="s">
        <v>1</v>
      </c>
      <c r="C165" s="71" t="s">
        <v>480</v>
      </c>
      <c r="D165" s="72" t="s">
        <v>514</v>
      </c>
      <c r="E165" s="73" t="s">
        <v>507</v>
      </c>
      <c r="F165" s="73" t="s">
        <v>264</v>
      </c>
      <c r="G165" s="74" t="s">
        <v>312</v>
      </c>
      <c r="H165" s="74" t="n">
        <v>1</v>
      </c>
      <c r="I165" s="74" t="n">
        <v>5</v>
      </c>
      <c r="J165" s="73" t="s">
        <v>261</v>
      </c>
      <c r="K165" s="74" t="s">
        <v>3</v>
      </c>
      <c r="L165" s="74" t="s">
        <v>508</v>
      </c>
      <c r="M165" s="74" t="s">
        <v>10</v>
      </c>
      <c r="N165" s="74" t="s">
        <v>509</v>
      </c>
      <c r="O165" s="75"/>
      <c r="P165" s="74"/>
      <c r="Q165" s="71" t="n">
        <v>46188</v>
      </c>
      <c r="R165" s="71" t="n">
        <v>46220</v>
      </c>
      <c r="S165" s="71" t="str">
        <f aca="false">+IF(R165&lt;=Q165,"NO","SI")</f>
        <v>SI</v>
      </c>
      <c r="T165" s="78" t="n">
        <f aca="false">+R165-Q165</f>
        <v>32</v>
      </c>
      <c r="U165" s="74"/>
      <c r="V165" s="74"/>
      <c r="W165" s="71" t="s">
        <v>510</v>
      </c>
    </row>
    <row r="166" s="41" customFormat="true" ht="28.5" hidden="false" customHeight="false" outlineLevel="0" collapsed="false">
      <c r="A166" s="36"/>
      <c r="B166" s="70" t="s">
        <v>1</v>
      </c>
      <c r="C166" s="71" t="s">
        <v>480</v>
      </c>
      <c r="D166" s="72" t="s">
        <v>515</v>
      </c>
      <c r="E166" s="73" t="s">
        <v>507</v>
      </c>
      <c r="F166" s="73" t="s">
        <v>264</v>
      </c>
      <c r="G166" s="74" t="s">
        <v>312</v>
      </c>
      <c r="H166" s="74" t="n">
        <v>1</v>
      </c>
      <c r="I166" s="74" t="n">
        <v>5</v>
      </c>
      <c r="J166" s="73" t="s">
        <v>261</v>
      </c>
      <c r="K166" s="74" t="s">
        <v>3</v>
      </c>
      <c r="L166" s="74" t="s">
        <v>508</v>
      </c>
      <c r="M166" s="74" t="s">
        <v>10</v>
      </c>
      <c r="N166" s="74" t="s">
        <v>509</v>
      </c>
      <c r="O166" s="75"/>
      <c r="P166" s="74"/>
      <c r="Q166" s="71" t="n">
        <v>46188</v>
      </c>
      <c r="R166" s="71" t="n">
        <v>46220</v>
      </c>
      <c r="S166" s="71" t="str">
        <f aca="false">+IF(R166&lt;=Q166,"NO","SI")</f>
        <v>SI</v>
      </c>
      <c r="T166" s="78" t="n">
        <f aca="false">+R166-Q166</f>
        <v>32</v>
      </c>
      <c r="U166" s="74"/>
      <c r="V166" s="74"/>
      <c r="W166" s="71" t="s">
        <v>510</v>
      </c>
    </row>
    <row r="167" customFormat="false" ht="14.25" hidden="false" customHeight="false" outlineLevel="0" collapsed="false">
      <c r="B167" s="61" t="s">
        <v>309</v>
      </c>
      <c r="C167" s="62" t="s">
        <v>480</v>
      </c>
      <c r="D167" s="63"/>
      <c r="E167" s="64" t="s">
        <v>516</v>
      </c>
      <c r="F167" s="65"/>
      <c r="G167" s="66"/>
      <c r="H167" s="67"/>
      <c r="I167" s="67"/>
      <c r="J167" s="67"/>
      <c r="K167" s="65"/>
      <c r="L167" s="65"/>
      <c r="M167" s="65"/>
      <c r="N167" s="65"/>
      <c r="O167" s="68"/>
      <c r="P167" s="65"/>
      <c r="Q167" s="65"/>
      <c r="R167" s="65"/>
      <c r="S167" s="65"/>
      <c r="T167" s="69"/>
      <c r="U167" s="65"/>
      <c r="V167" s="65"/>
      <c r="W167" s="65"/>
    </row>
    <row r="168" customFormat="false" ht="14.25" hidden="true" customHeight="false" outlineLevel="0" collapsed="false">
      <c r="B168" s="70" t="s">
        <v>1</v>
      </c>
      <c r="C168" s="71" t="s">
        <v>480</v>
      </c>
      <c r="D168" s="72" t="s">
        <v>517</v>
      </c>
      <c r="E168" s="73" t="s">
        <v>518</v>
      </c>
      <c r="F168" s="73" t="s">
        <v>63</v>
      </c>
      <c r="G168" s="74" t="s">
        <v>312</v>
      </c>
      <c r="H168" s="74" t="n">
        <v>1</v>
      </c>
      <c r="I168" s="74" t="n">
        <v>5</v>
      </c>
      <c r="J168" s="73" t="s">
        <v>40</v>
      </c>
      <c r="K168" s="74" t="s">
        <v>313</v>
      </c>
      <c r="L168" s="74" t="s">
        <v>519</v>
      </c>
      <c r="M168" s="74"/>
      <c r="N168" s="74"/>
      <c r="O168" s="75" t="n">
        <v>46118</v>
      </c>
      <c r="P168" s="74"/>
      <c r="Q168" s="74"/>
      <c r="R168" s="74"/>
      <c r="S168" s="74"/>
      <c r="T168" s="74"/>
      <c r="U168" s="74"/>
      <c r="V168" s="74"/>
      <c r="W168" s="74"/>
    </row>
    <row r="169" customFormat="false" ht="14.25" hidden="true" customHeight="false" outlineLevel="0" collapsed="false">
      <c r="B169" s="70" t="s">
        <v>1</v>
      </c>
      <c r="C169" s="71" t="s">
        <v>480</v>
      </c>
      <c r="D169" s="72" t="s">
        <v>520</v>
      </c>
      <c r="E169" s="73" t="s">
        <v>518</v>
      </c>
      <c r="F169" s="73" t="s">
        <v>63</v>
      </c>
      <c r="G169" s="74" t="s">
        <v>312</v>
      </c>
      <c r="H169" s="74" t="n">
        <v>1</v>
      </c>
      <c r="I169" s="74" t="n">
        <v>5</v>
      </c>
      <c r="J169" s="73" t="s">
        <v>40</v>
      </c>
      <c r="K169" s="74" t="s">
        <v>313</v>
      </c>
      <c r="L169" s="74" t="s">
        <v>519</v>
      </c>
      <c r="M169" s="74"/>
      <c r="N169" s="74"/>
      <c r="O169" s="75" t="n">
        <v>46118</v>
      </c>
      <c r="P169" s="74"/>
      <c r="Q169" s="74"/>
      <c r="R169" s="74"/>
      <c r="S169" s="74"/>
      <c r="T169" s="74"/>
      <c r="U169" s="74"/>
      <c r="V169" s="74"/>
      <c r="W169" s="74"/>
    </row>
    <row r="170" customFormat="false" ht="14.25" hidden="true" customHeight="false" outlineLevel="0" collapsed="false">
      <c r="B170" s="70" t="s">
        <v>1</v>
      </c>
      <c r="C170" s="71" t="s">
        <v>480</v>
      </c>
      <c r="D170" s="72" t="s">
        <v>521</v>
      </c>
      <c r="E170" s="73" t="s">
        <v>518</v>
      </c>
      <c r="F170" s="73" t="s">
        <v>63</v>
      </c>
      <c r="G170" s="74" t="s">
        <v>312</v>
      </c>
      <c r="H170" s="74" t="n">
        <v>1</v>
      </c>
      <c r="I170" s="74" t="n">
        <v>5</v>
      </c>
      <c r="J170" s="73" t="s">
        <v>40</v>
      </c>
      <c r="K170" s="74" t="s">
        <v>313</v>
      </c>
      <c r="L170" s="74" t="s">
        <v>519</v>
      </c>
      <c r="M170" s="74"/>
      <c r="N170" s="74"/>
      <c r="O170" s="75" t="n">
        <v>46118</v>
      </c>
      <c r="P170" s="74"/>
      <c r="Q170" s="74"/>
      <c r="R170" s="74"/>
      <c r="S170" s="74"/>
      <c r="T170" s="74"/>
      <c r="U170" s="74"/>
      <c r="V170" s="74"/>
      <c r="W170" s="74"/>
    </row>
    <row r="171" customFormat="false" ht="14.25" hidden="true" customHeight="false" outlineLevel="0" collapsed="false">
      <c r="B171" s="70" t="s">
        <v>1</v>
      </c>
      <c r="C171" s="71" t="s">
        <v>480</v>
      </c>
      <c r="D171" s="72" t="s">
        <v>522</v>
      </c>
      <c r="E171" s="73" t="s">
        <v>518</v>
      </c>
      <c r="F171" s="73" t="s">
        <v>63</v>
      </c>
      <c r="G171" s="74" t="s">
        <v>312</v>
      </c>
      <c r="H171" s="74" t="n">
        <v>1</v>
      </c>
      <c r="I171" s="74" t="n">
        <v>5</v>
      </c>
      <c r="J171" s="73" t="s">
        <v>40</v>
      </c>
      <c r="K171" s="74" t="s">
        <v>313</v>
      </c>
      <c r="L171" s="74" t="s">
        <v>519</v>
      </c>
      <c r="M171" s="74"/>
      <c r="N171" s="74"/>
      <c r="O171" s="75" t="n">
        <v>46118</v>
      </c>
      <c r="P171" s="74"/>
      <c r="Q171" s="74"/>
      <c r="R171" s="74"/>
      <c r="S171" s="74"/>
      <c r="T171" s="74"/>
      <c r="U171" s="74"/>
      <c r="V171" s="74"/>
      <c r="W171" s="74"/>
    </row>
    <row r="172" customFormat="false" ht="14.25" hidden="true" customHeight="false" outlineLevel="0" collapsed="false">
      <c r="B172" s="70" t="s">
        <v>1</v>
      </c>
      <c r="C172" s="71" t="s">
        <v>480</v>
      </c>
      <c r="D172" s="72" t="s">
        <v>523</v>
      </c>
      <c r="E172" s="73" t="s">
        <v>518</v>
      </c>
      <c r="F172" s="73" t="s">
        <v>63</v>
      </c>
      <c r="G172" s="74" t="s">
        <v>312</v>
      </c>
      <c r="H172" s="74" t="n">
        <v>1</v>
      </c>
      <c r="I172" s="74" t="n">
        <v>5</v>
      </c>
      <c r="J172" s="73" t="s">
        <v>40</v>
      </c>
      <c r="K172" s="74" t="s">
        <v>313</v>
      </c>
      <c r="L172" s="74" t="s">
        <v>519</v>
      </c>
      <c r="M172" s="74"/>
      <c r="N172" s="74"/>
      <c r="O172" s="75" t="n">
        <v>46118</v>
      </c>
      <c r="P172" s="74"/>
      <c r="Q172" s="74"/>
      <c r="R172" s="74"/>
      <c r="S172" s="74"/>
      <c r="T172" s="74"/>
      <c r="U172" s="74"/>
      <c r="V172" s="74"/>
      <c r="W172" s="74"/>
    </row>
    <row r="173" customFormat="false" ht="14.25" hidden="true" customHeight="false" outlineLevel="0" collapsed="false">
      <c r="B173" s="70" t="s">
        <v>1</v>
      </c>
      <c r="C173" s="71" t="s">
        <v>480</v>
      </c>
      <c r="D173" s="72" t="s">
        <v>524</v>
      </c>
      <c r="E173" s="73" t="s">
        <v>518</v>
      </c>
      <c r="F173" s="73" t="s">
        <v>63</v>
      </c>
      <c r="G173" s="74" t="s">
        <v>312</v>
      </c>
      <c r="H173" s="74" t="n">
        <v>1</v>
      </c>
      <c r="I173" s="74" t="n">
        <v>5</v>
      </c>
      <c r="J173" s="73" t="s">
        <v>40</v>
      </c>
      <c r="K173" s="74" t="s">
        <v>313</v>
      </c>
      <c r="L173" s="74" t="s">
        <v>519</v>
      </c>
      <c r="M173" s="74"/>
      <c r="N173" s="74"/>
      <c r="O173" s="75" t="n">
        <v>46118</v>
      </c>
      <c r="P173" s="74"/>
      <c r="Q173" s="74"/>
      <c r="R173" s="74"/>
      <c r="S173" s="74"/>
      <c r="T173" s="74"/>
      <c r="U173" s="74"/>
      <c r="V173" s="74"/>
      <c r="W173" s="74"/>
    </row>
    <row r="174" customFormat="false" ht="14.25" hidden="true" customHeight="false" outlineLevel="0" collapsed="false">
      <c r="B174" s="70" t="s">
        <v>1</v>
      </c>
      <c r="C174" s="71" t="s">
        <v>480</v>
      </c>
      <c r="D174" s="72" t="s">
        <v>525</v>
      </c>
      <c r="E174" s="73" t="s">
        <v>518</v>
      </c>
      <c r="F174" s="73" t="s">
        <v>63</v>
      </c>
      <c r="G174" s="74" t="s">
        <v>312</v>
      </c>
      <c r="H174" s="74" t="n">
        <v>1</v>
      </c>
      <c r="I174" s="74" t="n">
        <v>5</v>
      </c>
      <c r="J174" s="73" t="s">
        <v>40</v>
      </c>
      <c r="K174" s="74" t="s">
        <v>313</v>
      </c>
      <c r="L174" s="74" t="s">
        <v>519</v>
      </c>
      <c r="M174" s="74"/>
      <c r="N174" s="74"/>
      <c r="O174" s="75" t="n">
        <v>46118</v>
      </c>
      <c r="P174" s="74"/>
      <c r="Q174" s="74"/>
      <c r="R174" s="74"/>
      <c r="S174" s="74"/>
      <c r="T174" s="74"/>
      <c r="U174" s="74"/>
      <c r="V174" s="74"/>
      <c r="W174" s="74"/>
    </row>
    <row r="175" customFormat="false" ht="14.25" hidden="true" customHeight="false" outlineLevel="0" collapsed="false">
      <c r="B175" s="70" t="s">
        <v>1</v>
      </c>
      <c r="C175" s="71" t="s">
        <v>480</v>
      </c>
      <c r="D175" s="72" t="s">
        <v>526</v>
      </c>
      <c r="E175" s="73" t="s">
        <v>518</v>
      </c>
      <c r="F175" s="73" t="s">
        <v>63</v>
      </c>
      <c r="G175" s="74" t="s">
        <v>312</v>
      </c>
      <c r="H175" s="74" t="n">
        <v>1</v>
      </c>
      <c r="I175" s="74" t="n">
        <v>5</v>
      </c>
      <c r="J175" s="73" t="s">
        <v>40</v>
      </c>
      <c r="K175" s="74" t="s">
        <v>313</v>
      </c>
      <c r="L175" s="74" t="s">
        <v>519</v>
      </c>
      <c r="M175" s="74"/>
      <c r="N175" s="74"/>
      <c r="O175" s="75" t="n">
        <v>46118</v>
      </c>
      <c r="P175" s="74"/>
      <c r="Q175" s="74"/>
      <c r="R175" s="74"/>
      <c r="S175" s="74"/>
      <c r="T175" s="74"/>
      <c r="U175" s="74"/>
      <c r="V175" s="74"/>
      <c r="W175" s="74"/>
    </row>
    <row r="176" customFormat="false" ht="14.25" hidden="true" customHeight="false" outlineLevel="0" collapsed="false">
      <c r="B176" s="70" t="s">
        <v>1</v>
      </c>
      <c r="C176" s="71" t="s">
        <v>480</v>
      </c>
      <c r="D176" s="72" t="s">
        <v>527</v>
      </c>
      <c r="E176" s="73" t="s">
        <v>518</v>
      </c>
      <c r="F176" s="73" t="s">
        <v>63</v>
      </c>
      <c r="G176" s="74" t="s">
        <v>312</v>
      </c>
      <c r="H176" s="74" t="n">
        <v>1</v>
      </c>
      <c r="I176" s="74" t="n">
        <v>5</v>
      </c>
      <c r="J176" s="73" t="s">
        <v>40</v>
      </c>
      <c r="K176" s="74" t="s">
        <v>313</v>
      </c>
      <c r="L176" s="74" t="s">
        <v>519</v>
      </c>
      <c r="M176" s="74"/>
      <c r="N176" s="74"/>
      <c r="O176" s="75" t="n">
        <v>46118</v>
      </c>
      <c r="P176" s="74"/>
      <c r="Q176" s="74"/>
      <c r="R176" s="74"/>
      <c r="S176" s="74"/>
      <c r="T176" s="74"/>
      <c r="U176" s="74"/>
      <c r="V176" s="74"/>
      <c r="W176" s="74"/>
    </row>
    <row r="177" customFormat="false" ht="14.25" hidden="true" customHeight="false" outlineLevel="0" collapsed="false">
      <c r="B177" s="70" t="s">
        <v>1</v>
      </c>
      <c r="C177" s="71" t="s">
        <v>480</v>
      </c>
      <c r="D177" s="72" t="s">
        <v>528</v>
      </c>
      <c r="E177" s="73" t="s">
        <v>518</v>
      </c>
      <c r="F177" s="73" t="s">
        <v>63</v>
      </c>
      <c r="G177" s="74" t="s">
        <v>312</v>
      </c>
      <c r="H177" s="74" t="n">
        <v>1</v>
      </c>
      <c r="I177" s="74" t="n">
        <v>5</v>
      </c>
      <c r="J177" s="73" t="s">
        <v>40</v>
      </c>
      <c r="K177" s="74" t="s">
        <v>313</v>
      </c>
      <c r="L177" s="74" t="s">
        <v>519</v>
      </c>
      <c r="M177" s="74"/>
      <c r="N177" s="74"/>
      <c r="O177" s="75" t="n">
        <v>46118</v>
      </c>
      <c r="P177" s="74"/>
      <c r="Q177" s="74"/>
      <c r="R177" s="74"/>
      <c r="S177" s="74"/>
      <c r="T177" s="74"/>
      <c r="U177" s="74"/>
      <c r="V177" s="74"/>
      <c r="W177" s="74"/>
    </row>
    <row r="178" customFormat="false" ht="14.25" hidden="true" customHeight="false" outlineLevel="0" collapsed="false">
      <c r="B178" s="70" t="s">
        <v>1</v>
      </c>
      <c r="C178" s="71" t="s">
        <v>480</v>
      </c>
      <c r="D178" s="72" t="s">
        <v>529</v>
      </c>
      <c r="E178" s="73" t="s">
        <v>518</v>
      </c>
      <c r="F178" s="73" t="s">
        <v>63</v>
      </c>
      <c r="G178" s="74" t="s">
        <v>312</v>
      </c>
      <c r="H178" s="74" t="n">
        <v>1</v>
      </c>
      <c r="I178" s="74" t="n">
        <v>5</v>
      </c>
      <c r="J178" s="73" t="s">
        <v>40</v>
      </c>
      <c r="K178" s="74" t="s">
        <v>313</v>
      </c>
      <c r="L178" s="74" t="s">
        <v>519</v>
      </c>
      <c r="M178" s="74"/>
      <c r="N178" s="74"/>
      <c r="O178" s="75" t="n">
        <v>46118</v>
      </c>
      <c r="P178" s="74"/>
      <c r="Q178" s="74"/>
      <c r="R178" s="74"/>
      <c r="S178" s="74"/>
      <c r="T178" s="74"/>
      <c r="U178" s="74"/>
      <c r="V178" s="74"/>
      <c r="W178" s="74"/>
    </row>
    <row r="179" customFormat="false" ht="14.25" hidden="true" customHeight="false" outlineLevel="0" collapsed="false">
      <c r="B179" s="70" t="s">
        <v>1</v>
      </c>
      <c r="C179" s="71" t="s">
        <v>480</v>
      </c>
      <c r="D179" s="72" t="s">
        <v>530</v>
      </c>
      <c r="E179" s="73" t="s">
        <v>518</v>
      </c>
      <c r="F179" s="73" t="s">
        <v>63</v>
      </c>
      <c r="G179" s="74" t="s">
        <v>312</v>
      </c>
      <c r="H179" s="74" t="n">
        <v>1</v>
      </c>
      <c r="I179" s="74" t="n">
        <v>5</v>
      </c>
      <c r="J179" s="73" t="s">
        <v>40</v>
      </c>
      <c r="K179" s="74" t="s">
        <v>313</v>
      </c>
      <c r="L179" s="74" t="s">
        <v>519</v>
      </c>
      <c r="M179" s="74"/>
      <c r="N179" s="74"/>
      <c r="O179" s="75" t="n">
        <v>46118</v>
      </c>
      <c r="P179" s="74"/>
      <c r="Q179" s="74"/>
      <c r="R179" s="74"/>
      <c r="S179" s="74"/>
      <c r="T179" s="74"/>
      <c r="U179" s="74"/>
      <c r="V179" s="74"/>
      <c r="W179" s="74"/>
    </row>
    <row r="180" customFormat="false" ht="14.25" hidden="true" customHeight="false" outlineLevel="0" collapsed="false">
      <c r="B180" s="70" t="s">
        <v>1</v>
      </c>
      <c r="C180" s="71" t="s">
        <v>480</v>
      </c>
      <c r="D180" s="72" t="s">
        <v>531</v>
      </c>
      <c r="E180" s="73" t="s">
        <v>518</v>
      </c>
      <c r="F180" s="73" t="s">
        <v>63</v>
      </c>
      <c r="G180" s="74" t="s">
        <v>312</v>
      </c>
      <c r="H180" s="74" t="n">
        <v>1</v>
      </c>
      <c r="I180" s="74" t="n">
        <v>5</v>
      </c>
      <c r="J180" s="73" t="s">
        <v>40</v>
      </c>
      <c r="K180" s="74" t="s">
        <v>313</v>
      </c>
      <c r="L180" s="74" t="s">
        <v>519</v>
      </c>
      <c r="M180" s="74"/>
      <c r="N180" s="74"/>
      <c r="O180" s="75" t="n">
        <v>46118</v>
      </c>
      <c r="P180" s="74"/>
      <c r="Q180" s="74"/>
      <c r="R180" s="74"/>
      <c r="S180" s="74"/>
      <c r="T180" s="74"/>
      <c r="U180" s="74"/>
      <c r="V180" s="74"/>
      <c r="W180" s="74"/>
    </row>
    <row r="181" customFormat="false" ht="14.25" hidden="true" customHeight="false" outlineLevel="0" collapsed="false">
      <c r="B181" s="70" t="s">
        <v>1</v>
      </c>
      <c r="C181" s="71" t="s">
        <v>480</v>
      </c>
      <c r="D181" s="72" t="s">
        <v>532</v>
      </c>
      <c r="E181" s="73" t="s">
        <v>518</v>
      </c>
      <c r="F181" s="73" t="s">
        <v>63</v>
      </c>
      <c r="G181" s="74" t="s">
        <v>312</v>
      </c>
      <c r="H181" s="74" t="n">
        <v>1</v>
      </c>
      <c r="I181" s="74" t="n">
        <v>5</v>
      </c>
      <c r="J181" s="73" t="s">
        <v>40</v>
      </c>
      <c r="K181" s="74" t="s">
        <v>313</v>
      </c>
      <c r="L181" s="74" t="s">
        <v>519</v>
      </c>
      <c r="M181" s="74"/>
      <c r="N181" s="74"/>
      <c r="O181" s="75" t="n">
        <v>46118</v>
      </c>
      <c r="P181" s="74"/>
      <c r="Q181" s="74"/>
      <c r="R181" s="74"/>
      <c r="S181" s="74"/>
      <c r="T181" s="74"/>
      <c r="U181" s="74"/>
      <c r="V181" s="74"/>
      <c r="W181" s="74"/>
    </row>
    <row r="182" customFormat="false" ht="14.25" hidden="true" customHeight="false" outlineLevel="0" collapsed="false">
      <c r="B182" s="70" t="s">
        <v>1</v>
      </c>
      <c r="C182" s="71" t="s">
        <v>480</v>
      </c>
      <c r="D182" s="72" t="s">
        <v>533</v>
      </c>
      <c r="E182" s="73" t="s">
        <v>518</v>
      </c>
      <c r="F182" s="73" t="s">
        <v>63</v>
      </c>
      <c r="G182" s="74" t="s">
        <v>312</v>
      </c>
      <c r="H182" s="74" t="n">
        <v>1</v>
      </c>
      <c r="I182" s="74" t="n">
        <v>5</v>
      </c>
      <c r="J182" s="73" t="s">
        <v>40</v>
      </c>
      <c r="K182" s="74" t="s">
        <v>313</v>
      </c>
      <c r="L182" s="74" t="s">
        <v>519</v>
      </c>
      <c r="M182" s="74"/>
      <c r="N182" s="74"/>
      <c r="O182" s="75" t="n">
        <v>46118</v>
      </c>
      <c r="P182" s="74"/>
      <c r="Q182" s="74"/>
      <c r="R182" s="74"/>
      <c r="S182" s="74"/>
      <c r="T182" s="74"/>
      <c r="U182" s="74"/>
      <c r="V182" s="74"/>
      <c r="W182" s="74"/>
    </row>
    <row r="183" customFormat="false" ht="14.25" hidden="true" customHeight="false" outlineLevel="0" collapsed="false">
      <c r="B183" s="70" t="s">
        <v>1</v>
      </c>
      <c r="C183" s="71" t="s">
        <v>480</v>
      </c>
      <c r="D183" s="72" t="s">
        <v>534</v>
      </c>
      <c r="E183" s="73" t="s">
        <v>518</v>
      </c>
      <c r="F183" s="73" t="s">
        <v>63</v>
      </c>
      <c r="G183" s="74" t="s">
        <v>312</v>
      </c>
      <c r="H183" s="74" t="n">
        <v>1</v>
      </c>
      <c r="I183" s="74" t="n">
        <v>5</v>
      </c>
      <c r="J183" s="73" t="s">
        <v>40</v>
      </c>
      <c r="K183" s="74" t="s">
        <v>313</v>
      </c>
      <c r="L183" s="74" t="s">
        <v>519</v>
      </c>
      <c r="M183" s="74"/>
      <c r="N183" s="74"/>
      <c r="O183" s="75" t="n">
        <v>46118</v>
      </c>
      <c r="P183" s="74"/>
      <c r="Q183" s="74"/>
      <c r="R183" s="74"/>
      <c r="S183" s="74"/>
      <c r="T183" s="74"/>
      <c r="U183" s="74"/>
      <c r="V183" s="74"/>
      <c r="W183" s="74"/>
    </row>
    <row r="184" customFormat="false" ht="14.25" hidden="true" customHeight="false" outlineLevel="0" collapsed="false">
      <c r="B184" s="70" t="s">
        <v>1</v>
      </c>
      <c r="C184" s="71" t="s">
        <v>480</v>
      </c>
      <c r="D184" s="72" t="s">
        <v>535</v>
      </c>
      <c r="E184" s="73" t="s">
        <v>518</v>
      </c>
      <c r="F184" s="73" t="s">
        <v>63</v>
      </c>
      <c r="G184" s="74" t="s">
        <v>312</v>
      </c>
      <c r="H184" s="74" t="n">
        <v>1</v>
      </c>
      <c r="I184" s="74" t="n">
        <v>5</v>
      </c>
      <c r="J184" s="73" t="s">
        <v>40</v>
      </c>
      <c r="K184" s="74" t="s">
        <v>313</v>
      </c>
      <c r="L184" s="74" t="s">
        <v>519</v>
      </c>
      <c r="M184" s="74"/>
      <c r="N184" s="74"/>
      <c r="O184" s="75" t="n">
        <v>46118</v>
      </c>
      <c r="P184" s="74"/>
      <c r="Q184" s="74"/>
      <c r="R184" s="74"/>
      <c r="S184" s="74"/>
      <c r="T184" s="74"/>
      <c r="U184" s="74"/>
      <c r="V184" s="74"/>
      <c r="W184" s="74"/>
    </row>
    <row r="185" customFormat="false" ht="14.25" hidden="true" customHeight="false" outlineLevel="0" collapsed="false">
      <c r="B185" s="70" t="s">
        <v>1</v>
      </c>
      <c r="C185" s="71" t="s">
        <v>480</v>
      </c>
      <c r="D185" s="72" t="s">
        <v>536</v>
      </c>
      <c r="E185" s="73" t="s">
        <v>518</v>
      </c>
      <c r="F185" s="73" t="s">
        <v>63</v>
      </c>
      <c r="G185" s="74" t="s">
        <v>312</v>
      </c>
      <c r="H185" s="74" t="n">
        <v>1</v>
      </c>
      <c r="I185" s="74" t="n">
        <v>5</v>
      </c>
      <c r="J185" s="73" t="s">
        <v>40</v>
      </c>
      <c r="K185" s="74" t="s">
        <v>313</v>
      </c>
      <c r="L185" s="74" t="s">
        <v>519</v>
      </c>
      <c r="M185" s="74"/>
      <c r="N185" s="74"/>
      <c r="O185" s="75" t="n">
        <v>46118</v>
      </c>
      <c r="P185" s="74"/>
      <c r="Q185" s="74"/>
      <c r="R185" s="74"/>
      <c r="S185" s="74"/>
      <c r="T185" s="74"/>
      <c r="U185" s="74"/>
      <c r="V185" s="74"/>
      <c r="W185" s="74"/>
    </row>
    <row r="186" customFormat="false" ht="14.25" hidden="true" customHeight="false" outlineLevel="0" collapsed="false">
      <c r="B186" s="70" t="s">
        <v>1</v>
      </c>
      <c r="C186" s="71" t="s">
        <v>480</v>
      </c>
      <c r="D186" s="72" t="s">
        <v>537</v>
      </c>
      <c r="E186" s="73" t="s">
        <v>518</v>
      </c>
      <c r="F186" s="73" t="s">
        <v>63</v>
      </c>
      <c r="G186" s="74" t="s">
        <v>312</v>
      </c>
      <c r="H186" s="74" t="n">
        <v>1</v>
      </c>
      <c r="I186" s="74" t="n">
        <v>5</v>
      </c>
      <c r="J186" s="73" t="s">
        <v>40</v>
      </c>
      <c r="K186" s="74" t="s">
        <v>313</v>
      </c>
      <c r="L186" s="74" t="s">
        <v>519</v>
      </c>
      <c r="M186" s="74"/>
      <c r="N186" s="74"/>
      <c r="O186" s="75" t="n">
        <v>46118</v>
      </c>
      <c r="P186" s="74"/>
      <c r="Q186" s="74"/>
      <c r="R186" s="74"/>
      <c r="S186" s="74"/>
      <c r="T186" s="74"/>
      <c r="U186" s="74"/>
      <c r="V186" s="74"/>
      <c r="W186" s="74"/>
    </row>
    <row r="187" customFormat="false" ht="14.25" hidden="true" customHeight="false" outlineLevel="0" collapsed="false">
      <c r="B187" s="70" t="s">
        <v>1</v>
      </c>
      <c r="C187" s="71" t="s">
        <v>480</v>
      </c>
      <c r="D187" s="72" t="s">
        <v>538</v>
      </c>
      <c r="E187" s="73" t="s">
        <v>539</v>
      </c>
      <c r="F187" s="73" t="s">
        <v>84</v>
      </c>
      <c r="G187" s="74" t="s">
        <v>312</v>
      </c>
      <c r="H187" s="74" t="n">
        <v>1</v>
      </c>
      <c r="I187" s="74" t="n">
        <v>5</v>
      </c>
      <c r="J187" s="73" t="s">
        <v>77</v>
      </c>
      <c r="K187" s="74" t="s">
        <v>313</v>
      </c>
      <c r="L187" s="74" t="s">
        <v>341</v>
      </c>
      <c r="M187" s="74" t="s">
        <v>540</v>
      </c>
      <c r="N187" s="74"/>
      <c r="O187" s="75" t="n">
        <v>45905</v>
      </c>
      <c r="P187" s="74"/>
      <c r="Q187" s="74"/>
      <c r="R187" s="74"/>
      <c r="S187" s="74"/>
      <c r="T187" s="74"/>
      <c r="U187" s="74"/>
      <c r="V187" s="74"/>
      <c r="W187" s="74"/>
    </row>
    <row r="188" customFormat="false" ht="14.25" hidden="true" customHeight="false" outlineLevel="0" collapsed="false">
      <c r="B188" s="70" t="s">
        <v>1</v>
      </c>
      <c r="C188" s="71" t="s">
        <v>480</v>
      </c>
      <c r="D188" s="72" t="s">
        <v>541</v>
      </c>
      <c r="E188" s="73" t="s">
        <v>539</v>
      </c>
      <c r="F188" s="73" t="s">
        <v>80</v>
      </c>
      <c r="G188" s="74" t="s">
        <v>312</v>
      </c>
      <c r="H188" s="74" t="n">
        <v>1</v>
      </c>
      <c r="I188" s="74" t="n">
        <v>5</v>
      </c>
      <c r="J188" s="73" t="s">
        <v>77</v>
      </c>
      <c r="K188" s="74" t="s">
        <v>313</v>
      </c>
      <c r="L188" s="74" t="s">
        <v>341</v>
      </c>
      <c r="M188" s="74" t="s">
        <v>540</v>
      </c>
      <c r="N188" s="74"/>
      <c r="O188" s="75" t="n">
        <v>45905</v>
      </c>
      <c r="P188" s="74"/>
      <c r="Q188" s="74"/>
      <c r="R188" s="74"/>
      <c r="S188" s="74"/>
      <c r="T188" s="74"/>
      <c r="U188" s="74"/>
      <c r="V188" s="74"/>
      <c r="W188" s="74"/>
    </row>
    <row r="189" customFormat="false" ht="14.25" hidden="true" customHeight="false" outlineLevel="0" collapsed="false">
      <c r="B189" s="70" t="s">
        <v>1</v>
      </c>
      <c r="C189" s="71" t="s">
        <v>480</v>
      </c>
      <c r="D189" s="72" t="s">
        <v>542</v>
      </c>
      <c r="E189" s="73" t="s">
        <v>539</v>
      </c>
      <c r="F189" s="73" t="s">
        <v>92</v>
      </c>
      <c r="G189" s="74" t="s">
        <v>312</v>
      </c>
      <c r="H189" s="74" t="n">
        <v>1</v>
      </c>
      <c r="I189" s="74" t="n">
        <v>5</v>
      </c>
      <c r="J189" s="73" t="s">
        <v>77</v>
      </c>
      <c r="K189" s="74" t="s">
        <v>313</v>
      </c>
      <c r="L189" s="74" t="s">
        <v>341</v>
      </c>
      <c r="M189" s="74" t="s">
        <v>540</v>
      </c>
      <c r="N189" s="74"/>
      <c r="O189" s="75" t="n">
        <v>45905</v>
      </c>
      <c r="P189" s="74"/>
      <c r="Q189" s="74"/>
      <c r="R189" s="74"/>
      <c r="S189" s="74"/>
      <c r="T189" s="74"/>
      <c r="U189" s="74"/>
      <c r="V189" s="74"/>
      <c r="W189" s="74"/>
    </row>
    <row r="190" customFormat="false" ht="14.25" hidden="true" customHeight="false" outlineLevel="0" collapsed="false">
      <c r="B190" s="70" t="s">
        <v>1</v>
      </c>
      <c r="C190" s="71" t="s">
        <v>480</v>
      </c>
      <c r="D190" s="72" t="s">
        <v>543</v>
      </c>
      <c r="E190" s="73" t="s">
        <v>539</v>
      </c>
      <c r="F190" s="73" t="s">
        <v>88</v>
      </c>
      <c r="G190" s="74" t="s">
        <v>312</v>
      </c>
      <c r="H190" s="74" t="n">
        <v>1</v>
      </c>
      <c r="I190" s="74" t="n">
        <v>5</v>
      </c>
      <c r="J190" s="73" t="s">
        <v>77</v>
      </c>
      <c r="K190" s="74" t="s">
        <v>313</v>
      </c>
      <c r="L190" s="74" t="s">
        <v>341</v>
      </c>
      <c r="M190" s="74" t="s">
        <v>540</v>
      </c>
      <c r="N190" s="74"/>
      <c r="O190" s="75" t="n">
        <v>45905</v>
      </c>
      <c r="P190" s="74"/>
      <c r="Q190" s="74"/>
      <c r="R190" s="74"/>
      <c r="S190" s="74"/>
      <c r="T190" s="74"/>
      <c r="U190" s="74"/>
      <c r="V190" s="74"/>
      <c r="W190" s="74"/>
    </row>
    <row r="191" customFormat="false" ht="14.25" hidden="true" customHeight="false" outlineLevel="0" collapsed="false">
      <c r="B191" s="70" t="s">
        <v>1</v>
      </c>
      <c r="C191" s="71" t="s">
        <v>480</v>
      </c>
      <c r="D191" s="72" t="s">
        <v>544</v>
      </c>
      <c r="E191" s="73" t="s">
        <v>539</v>
      </c>
      <c r="F191" s="73" t="s">
        <v>82</v>
      </c>
      <c r="G191" s="74" t="s">
        <v>312</v>
      </c>
      <c r="H191" s="74" t="n">
        <v>1</v>
      </c>
      <c r="I191" s="74" t="n">
        <v>5</v>
      </c>
      <c r="J191" s="73" t="s">
        <v>77</v>
      </c>
      <c r="K191" s="74" t="s">
        <v>313</v>
      </c>
      <c r="L191" s="74" t="s">
        <v>341</v>
      </c>
      <c r="M191" s="74" t="s">
        <v>540</v>
      </c>
      <c r="N191" s="74"/>
      <c r="O191" s="75" t="n">
        <v>45905</v>
      </c>
      <c r="P191" s="74"/>
      <c r="Q191" s="74"/>
      <c r="R191" s="74"/>
      <c r="S191" s="74"/>
      <c r="T191" s="74"/>
      <c r="U191" s="74"/>
      <c r="V191" s="74"/>
      <c r="W191" s="74"/>
    </row>
    <row r="192" customFormat="false" ht="14.25" hidden="true" customHeight="false" outlineLevel="0" collapsed="false">
      <c r="B192" s="70" t="s">
        <v>1</v>
      </c>
      <c r="C192" s="71" t="s">
        <v>480</v>
      </c>
      <c r="D192" s="72" t="s">
        <v>545</v>
      </c>
      <c r="E192" s="73" t="s">
        <v>539</v>
      </c>
      <c r="F192" s="73" t="s">
        <v>78</v>
      </c>
      <c r="G192" s="74" t="s">
        <v>312</v>
      </c>
      <c r="H192" s="74" t="n">
        <v>1</v>
      </c>
      <c r="I192" s="74" t="n">
        <v>5</v>
      </c>
      <c r="J192" s="73" t="s">
        <v>77</v>
      </c>
      <c r="K192" s="74" t="s">
        <v>313</v>
      </c>
      <c r="L192" s="74" t="s">
        <v>341</v>
      </c>
      <c r="M192" s="74" t="s">
        <v>540</v>
      </c>
      <c r="N192" s="74"/>
      <c r="O192" s="75" t="n">
        <v>45905</v>
      </c>
      <c r="P192" s="74"/>
      <c r="Q192" s="74"/>
      <c r="R192" s="74"/>
      <c r="S192" s="74"/>
      <c r="T192" s="74"/>
      <c r="U192" s="74"/>
      <c r="V192" s="74"/>
      <c r="W192" s="74"/>
    </row>
    <row r="193" customFormat="false" ht="14.25" hidden="true" customHeight="false" outlineLevel="0" collapsed="false">
      <c r="B193" s="70" t="s">
        <v>1</v>
      </c>
      <c r="C193" s="71" t="s">
        <v>480</v>
      </c>
      <c r="D193" s="72" t="s">
        <v>546</v>
      </c>
      <c r="E193" s="73" t="s">
        <v>539</v>
      </c>
      <c r="F193" s="73" t="s">
        <v>90</v>
      </c>
      <c r="G193" s="74" t="s">
        <v>312</v>
      </c>
      <c r="H193" s="74" t="n">
        <v>1</v>
      </c>
      <c r="I193" s="74" t="n">
        <v>5</v>
      </c>
      <c r="J193" s="73" t="s">
        <v>77</v>
      </c>
      <c r="K193" s="74" t="s">
        <v>313</v>
      </c>
      <c r="L193" s="74" t="s">
        <v>341</v>
      </c>
      <c r="M193" s="74" t="s">
        <v>540</v>
      </c>
      <c r="N193" s="74"/>
      <c r="O193" s="75" t="n">
        <v>45905</v>
      </c>
      <c r="P193" s="74"/>
      <c r="Q193" s="74"/>
      <c r="R193" s="74"/>
      <c r="S193" s="74"/>
      <c r="T193" s="74"/>
      <c r="U193" s="74"/>
      <c r="V193" s="74"/>
      <c r="W193" s="74"/>
    </row>
    <row r="194" customFormat="false" ht="28.5" hidden="true" customHeight="false" outlineLevel="0" collapsed="false">
      <c r="B194" s="70" t="s">
        <v>1</v>
      </c>
      <c r="C194" s="71" t="s">
        <v>480</v>
      </c>
      <c r="D194" s="72" t="s">
        <v>547</v>
      </c>
      <c r="E194" s="73" t="s">
        <v>539</v>
      </c>
      <c r="F194" s="73" t="s">
        <v>86</v>
      </c>
      <c r="G194" s="74" t="s">
        <v>312</v>
      </c>
      <c r="H194" s="74" t="n">
        <v>1</v>
      </c>
      <c r="I194" s="74" t="n">
        <v>5</v>
      </c>
      <c r="J194" s="73" t="s">
        <v>77</v>
      </c>
      <c r="K194" s="74" t="s">
        <v>313</v>
      </c>
      <c r="L194" s="74" t="s">
        <v>341</v>
      </c>
      <c r="M194" s="74" t="s">
        <v>548</v>
      </c>
      <c r="N194" s="74"/>
      <c r="O194" s="75" t="n">
        <v>45905</v>
      </c>
      <c r="P194" s="74"/>
      <c r="Q194" s="74"/>
      <c r="R194" s="74"/>
      <c r="S194" s="74"/>
      <c r="T194" s="74"/>
      <c r="U194" s="74"/>
      <c r="V194" s="74"/>
      <c r="W194" s="74"/>
    </row>
    <row r="195" customFormat="false" ht="14.25" hidden="true" customHeight="false" outlineLevel="0" collapsed="false">
      <c r="B195" s="70" t="s">
        <v>1</v>
      </c>
      <c r="C195" s="71" t="s">
        <v>480</v>
      </c>
      <c r="D195" s="72" t="s">
        <v>549</v>
      </c>
      <c r="E195" s="73" t="s">
        <v>539</v>
      </c>
      <c r="F195" s="73" t="s">
        <v>69</v>
      </c>
      <c r="G195" s="74" t="s">
        <v>312</v>
      </c>
      <c r="H195" s="74" t="n">
        <v>1</v>
      </c>
      <c r="I195" s="74" t="n">
        <v>5</v>
      </c>
      <c r="J195" s="73" t="s">
        <v>40</v>
      </c>
      <c r="K195" s="74" t="s">
        <v>313</v>
      </c>
      <c r="L195" s="74" t="s">
        <v>341</v>
      </c>
      <c r="M195" s="74" t="s">
        <v>540</v>
      </c>
      <c r="N195" s="74"/>
      <c r="O195" s="75" t="n">
        <v>45879</v>
      </c>
      <c r="P195" s="74"/>
      <c r="Q195" s="74"/>
      <c r="R195" s="74"/>
      <c r="S195" s="74"/>
      <c r="T195" s="74"/>
      <c r="U195" s="74"/>
      <c r="V195" s="74"/>
      <c r="W195" s="74"/>
    </row>
    <row r="196" customFormat="false" ht="14.25" hidden="true" customHeight="false" outlineLevel="0" collapsed="false">
      <c r="B196" s="70" t="s">
        <v>1</v>
      </c>
      <c r="C196" s="71" t="s">
        <v>480</v>
      </c>
      <c r="D196" s="72" t="s">
        <v>550</v>
      </c>
      <c r="E196" s="73" t="s">
        <v>539</v>
      </c>
      <c r="F196" s="73" t="s">
        <v>69</v>
      </c>
      <c r="G196" s="74" t="s">
        <v>312</v>
      </c>
      <c r="H196" s="74" t="n">
        <v>1</v>
      </c>
      <c r="I196" s="74" t="n">
        <v>5</v>
      </c>
      <c r="J196" s="73" t="s">
        <v>40</v>
      </c>
      <c r="K196" s="74" t="s">
        <v>313</v>
      </c>
      <c r="L196" s="74" t="s">
        <v>341</v>
      </c>
      <c r="M196" s="74" t="s">
        <v>540</v>
      </c>
      <c r="N196" s="74"/>
      <c r="O196" s="75" t="n">
        <v>45879</v>
      </c>
      <c r="P196" s="74"/>
      <c r="Q196" s="74"/>
      <c r="R196" s="74"/>
      <c r="S196" s="74"/>
      <c r="T196" s="74"/>
      <c r="U196" s="74"/>
      <c r="V196" s="74"/>
      <c r="W196" s="74"/>
    </row>
    <row r="197" customFormat="false" ht="14.25" hidden="true" customHeight="false" outlineLevel="0" collapsed="false">
      <c r="B197" s="70" t="s">
        <v>1</v>
      </c>
      <c r="C197" s="71" t="s">
        <v>480</v>
      </c>
      <c r="D197" s="72" t="s">
        <v>551</v>
      </c>
      <c r="E197" s="73" t="s">
        <v>539</v>
      </c>
      <c r="F197" s="73" t="s">
        <v>71</v>
      </c>
      <c r="G197" s="74" t="s">
        <v>312</v>
      </c>
      <c r="H197" s="74" t="n">
        <v>1</v>
      </c>
      <c r="I197" s="74" t="n">
        <v>5</v>
      </c>
      <c r="J197" s="73" t="s">
        <v>40</v>
      </c>
      <c r="K197" s="74" t="s">
        <v>313</v>
      </c>
      <c r="L197" s="74" t="s">
        <v>341</v>
      </c>
      <c r="M197" s="74" t="s">
        <v>540</v>
      </c>
      <c r="N197" s="74"/>
      <c r="O197" s="75" t="n">
        <v>45879</v>
      </c>
      <c r="P197" s="74"/>
      <c r="Q197" s="74"/>
      <c r="R197" s="74"/>
      <c r="S197" s="74"/>
      <c r="T197" s="74"/>
      <c r="U197" s="74"/>
      <c r="V197" s="74"/>
      <c r="W197" s="74"/>
    </row>
    <row r="198" customFormat="false" ht="14.25" hidden="true" customHeight="false" outlineLevel="0" collapsed="false">
      <c r="B198" s="70" t="s">
        <v>1</v>
      </c>
      <c r="C198" s="71" t="s">
        <v>480</v>
      </c>
      <c r="D198" s="72" t="s">
        <v>552</v>
      </c>
      <c r="E198" s="73" t="s">
        <v>539</v>
      </c>
      <c r="F198" s="73" t="s">
        <v>71</v>
      </c>
      <c r="G198" s="74" t="s">
        <v>312</v>
      </c>
      <c r="H198" s="74" t="n">
        <v>1</v>
      </c>
      <c r="I198" s="74" t="n">
        <v>5</v>
      </c>
      <c r="J198" s="73" t="s">
        <v>40</v>
      </c>
      <c r="K198" s="74" t="s">
        <v>313</v>
      </c>
      <c r="L198" s="74" t="s">
        <v>341</v>
      </c>
      <c r="M198" s="74" t="s">
        <v>540</v>
      </c>
      <c r="N198" s="74"/>
      <c r="O198" s="75" t="n">
        <v>45879</v>
      </c>
      <c r="P198" s="74"/>
      <c r="Q198" s="74"/>
      <c r="R198" s="74"/>
      <c r="S198" s="74"/>
      <c r="T198" s="74"/>
      <c r="U198" s="74"/>
      <c r="V198" s="74"/>
      <c r="W198" s="74"/>
    </row>
    <row r="199" customFormat="false" ht="14.25" hidden="true" customHeight="false" outlineLevel="0" collapsed="false">
      <c r="B199" s="70" t="s">
        <v>1</v>
      </c>
      <c r="C199" s="71" t="s">
        <v>480</v>
      </c>
      <c r="D199" s="72" t="s">
        <v>553</v>
      </c>
      <c r="E199" s="73" t="s">
        <v>539</v>
      </c>
      <c r="F199" s="73" t="s">
        <v>73</v>
      </c>
      <c r="G199" s="74" t="s">
        <v>312</v>
      </c>
      <c r="H199" s="74" t="n">
        <v>1</v>
      </c>
      <c r="I199" s="74" t="n">
        <v>5</v>
      </c>
      <c r="J199" s="73" t="s">
        <v>40</v>
      </c>
      <c r="K199" s="74" t="s">
        <v>313</v>
      </c>
      <c r="L199" s="74" t="s">
        <v>341</v>
      </c>
      <c r="M199" s="74" t="s">
        <v>540</v>
      </c>
      <c r="N199" s="74"/>
      <c r="O199" s="75" t="n">
        <v>45879</v>
      </c>
      <c r="P199" s="74"/>
      <c r="Q199" s="74"/>
      <c r="R199" s="74"/>
      <c r="S199" s="74"/>
      <c r="T199" s="74"/>
      <c r="U199" s="74"/>
      <c r="V199" s="74"/>
      <c r="W199" s="74"/>
    </row>
    <row r="200" customFormat="false" ht="14.25" hidden="true" customHeight="false" outlineLevel="0" collapsed="false">
      <c r="B200" s="70" t="s">
        <v>1</v>
      </c>
      <c r="C200" s="71" t="s">
        <v>480</v>
      </c>
      <c r="D200" s="72" t="s">
        <v>554</v>
      </c>
      <c r="E200" s="73" t="s">
        <v>539</v>
      </c>
      <c r="F200" s="73" t="s">
        <v>73</v>
      </c>
      <c r="G200" s="74" t="s">
        <v>312</v>
      </c>
      <c r="H200" s="74" t="n">
        <v>1</v>
      </c>
      <c r="I200" s="74" t="n">
        <v>5</v>
      </c>
      <c r="J200" s="73" t="s">
        <v>40</v>
      </c>
      <c r="K200" s="74" t="s">
        <v>313</v>
      </c>
      <c r="L200" s="74" t="s">
        <v>341</v>
      </c>
      <c r="M200" s="74" t="s">
        <v>540</v>
      </c>
      <c r="N200" s="74"/>
      <c r="O200" s="75" t="n">
        <v>45879</v>
      </c>
      <c r="P200" s="74"/>
      <c r="Q200" s="74"/>
      <c r="R200" s="74"/>
      <c r="S200" s="74"/>
      <c r="T200" s="74"/>
      <c r="U200" s="74"/>
      <c r="V200" s="74"/>
      <c r="W200" s="74"/>
    </row>
    <row r="201" customFormat="false" ht="14.25" hidden="false" customHeight="false" outlineLevel="0" collapsed="false">
      <c r="B201" s="61" t="s">
        <v>309</v>
      </c>
      <c r="C201" s="62" t="s">
        <v>480</v>
      </c>
      <c r="D201" s="63"/>
      <c r="E201" s="64" t="s">
        <v>555</v>
      </c>
      <c r="F201" s="65"/>
      <c r="G201" s="66"/>
      <c r="H201" s="67"/>
      <c r="I201" s="67"/>
      <c r="J201" s="67"/>
      <c r="K201" s="65"/>
      <c r="L201" s="65"/>
      <c r="M201" s="65"/>
      <c r="N201" s="65"/>
      <c r="O201" s="68"/>
      <c r="P201" s="65"/>
      <c r="Q201" s="65"/>
      <c r="R201" s="65"/>
      <c r="S201" s="65"/>
      <c r="T201" s="69"/>
      <c r="U201" s="65"/>
      <c r="V201" s="65"/>
      <c r="W201" s="65"/>
    </row>
    <row r="202" customFormat="false" ht="28.5" hidden="false" customHeight="false" outlineLevel="0" collapsed="false">
      <c r="B202" s="87" t="s">
        <v>1</v>
      </c>
      <c r="C202" s="88" t="s">
        <v>480</v>
      </c>
      <c r="D202" s="89" t="s">
        <v>556</v>
      </c>
      <c r="E202" s="90" t="s">
        <v>557</v>
      </c>
      <c r="F202" s="90" t="s">
        <v>267</v>
      </c>
      <c r="G202" s="91" t="s">
        <v>312</v>
      </c>
      <c r="H202" s="91" t="n">
        <v>1</v>
      </c>
      <c r="I202" s="91" t="n">
        <v>5</v>
      </c>
      <c r="J202" s="90" t="s">
        <v>266</v>
      </c>
      <c r="K202" s="91" t="s">
        <v>3</v>
      </c>
      <c r="L202" s="91" t="s">
        <v>558</v>
      </c>
      <c r="M202" s="91" t="s">
        <v>9</v>
      </c>
      <c r="N202" s="91" t="s">
        <v>509</v>
      </c>
      <c r="O202" s="110"/>
      <c r="P202" s="91"/>
      <c r="Q202" s="88" t="n">
        <v>46248</v>
      </c>
      <c r="R202" s="88" t="n">
        <v>46220</v>
      </c>
      <c r="S202" s="88" t="str">
        <f aca="false">+IF(R202&lt;=Q202,"NO","SI")</f>
        <v>NO</v>
      </c>
      <c r="T202" s="93" t="n">
        <f aca="false">+R202-Q202</f>
        <v>-28</v>
      </c>
      <c r="U202" s="91"/>
      <c r="V202" s="111"/>
      <c r="W202" s="88" t="s">
        <v>559</v>
      </c>
    </row>
    <row r="203" customFormat="false" ht="28.5" hidden="false" customHeight="false" outlineLevel="0" collapsed="false">
      <c r="B203" s="87" t="s">
        <v>1</v>
      </c>
      <c r="C203" s="88" t="s">
        <v>480</v>
      </c>
      <c r="D203" s="89" t="s">
        <v>560</v>
      </c>
      <c r="E203" s="90" t="s">
        <v>557</v>
      </c>
      <c r="F203" s="90" t="s">
        <v>267</v>
      </c>
      <c r="G203" s="91" t="s">
        <v>312</v>
      </c>
      <c r="H203" s="91" t="n">
        <v>1</v>
      </c>
      <c r="I203" s="91" t="n">
        <v>5</v>
      </c>
      <c r="J203" s="90" t="s">
        <v>266</v>
      </c>
      <c r="K203" s="91" t="s">
        <v>3</v>
      </c>
      <c r="L203" s="91" t="s">
        <v>558</v>
      </c>
      <c r="M203" s="91" t="s">
        <v>9</v>
      </c>
      <c r="N203" s="91" t="s">
        <v>509</v>
      </c>
      <c r="O203" s="110"/>
      <c r="P203" s="91"/>
      <c r="Q203" s="88" t="n">
        <v>46248</v>
      </c>
      <c r="R203" s="88" t="n">
        <v>46220</v>
      </c>
      <c r="S203" s="88" t="str">
        <f aca="false">+IF(R203&lt;=Q203,"NO","SI")</f>
        <v>NO</v>
      </c>
      <c r="T203" s="93" t="n">
        <f aca="false">+R203-Q203</f>
        <v>-28</v>
      </c>
      <c r="U203" s="91"/>
      <c r="V203" s="111"/>
      <c r="W203" s="88" t="s">
        <v>559</v>
      </c>
    </row>
    <row r="204" customFormat="false" ht="28.5" hidden="false" customHeight="false" outlineLevel="0" collapsed="false">
      <c r="B204" s="87" t="s">
        <v>1</v>
      </c>
      <c r="C204" s="88" t="s">
        <v>480</v>
      </c>
      <c r="D204" s="89" t="s">
        <v>561</v>
      </c>
      <c r="E204" s="90" t="s">
        <v>557</v>
      </c>
      <c r="F204" s="90" t="s">
        <v>267</v>
      </c>
      <c r="G204" s="91" t="s">
        <v>312</v>
      </c>
      <c r="H204" s="91" t="n">
        <v>1</v>
      </c>
      <c r="I204" s="91" t="n">
        <v>5</v>
      </c>
      <c r="J204" s="90" t="s">
        <v>266</v>
      </c>
      <c r="K204" s="91" t="s">
        <v>3</v>
      </c>
      <c r="L204" s="91" t="s">
        <v>558</v>
      </c>
      <c r="M204" s="91" t="s">
        <v>9</v>
      </c>
      <c r="N204" s="91" t="s">
        <v>509</v>
      </c>
      <c r="O204" s="110"/>
      <c r="P204" s="91"/>
      <c r="Q204" s="88" t="n">
        <v>46248</v>
      </c>
      <c r="R204" s="88" t="n">
        <v>46220</v>
      </c>
      <c r="S204" s="88" t="str">
        <f aca="false">+IF(R204&lt;=Q204,"NO","SI")</f>
        <v>NO</v>
      </c>
      <c r="T204" s="93" t="n">
        <f aca="false">+R204-Q204</f>
        <v>-28</v>
      </c>
      <c r="U204" s="91"/>
      <c r="V204" s="111"/>
      <c r="W204" s="88" t="s">
        <v>559</v>
      </c>
    </row>
    <row r="205" customFormat="false" ht="28.5" hidden="false" customHeight="false" outlineLevel="0" collapsed="false">
      <c r="B205" s="87" t="s">
        <v>1</v>
      </c>
      <c r="C205" s="88" t="s">
        <v>480</v>
      </c>
      <c r="D205" s="89" t="s">
        <v>562</v>
      </c>
      <c r="E205" s="90" t="s">
        <v>557</v>
      </c>
      <c r="F205" s="90" t="s">
        <v>267</v>
      </c>
      <c r="G205" s="91" t="s">
        <v>312</v>
      </c>
      <c r="H205" s="91" t="n">
        <v>1</v>
      </c>
      <c r="I205" s="91" t="n">
        <v>5</v>
      </c>
      <c r="J205" s="90" t="s">
        <v>266</v>
      </c>
      <c r="K205" s="91" t="s">
        <v>3</v>
      </c>
      <c r="L205" s="91" t="s">
        <v>558</v>
      </c>
      <c r="M205" s="91" t="s">
        <v>9</v>
      </c>
      <c r="N205" s="91" t="s">
        <v>509</v>
      </c>
      <c r="O205" s="110"/>
      <c r="P205" s="91"/>
      <c r="Q205" s="88" t="n">
        <v>46248</v>
      </c>
      <c r="R205" s="88" t="n">
        <v>46220</v>
      </c>
      <c r="S205" s="88" t="str">
        <f aca="false">+IF(R205&lt;=Q205,"NO","SI")</f>
        <v>NO</v>
      </c>
      <c r="T205" s="93" t="n">
        <f aca="false">+R205-Q205</f>
        <v>-28</v>
      </c>
      <c r="U205" s="91"/>
      <c r="V205" s="111"/>
      <c r="W205" s="88" t="s">
        <v>559</v>
      </c>
    </row>
    <row r="206" customFormat="false" ht="28.5" hidden="false" customHeight="false" outlineLevel="0" collapsed="false">
      <c r="B206" s="87" t="s">
        <v>1</v>
      </c>
      <c r="C206" s="88" t="s">
        <v>480</v>
      </c>
      <c r="D206" s="89" t="s">
        <v>563</v>
      </c>
      <c r="E206" s="90" t="s">
        <v>564</v>
      </c>
      <c r="F206" s="90" t="s">
        <v>202</v>
      </c>
      <c r="G206" s="91" t="s">
        <v>312</v>
      </c>
      <c r="H206" s="91" t="n">
        <v>1</v>
      </c>
      <c r="I206" s="91" t="n">
        <v>5</v>
      </c>
      <c r="J206" s="90" t="s">
        <v>113</v>
      </c>
      <c r="K206" s="91" t="s">
        <v>3</v>
      </c>
      <c r="L206" s="91" t="s">
        <v>558</v>
      </c>
      <c r="M206" s="91" t="s">
        <v>9</v>
      </c>
      <c r="N206" s="91" t="s">
        <v>509</v>
      </c>
      <c r="O206" s="110"/>
      <c r="P206" s="91"/>
      <c r="Q206" s="88" t="n">
        <v>46248</v>
      </c>
      <c r="R206" s="88" t="n">
        <v>46230</v>
      </c>
      <c r="S206" s="88" t="str">
        <f aca="false">+IF(R206&lt;=Q206,"NO","SI")</f>
        <v>NO</v>
      </c>
      <c r="T206" s="93" t="n">
        <f aca="false">+R206-Q206</f>
        <v>-18</v>
      </c>
      <c r="U206" s="91"/>
      <c r="V206" s="111"/>
      <c r="W206" s="88" t="s">
        <v>559</v>
      </c>
    </row>
    <row r="207" customFormat="false" ht="28.5" hidden="false" customHeight="false" outlineLevel="0" collapsed="false">
      <c r="B207" s="87" t="s">
        <v>1</v>
      </c>
      <c r="C207" s="88" t="s">
        <v>480</v>
      </c>
      <c r="D207" s="89" t="s">
        <v>565</v>
      </c>
      <c r="E207" s="90" t="s">
        <v>564</v>
      </c>
      <c r="F207" s="90" t="s">
        <v>202</v>
      </c>
      <c r="G207" s="91" t="s">
        <v>312</v>
      </c>
      <c r="H207" s="91" t="n">
        <v>1</v>
      </c>
      <c r="I207" s="91" t="n">
        <v>5</v>
      </c>
      <c r="J207" s="90" t="s">
        <v>113</v>
      </c>
      <c r="K207" s="91" t="s">
        <v>3</v>
      </c>
      <c r="L207" s="91" t="s">
        <v>558</v>
      </c>
      <c r="M207" s="91" t="s">
        <v>9</v>
      </c>
      <c r="N207" s="91" t="s">
        <v>509</v>
      </c>
      <c r="O207" s="110"/>
      <c r="P207" s="91"/>
      <c r="Q207" s="88" t="n">
        <v>46248</v>
      </c>
      <c r="R207" s="88" t="n">
        <v>46230</v>
      </c>
      <c r="S207" s="88" t="str">
        <f aca="false">+IF(R207&lt;=Q207,"NO","SI")</f>
        <v>NO</v>
      </c>
      <c r="T207" s="93" t="n">
        <f aca="false">+R207-Q207</f>
        <v>-18</v>
      </c>
      <c r="U207" s="91"/>
      <c r="V207" s="111"/>
      <c r="W207" s="88" t="s">
        <v>559</v>
      </c>
    </row>
    <row r="208" customFormat="false" ht="28.5" hidden="false" customHeight="false" outlineLevel="0" collapsed="false">
      <c r="B208" s="87" t="s">
        <v>1</v>
      </c>
      <c r="C208" s="88" t="s">
        <v>480</v>
      </c>
      <c r="D208" s="89" t="s">
        <v>566</v>
      </c>
      <c r="E208" s="90" t="s">
        <v>567</v>
      </c>
      <c r="F208" s="90" t="s">
        <v>192</v>
      </c>
      <c r="G208" s="91" t="s">
        <v>312</v>
      </c>
      <c r="H208" s="91" t="n">
        <v>1</v>
      </c>
      <c r="I208" s="91" t="n">
        <v>5</v>
      </c>
      <c r="J208" s="90" t="s">
        <v>113</v>
      </c>
      <c r="K208" s="91" t="s">
        <v>3</v>
      </c>
      <c r="L208" s="91" t="s">
        <v>558</v>
      </c>
      <c r="M208" s="91" t="s">
        <v>9</v>
      </c>
      <c r="N208" s="91" t="s">
        <v>509</v>
      </c>
      <c r="O208" s="110"/>
      <c r="P208" s="91"/>
      <c r="Q208" s="88" t="n">
        <v>46248</v>
      </c>
      <c r="R208" s="88" t="n">
        <v>46224</v>
      </c>
      <c r="S208" s="88" t="str">
        <f aca="false">+IF(R208&lt;=Q208,"NO","SI")</f>
        <v>NO</v>
      </c>
      <c r="T208" s="93" t="n">
        <f aca="false">+R208-Q208</f>
        <v>-24</v>
      </c>
      <c r="U208" s="91"/>
      <c r="V208" s="111"/>
      <c r="W208" s="88" t="s">
        <v>559</v>
      </c>
    </row>
    <row r="209" customFormat="false" ht="28.5" hidden="false" customHeight="false" outlineLevel="0" collapsed="false">
      <c r="B209" s="87" t="s">
        <v>1</v>
      </c>
      <c r="C209" s="88" t="s">
        <v>480</v>
      </c>
      <c r="D209" s="89" t="s">
        <v>568</v>
      </c>
      <c r="E209" s="90" t="s">
        <v>567</v>
      </c>
      <c r="F209" s="90" t="s">
        <v>192</v>
      </c>
      <c r="G209" s="91" t="s">
        <v>312</v>
      </c>
      <c r="H209" s="91" t="n">
        <v>1</v>
      </c>
      <c r="I209" s="91" t="n">
        <v>5</v>
      </c>
      <c r="J209" s="90" t="s">
        <v>113</v>
      </c>
      <c r="K209" s="91" t="s">
        <v>3</v>
      </c>
      <c r="L209" s="91" t="s">
        <v>558</v>
      </c>
      <c r="M209" s="91" t="s">
        <v>9</v>
      </c>
      <c r="N209" s="91" t="s">
        <v>509</v>
      </c>
      <c r="O209" s="110"/>
      <c r="P209" s="91"/>
      <c r="Q209" s="88" t="n">
        <v>46248</v>
      </c>
      <c r="R209" s="88" t="n">
        <v>46224</v>
      </c>
      <c r="S209" s="88" t="str">
        <f aca="false">+IF(R209&lt;=Q209,"NO","SI")</f>
        <v>NO</v>
      </c>
      <c r="T209" s="93" t="n">
        <f aca="false">+R209-Q209</f>
        <v>-24</v>
      </c>
      <c r="U209" s="91"/>
      <c r="V209" s="111"/>
      <c r="W209" s="88" t="s">
        <v>559</v>
      </c>
    </row>
    <row r="210" customFormat="false" ht="28.5" hidden="false" customHeight="false" outlineLevel="0" collapsed="false">
      <c r="B210" s="70" t="s">
        <v>1</v>
      </c>
      <c r="C210" s="71" t="s">
        <v>480</v>
      </c>
      <c r="D210" s="72" t="s">
        <v>569</v>
      </c>
      <c r="E210" s="73" t="s">
        <v>570</v>
      </c>
      <c r="F210" s="73" t="s">
        <v>45</v>
      </c>
      <c r="G210" s="74" t="s">
        <v>312</v>
      </c>
      <c r="H210" s="74" t="n">
        <v>1</v>
      </c>
      <c r="I210" s="74" t="n">
        <v>5</v>
      </c>
      <c r="J210" s="73" t="s">
        <v>41</v>
      </c>
      <c r="K210" s="74" t="s">
        <v>3</v>
      </c>
      <c r="L210" s="74"/>
      <c r="M210" s="74" t="s">
        <v>9</v>
      </c>
      <c r="N210" s="74" t="s">
        <v>509</v>
      </c>
      <c r="O210" s="75"/>
      <c r="P210" s="74"/>
      <c r="Q210" s="71" t="n">
        <v>46132</v>
      </c>
      <c r="R210" s="71" t="n">
        <v>46209</v>
      </c>
      <c r="S210" s="71" t="str">
        <f aca="false">+IF(R210&lt;=Q210,"NO","SI")</f>
        <v>SI</v>
      </c>
      <c r="T210" s="78" t="n">
        <f aca="false">+R210-Q210</f>
        <v>77</v>
      </c>
      <c r="U210" s="74"/>
      <c r="V210" s="74"/>
      <c r="W210" s="71"/>
    </row>
    <row r="211" customFormat="false" ht="28.5" hidden="false" customHeight="false" outlineLevel="0" collapsed="false">
      <c r="B211" s="70" t="s">
        <v>1</v>
      </c>
      <c r="C211" s="71" t="s">
        <v>480</v>
      </c>
      <c r="D211" s="72" t="s">
        <v>571</v>
      </c>
      <c r="E211" s="73" t="s">
        <v>570</v>
      </c>
      <c r="F211" s="73" t="s">
        <v>49</v>
      </c>
      <c r="G211" s="74" t="s">
        <v>312</v>
      </c>
      <c r="H211" s="74" t="n">
        <v>1</v>
      </c>
      <c r="I211" s="74" t="n">
        <v>5</v>
      </c>
      <c r="J211" s="73" t="s">
        <v>41</v>
      </c>
      <c r="K211" s="74" t="s">
        <v>3</v>
      </c>
      <c r="L211" s="74"/>
      <c r="M211" s="74" t="s">
        <v>9</v>
      </c>
      <c r="N211" s="74" t="s">
        <v>509</v>
      </c>
      <c r="O211" s="75"/>
      <c r="P211" s="74"/>
      <c r="Q211" s="71" t="n">
        <v>46132</v>
      </c>
      <c r="R211" s="71" t="n">
        <v>46212</v>
      </c>
      <c r="S211" s="71" t="str">
        <f aca="false">+IF(R211&lt;=Q211,"NO","SI")</f>
        <v>SI</v>
      </c>
      <c r="T211" s="78" t="n">
        <f aca="false">+R211-Q211</f>
        <v>80</v>
      </c>
      <c r="U211" s="74"/>
      <c r="V211" s="74"/>
      <c r="W211" s="71"/>
    </row>
    <row r="212" customFormat="false" ht="28.5" hidden="false" customHeight="false" outlineLevel="0" collapsed="false">
      <c r="B212" s="70" t="s">
        <v>1</v>
      </c>
      <c r="C212" s="71" t="s">
        <v>480</v>
      </c>
      <c r="D212" s="72" t="s">
        <v>572</v>
      </c>
      <c r="E212" s="73" t="s">
        <v>573</v>
      </c>
      <c r="F212" s="73" t="s">
        <v>280</v>
      </c>
      <c r="G212" s="74" t="s">
        <v>312</v>
      </c>
      <c r="H212" s="74" t="n">
        <v>1</v>
      </c>
      <c r="I212" s="74" t="n">
        <v>5</v>
      </c>
      <c r="J212" s="73" t="s">
        <v>277</v>
      </c>
      <c r="K212" s="74" t="s">
        <v>3</v>
      </c>
      <c r="L212" s="74"/>
      <c r="M212" s="74" t="s">
        <v>9</v>
      </c>
      <c r="N212" s="74" t="s">
        <v>509</v>
      </c>
      <c r="O212" s="75"/>
      <c r="P212" s="74"/>
      <c r="Q212" s="71" t="n">
        <v>46132</v>
      </c>
      <c r="R212" s="71" t="n">
        <v>46223</v>
      </c>
      <c r="S212" s="71" t="str">
        <f aca="false">+IF(R212&lt;=Q212,"NO","SI")</f>
        <v>SI</v>
      </c>
      <c r="T212" s="78" t="n">
        <f aca="false">+R212-Q212</f>
        <v>91</v>
      </c>
      <c r="U212" s="74"/>
      <c r="V212" s="74"/>
      <c r="W212" s="71"/>
    </row>
    <row r="213" s="41" customFormat="true" ht="28.5" hidden="false" customHeight="false" outlineLevel="0" collapsed="false">
      <c r="A213" s="36"/>
      <c r="B213" s="70" t="s">
        <v>1</v>
      </c>
      <c r="C213" s="71" t="s">
        <v>480</v>
      </c>
      <c r="D213" s="72" t="s">
        <v>574</v>
      </c>
      <c r="E213" s="73" t="s">
        <v>573</v>
      </c>
      <c r="F213" s="73" t="s">
        <v>264</v>
      </c>
      <c r="G213" s="74" t="s">
        <v>312</v>
      </c>
      <c r="H213" s="74" t="n">
        <v>1</v>
      </c>
      <c r="I213" s="74" t="n">
        <v>5</v>
      </c>
      <c r="J213" s="73" t="s">
        <v>261</v>
      </c>
      <c r="K213" s="74" t="s">
        <v>3</v>
      </c>
      <c r="L213" s="74"/>
      <c r="M213" s="74" t="s">
        <v>9</v>
      </c>
      <c r="N213" s="74" t="s">
        <v>509</v>
      </c>
      <c r="O213" s="75"/>
      <c r="P213" s="74"/>
      <c r="Q213" s="71" t="n">
        <v>46132</v>
      </c>
      <c r="R213" s="71" t="n">
        <v>46230</v>
      </c>
      <c r="S213" s="71" t="str">
        <f aca="false">+IF(R213&lt;=Q213,"NO","SI")</f>
        <v>SI</v>
      </c>
      <c r="T213" s="78" t="n">
        <f aca="false">+R213-Q213</f>
        <v>98</v>
      </c>
      <c r="U213" s="74"/>
      <c r="V213" s="74"/>
      <c r="W213" s="71"/>
    </row>
    <row r="214" s="80" customFormat="true" ht="14.25" hidden="false" customHeight="false" outlineLevel="0" collapsed="false">
      <c r="A214" s="36"/>
      <c r="B214" s="61" t="s">
        <v>309</v>
      </c>
      <c r="C214" s="62" t="s">
        <v>480</v>
      </c>
      <c r="D214" s="63"/>
      <c r="E214" s="64" t="s">
        <v>575</v>
      </c>
      <c r="F214" s="65"/>
      <c r="G214" s="66"/>
      <c r="H214" s="67"/>
      <c r="I214" s="67"/>
      <c r="J214" s="67"/>
      <c r="K214" s="65"/>
      <c r="L214" s="65"/>
      <c r="M214" s="65"/>
      <c r="N214" s="65"/>
      <c r="O214" s="68"/>
      <c r="P214" s="65"/>
      <c r="Q214" s="65"/>
      <c r="R214" s="65"/>
      <c r="S214" s="65"/>
      <c r="T214" s="69"/>
      <c r="U214" s="65"/>
      <c r="V214" s="65"/>
      <c r="W214" s="65"/>
    </row>
    <row r="215" customFormat="false" ht="28.5" hidden="false" customHeight="false" outlineLevel="0" collapsed="false">
      <c r="B215" s="70" t="s">
        <v>1</v>
      </c>
      <c r="C215" s="71" t="s">
        <v>480</v>
      </c>
      <c r="D215" s="72" t="s">
        <v>576</v>
      </c>
      <c r="E215" s="73" t="s">
        <v>577</v>
      </c>
      <c r="F215" s="73" t="s">
        <v>264</v>
      </c>
      <c r="G215" s="74" t="s">
        <v>312</v>
      </c>
      <c r="H215" s="74" t="n">
        <v>1</v>
      </c>
      <c r="I215" s="74" t="n">
        <v>5</v>
      </c>
      <c r="J215" s="73" t="s">
        <v>261</v>
      </c>
      <c r="K215" s="74" t="s">
        <v>3</v>
      </c>
      <c r="L215" s="74" t="s">
        <v>504</v>
      </c>
      <c r="M215" s="74" t="s">
        <v>9</v>
      </c>
      <c r="N215" s="74" t="s">
        <v>509</v>
      </c>
      <c r="O215" s="75"/>
      <c r="P215" s="74"/>
      <c r="Q215" s="71" t="n">
        <v>46167</v>
      </c>
      <c r="R215" s="71" t="n">
        <v>46169</v>
      </c>
      <c r="S215" s="71" t="str">
        <f aca="false">+IF(R215&lt;=Q215,"NO","SI")</f>
        <v>SI</v>
      </c>
      <c r="T215" s="78" t="n">
        <f aca="false">+R215-Q215</f>
        <v>2</v>
      </c>
      <c r="U215" s="74"/>
      <c r="V215" s="74"/>
      <c r="W215" s="71"/>
    </row>
    <row r="216" customFormat="false" ht="28.5" hidden="false" customHeight="false" outlineLevel="0" collapsed="false">
      <c r="B216" s="70" t="s">
        <v>1</v>
      </c>
      <c r="C216" s="71" t="s">
        <v>480</v>
      </c>
      <c r="D216" s="72" t="s">
        <v>578</v>
      </c>
      <c r="E216" s="73" t="s">
        <v>577</v>
      </c>
      <c r="F216" s="73" t="s">
        <v>264</v>
      </c>
      <c r="G216" s="74" t="s">
        <v>312</v>
      </c>
      <c r="H216" s="74" t="n">
        <v>1</v>
      </c>
      <c r="I216" s="74" t="n">
        <v>5</v>
      </c>
      <c r="J216" s="73" t="s">
        <v>261</v>
      </c>
      <c r="K216" s="74" t="s">
        <v>3</v>
      </c>
      <c r="L216" s="74" t="s">
        <v>504</v>
      </c>
      <c r="M216" s="74" t="s">
        <v>9</v>
      </c>
      <c r="N216" s="74" t="s">
        <v>509</v>
      </c>
      <c r="O216" s="75"/>
      <c r="P216" s="74"/>
      <c r="Q216" s="71" t="n">
        <v>46167</v>
      </c>
      <c r="R216" s="71" t="n">
        <v>46169</v>
      </c>
      <c r="S216" s="71" t="str">
        <f aca="false">+IF(R216&lt;=Q216,"NO","SI")</f>
        <v>SI</v>
      </c>
      <c r="T216" s="78" t="n">
        <f aca="false">+R216-Q216</f>
        <v>2</v>
      </c>
      <c r="U216" s="74"/>
      <c r="V216" s="74"/>
      <c r="W216" s="71"/>
    </row>
    <row r="217" customFormat="false" ht="28.5" hidden="false" customHeight="false" outlineLevel="0" collapsed="false">
      <c r="B217" s="70" t="s">
        <v>1</v>
      </c>
      <c r="C217" s="71" t="s">
        <v>480</v>
      </c>
      <c r="D217" s="72" t="s">
        <v>579</v>
      </c>
      <c r="E217" s="73" t="s">
        <v>577</v>
      </c>
      <c r="F217" s="73" t="s">
        <v>264</v>
      </c>
      <c r="G217" s="74" t="s">
        <v>312</v>
      </c>
      <c r="H217" s="74" t="n">
        <v>1</v>
      </c>
      <c r="I217" s="74" t="n">
        <v>5</v>
      </c>
      <c r="J217" s="73" t="s">
        <v>261</v>
      </c>
      <c r="K217" s="74" t="s">
        <v>3</v>
      </c>
      <c r="L217" s="74" t="s">
        <v>504</v>
      </c>
      <c r="M217" s="74" t="s">
        <v>9</v>
      </c>
      <c r="N217" s="74" t="s">
        <v>509</v>
      </c>
      <c r="O217" s="75"/>
      <c r="P217" s="74"/>
      <c r="Q217" s="71" t="n">
        <v>46167</v>
      </c>
      <c r="R217" s="71" t="n">
        <v>46169</v>
      </c>
      <c r="S217" s="71" t="str">
        <f aca="false">+IF(R217&lt;=Q217,"NO","SI")</f>
        <v>SI</v>
      </c>
      <c r="T217" s="78" t="n">
        <f aca="false">+R217-Q217</f>
        <v>2</v>
      </c>
      <c r="U217" s="74"/>
      <c r="V217" s="74"/>
      <c r="W217" s="71"/>
    </row>
    <row r="218" customFormat="false" ht="28.5" hidden="false" customHeight="false" outlineLevel="0" collapsed="false">
      <c r="B218" s="70" t="s">
        <v>1</v>
      </c>
      <c r="C218" s="71" t="s">
        <v>480</v>
      </c>
      <c r="D218" s="72" t="s">
        <v>580</v>
      </c>
      <c r="E218" s="73" t="s">
        <v>577</v>
      </c>
      <c r="F218" s="73" t="s">
        <v>264</v>
      </c>
      <c r="G218" s="74" t="s">
        <v>312</v>
      </c>
      <c r="H218" s="74" t="n">
        <v>1</v>
      </c>
      <c r="I218" s="74" t="n">
        <v>5</v>
      </c>
      <c r="J218" s="73" t="s">
        <v>261</v>
      </c>
      <c r="K218" s="74" t="s">
        <v>3</v>
      </c>
      <c r="L218" s="74" t="s">
        <v>504</v>
      </c>
      <c r="M218" s="74" t="s">
        <v>9</v>
      </c>
      <c r="N218" s="74" t="s">
        <v>509</v>
      </c>
      <c r="O218" s="75"/>
      <c r="P218" s="74"/>
      <c r="Q218" s="71" t="n">
        <v>46167</v>
      </c>
      <c r="R218" s="71" t="n">
        <v>46169</v>
      </c>
      <c r="S218" s="71" t="str">
        <f aca="false">+IF(R218&lt;=Q218,"NO","SI")</f>
        <v>SI</v>
      </c>
      <c r="T218" s="78" t="n">
        <f aca="false">+R218-Q218</f>
        <v>2</v>
      </c>
      <c r="U218" s="74"/>
      <c r="V218" s="74"/>
      <c r="W218" s="71"/>
    </row>
    <row r="219" customFormat="false" ht="28.5" hidden="false" customHeight="false" outlineLevel="0" collapsed="false">
      <c r="B219" s="70" t="s">
        <v>1</v>
      </c>
      <c r="C219" s="71" t="s">
        <v>480</v>
      </c>
      <c r="D219" s="72" t="s">
        <v>581</v>
      </c>
      <c r="E219" s="73" t="s">
        <v>577</v>
      </c>
      <c r="F219" s="73" t="s">
        <v>264</v>
      </c>
      <c r="G219" s="74" t="s">
        <v>312</v>
      </c>
      <c r="H219" s="74" t="n">
        <v>1</v>
      </c>
      <c r="I219" s="74" t="n">
        <v>5</v>
      </c>
      <c r="J219" s="73" t="s">
        <v>261</v>
      </c>
      <c r="K219" s="74" t="s">
        <v>3</v>
      </c>
      <c r="L219" s="74" t="s">
        <v>504</v>
      </c>
      <c r="M219" s="74" t="s">
        <v>9</v>
      </c>
      <c r="N219" s="74" t="s">
        <v>509</v>
      </c>
      <c r="O219" s="75"/>
      <c r="P219" s="74"/>
      <c r="Q219" s="71" t="n">
        <v>46167</v>
      </c>
      <c r="R219" s="71" t="n">
        <v>46169</v>
      </c>
      <c r="S219" s="71" t="str">
        <f aca="false">+IF(R219&lt;=Q219,"NO","SI")</f>
        <v>SI</v>
      </c>
      <c r="T219" s="78" t="n">
        <f aca="false">+R219-Q219</f>
        <v>2</v>
      </c>
      <c r="U219" s="74"/>
      <c r="V219" s="74"/>
      <c r="W219" s="71"/>
    </row>
    <row r="220" customFormat="false" ht="28.5" hidden="false" customHeight="false" outlineLevel="0" collapsed="false">
      <c r="B220" s="70" t="s">
        <v>1</v>
      </c>
      <c r="C220" s="71" t="s">
        <v>480</v>
      </c>
      <c r="D220" s="72" t="s">
        <v>582</v>
      </c>
      <c r="E220" s="73" t="s">
        <v>577</v>
      </c>
      <c r="F220" s="73" t="s">
        <v>264</v>
      </c>
      <c r="G220" s="74" t="s">
        <v>312</v>
      </c>
      <c r="H220" s="74" t="n">
        <v>1</v>
      </c>
      <c r="I220" s="74" t="n">
        <v>5</v>
      </c>
      <c r="J220" s="73" t="s">
        <v>261</v>
      </c>
      <c r="K220" s="74" t="s">
        <v>3</v>
      </c>
      <c r="L220" s="74" t="s">
        <v>504</v>
      </c>
      <c r="M220" s="74" t="s">
        <v>9</v>
      </c>
      <c r="N220" s="74" t="s">
        <v>509</v>
      </c>
      <c r="O220" s="75"/>
      <c r="P220" s="74"/>
      <c r="Q220" s="71" t="n">
        <v>46167</v>
      </c>
      <c r="R220" s="71" t="n">
        <v>46169</v>
      </c>
      <c r="S220" s="71" t="str">
        <f aca="false">+IF(R220&lt;=Q220,"NO","SI")</f>
        <v>SI</v>
      </c>
      <c r="T220" s="78" t="n">
        <f aca="false">+R220-Q220</f>
        <v>2</v>
      </c>
      <c r="U220" s="74"/>
      <c r="V220" s="74"/>
      <c r="W220" s="71"/>
    </row>
    <row r="221" s="80" customFormat="true" ht="14.25" hidden="false" customHeight="false" outlineLevel="0" collapsed="false">
      <c r="A221" s="36"/>
      <c r="B221" s="61" t="s">
        <v>309</v>
      </c>
      <c r="C221" s="62" t="s">
        <v>480</v>
      </c>
      <c r="D221" s="63"/>
      <c r="E221" s="64" t="s">
        <v>583</v>
      </c>
      <c r="F221" s="65"/>
      <c r="G221" s="66"/>
      <c r="H221" s="67"/>
      <c r="I221" s="67"/>
      <c r="J221" s="67"/>
      <c r="K221" s="65"/>
      <c r="L221" s="65"/>
      <c r="M221" s="65"/>
      <c r="N221" s="65"/>
      <c r="O221" s="68"/>
      <c r="P221" s="65"/>
      <c r="Q221" s="65"/>
      <c r="R221" s="65"/>
      <c r="S221" s="65"/>
      <c r="T221" s="69"/>
      <c r="U221" s="65"/>
      <c r="V221" s="65"/>
      <c r="W221" s="65"/>
    </row>
    <row r="222" s="41" customFormat="true" ht="28.5" hidden="false" customHeight="false" outlineLevel="0" collapsed="false">
      <c r="A222" s="36"/>
      <c r="B222" s="112" t="s">
        <v>1</v>
      </c>
      <c r="C222" s="113" t="s">
        <v>480</v>
      </c>
      <c r="D222" s="114" t="s">
        <v>584</v>
      </c>
      <c r="E222" s="115" t="s">
        <v>585</v>
      </c>
      <c r="F222" s="115" t="s">
        <v>114</v>
      </c>
      <c r="G222" s="116" t="s">
        <v>312</v>
      </c>
      <c r="H222" s="116" t="n">
        <v>1</v>
      </c>
      <c r="I222" s="116" t="n">
        <v>5</v>
      </c>
      <c r="J222" s="115" t="s">
        <v>113</v>
      </c>
      <c r="K222" s="116" t="s">
        <v>3</v>
      </c>
      <c r="L222" s="116" t="s">
        <v>586</v>
      </c>
      <c r="M222" s="116" t="s">
        <v>12</v>
      </c>
      <c r="N222" s="116" t="s">
        <v>509</v>
      </c>
      <c r="O222" s="117"/>
      <c r="P222" s="116"/>
      <c r="Q222" s="116" t="s">
        <v>587</v>
      </c>
      <c r="R222" s="113" t="n">
        <v>46213</v>
      </c>
      <c r="S222" s="113" t="str">
        <f aca="false">+IF(R222&lt;=Q222,"NO","SI")</f>
        <v>NO</v>
      </c>
      <c r="T222" s="118" t="e">
        <f aca="false">+R222-Q222</f>
        <v>#VALUE!</v>
      </c>
      <c r="U222" s="116"/>
      <c r="V222" s="119"/>
      <c r="W222" s="113"/>
    </row>
    <row r="223" s="41" customFormat="true" ht="28.5" hidden="false" customHeight="false" outlineLevel="0" collapsed="false">
      <c r="A223" s="36"/>
      <c r="B223" s="112" t="s">
        <v>1</v>
      </c>
      <c r="C223" s="113" t="s">
        <v>480</v>
      </c>
      <c r="D223" s="114" t="s">
        <v>588</v>
      </c>
      <c r="E223" s="115" t="s">
        <v>585</v>
      </c>
      <c r="F223" s="115" t="s">
        <v>114</v>
      </c>
      <c r="G223" s="116" t="s">
        <v>312</v>
      </c>
      <c r="H223" s="116" t="n">
        <v>1</v>
      </c>
      <c r="I223" s="116" t="n">
        <v>5</v>
      </c>
      <c r="J223" s="115" t="s">
        <v>113</v>
      </c>
      <c r="K223" s="116" t="s">
        <v>3</v>
      </c>
      <c r="L223" s="116" t="s">
        <v>586</v>
      </c>
      <c r="M223" s="116" t="s">
        <v>12</v>
      </c>
      <c r="N223" s="116" t="s">
        <v>509</v>
      </c>
      <c r="O223" s="117"/>
      <c r="P223" s="116"/>
      <c r="Q223" s="116" t="s">
        <v>587</v>
      </c>
      <c r="R223" s="113" t="n">
        <v>46213</v>
      </c>
      <c r="S223" s="113" t="str">
        <f aca="false">+IF(R223&lt;=Q223,"NO","SI")</f>
        <v>NO</v>
      </c>
      <c r="T223" s="118" t="e">
        <f aca="false">+R223-Q223</f>
        <v>#VALUE!</v>
      </c>
      <c r="U223" s="116"/>
      <c r="V223" s="119"/>
      <c r="W223" s="113"/>
    </row>
    <row r="224" s="41" customFormat="true" ht="28.5" hidden="false" customHeight="false" outlineLevel="0" collapsed="false">
      <c r="A224" s="36"/>
      <c r="B224" s="112" t="s">
        <v>1</v>
      </c>
      <c r="C224" s="113" t="s">
        <v>480</v>
      </c>
      <c r="D224" s="114" t="s">
        <v>589</v>
      </c>
      <c r="E224" s="115" t="s">
        <v>590</v>
      </c>
      <c r="F224" s="115" t="s">
        <v>114</v>
      </c>
      <c r="G224" s="116" t="s">
        <v>312</v>
      </c>
      <c r="H224" s="116" t="n">
        <v>1</v>
      </c>
      <c r="I224" s="116" t="n">
        <v>5</v>
      </c>
      <c r="J224" s="115" t="s">
        <v>113</v>
      </c>
      <c r="K224" s="116" t="s">
        <v>3</v>
      </c>
      <c r="L224" s="116" t="s">
        <v>586</v>
      </c>
      <c r="M224" s="116" t="s">
        <v>12</v>
      </c>
      <c r="N224" s="116" t="s">
        <v>509</v>
      </c>
      <c r="O224" s="117"/>
      <c r="P224" s="116"/>
      <c r="Q224" s="116" t="s">
        <v>587</v>
      </c>
      <c r="R224" s="113" t="n">
        <v>46213</v>
      </c>
      <c r="S224" s="113" t="str">
        <f aca="false">+IF(R224&lt;=Q224,"NO","SI")</f>
        <v>NO</v>
      </c>
      <c r="T224" s="118" t="e">
        <f aca="false">+R224-Q224</f>
        <v>#VALUE!</v>
      </c>
      <c r="U224" s="116"/>
      <c r="V224" s="119"/>
      <c r="W224" s="113"/>
    </row>
    <row r="225" s="41" customFormat="true" ht="28.5" hidden="false" customHeight="false" outlineLevel="0" collapsed="false">
      <c r="A225" s="36"/>
      <c r="B225" s="112" t="s">
        <v>1</v>
      </c>
      <c r="C225" s="113" t="s">
        <v>480</v>
      </c>
      <c r="D225" s="114" t="s">
        <v>591</v>
      </c>
      <c r="E225" s="115" t="s">
        <v>592</v>
      </c>
      <c r="F225" s="115" t="s">
        <v>114</v>
      </c>
      <c r="G225" s="116" t="s">
        <v>312</v>
      </c>
      <c r="H225" s="116" t="n">
        <v>1</v>
      </c>
      <c r="I225" s="116" t="n">
        <v>5</v>
      </c>
      <c r="J225" s="115" t="s">
        <v>113</v>
      </c>
      <c r="K225" s="116" t="s">
        <v>3</v>
      </c>
      <c r="L225" s="116" t="s">
        <v>586</v>
      </c>
      <c r="M225" s="116" t="s">
        <v>12</v>
      </c>
      <c r="N225" s="116" t="s">
        <v>509</v>
      </c>
      <c r="O225" s="117"/>
      <c r="P225" s="116"/>
      <c r="Q225" s="116" t="s">
        <v>587</v>
      </c>
      <c r="R225" s="113" t="n">
        <v>46213</v>
      </c>
      <c r="S225" s="113" t="str">
        <f aca="false">+IF(R225&lt;=Q225,"NO","SI")</f>
        <v>NO</v>
      </c>
      <c r="T225" s="118" t="e">
        <f aca="false">+R225-Q225</f>
        <v>#VALUE!</v>
      </c>
      <c r="U225" s="116"/>
      <c r="V225" s="119"/>
      <c r="W225" s="113"/>
    </row>
    <row r="226" s="41" customFormat="true" ht="28.5" hidden="false" customHeight="false" outlineLevel="0" collapsed="false">
      <c r="A226" s="36"/>
      <c r="B226" s="112" t="s">
        <v>1</v>
      </c>
      <c r="C226" s="113" t="s">
        <v>480</v>
      </c>
      <c r="D226" s="114" t="s">
        <v>593</v>
      </c>
      <c r="E226" s="115" t="s">
        <v>594</v>
      </c>
      <c r="F226" s="115" t="s">
        <v>114</v>
      </c>
      <c r="G226" s="116" t="s">
        <v>312</v>
      </c>
      <c r="H226" s="116" t="n">
        <v>1</v>
      </c>
      <c r="I226" s="116" t="n">
        <v>5</v>
      </c>
      <c r="J226" s="115" t="s">
        <v>113</v>
      </c>
      <c r="K226" s="116" t="s">
        <v>3</v>
      </c>
      <c r="L226" s="116" t="s">
        <v>586</v>
      </c>
      <c r="M226" s="116" t="s">
        <v>12</v>
      </c>
      <c r="N226" s="116" t="s">
        <v>509</v>
      </c>
      <c r="O226" s="117"/>
      <c r="P226" s="116"/>
      <c r="Q226" s="116" t="s">
        <v>587</v>
      </c>
      <c r="R226" s="113" t="n">
        <v>46213</v>
      </c>
      <c r="S226" s="113" t="str">
        <f aca="false">+IF(R226&lt;=Q226,"NO","SI")</f>
        <v>NO</v>
      </c>
      <c r="T226" s="118" t="e">
        <f aca="false">+R226-Q226</f>
        <v>#VALUE!</v>
      </c>
      <c r="U226" s="116"/>
      <c r="V226" s="119"/>
      <c r="W226" s="113"/>
    </row>
    <row r="227" s="41" customFormat="true" ht="28.5" hidden="false" customHeight="false" outlineLevel="0" collapsed="false">
      <c r="A227" s="36"/>
      <c r="B227" s="112" t="s">
        <v>1</v>
      </c>
      <c r="C227" s="113" t="s">
        <v>480</v>
      </c>
      <c r="D227" s="114" t="s">
        <v>595</v>
      </c>
      <c r="E227" s="115" t="s">
        <v>596</v>
      </c>
      <c r="F227" s="115" t="s">
        <v>114</v>
      </c>
      <c r="G227" s="116" t="s">
        <v>312</v>
      </c>
      <c r="H227" s="116" t="n">
        <v>1</v>
      </c>
      <c r="I227" s="116" t="n">
        <v>5</v>
      </c>
      <c r="J227" s="115" t="s">
        <v>113</v>
      </c>
      <c r="K227" s="116" t="s">
        <v>3</v>
      </c>
      <c r="L227" s="116" t="s">
        <v>586</v>
      </c>
      <c r="M227" s="116" t="s">
        <v>12</v>
      </c>
      <c r="N227" s="116" t="s">
        <v>509</v>
      </c>
      <c r="O227" s="117"/>
      <c r="P227" s="116"/>
      <c r="Q227" s="116" t="s">
        <v>587</v>
      </c>
      <c r="R227" s="113" t="n">
        <v>46213</v>
      </c>
      <c r="S227" s="113" t="str">
        <f aca="false">+IF(R227&lt;=Q227,"NO","SI")</f>
        <v>NO</v>
      </c>
      <c r="T227" s="118" t="e">
        <f aca="false">+R227-Q227</f>
        <v>#VALUE!</v>
      </c>
      <c r="U227" s="116"/>
      <c r="V227" s="119"/>
      <c r="W227" s="113"/>
    </row>
    <row r="228" s="41" customFormat="true" ht="28.5" hidden="false" customHeight="false" outlineLevel="0" collapsed="false">
      <c r="A228" s="36"/>
      <c r="B228" s="112" t="s">
        <v>1</v>
      </c>
      <c r="C228" s="113" t="s">
        <v>480</v>
      </c>
      <c r="D228" s="114" t="s">
        <v>597</v>
      </c>
      <c r="E228" s="115" t="s">
        <v>598</v>
      </c>
      <c r="F228" s="115" t="s">
        <v>114</v>
      </c>
      <c r="G228" s="116" t="s">
        <v>312</v>
      </c>
      <c r="H228" s="116" t="n">
        <v>1</v>
      </c>
      <c r="I228" s="116" t="n">
        <v>5</v>
      </c>
      <c r="J228" s="115" t="s">
        <v>113</v>
      </c>
      <c r="K228" s="116" t="s">
        <v>3</v>
      </c>
      <c r="L228" s="116" t="s">
        <v>586</v>
      </c>
      <c r="M228" s="116" t="s">
        <v>12</v>
      </c>
      <c r="N228" s="116" t="s">
        <v>509</v>
      </c>
      <c r="O228" s="117"/>
      <c r="P228" s="116"/>
      <c r="Q228" s="116" t="s">
        <v>587</v>
      </c>
      <c r="R228" s="113" t="n">
        <v>46213</v>
      </c>
      <c r="S228" s="113" t="str">
        <f aca="false">+IF(R228&lt;=Q228,"NO","SI")</f>
        <v>NO</v>
      </c>
      <c r="T228" s="118" t="e">
        <f aca="false">+R228-Q228</f>
        <v>#VALUE!</v>
      </c>
      <c r="U228" s="116"/>
      <c r="V228" s="119"/>
      <c r="W228" s="113"/>
    </row>
    <row r="229" s="41" customFormat="true" ht="28.5" hidden="false" customHeight="false" outlineLevel="0" collapsed="false">
      <c r="A229" s="36"/>
      <c r="B229" s="112" t="s">
        <v>1</v>
      </c>
      <c r="C229" s="113" t="s">
        <v>480</v>
      </c>
      <c r="D229" s="114" t="s">
        <v>599</v>
      </c>
      <c r="E229" s="115" t="s">
        <v>600</v>
      </c>
      <c r="F229" s="115" t="s">
        <v>114</v>
      </c>
      <c r="G229" s="116" t="s">
        <v>312</v>
      </c>
      <c r="H229" s="116" t="n">
        <v>1</v>
      </c>
      <c r="I229" s="116" t="n">
        <v>5</v>
      </c>
      <c r="J229" s="115" t="s">
        <v>113</v>
      </c>
      <c r="K229" s="116" t="s">
        <v>3</v>
      </c>
      <c r="L229" s="116" t="s">
        <v>586</v>
      </c>
      <c r="M229" s="116" t="s">
        <v>12</v>
      </c>
      <c r="N229" s="116" t="s">
        <v>509</v>
      </c>
      <c r="O229" s="117"/>
      <c r="P229" s="116"/>
      <c r="Q229" s="116" t="s">
        <v>587</v>
      </c>
      <c r="R229" s="113" t="n">
        <v>46213</v>
      </c>
      <c r="S229" s="113" t="str">
        <f aca="false">+IF(R229&lt;=Q229,"NO","SI")</f>
        <v>NO</v>
      </c>
      <c r="T229" s="118" t="e">
        <f aca="false">+R229-Q229</f>
        <v>#VALUE!</v>
      </c>
      <c r="U229" s="116"/>
      <c r="V229" s="119"/>
      <c r="W229" s="113"/>
    </row>
    <row r="230" s="41" customFormat="true" ht="28.5" hidden="false" customHeight="false" outlineLevel="0" collapsed="false">
      <c r="A230" s="36"/>
      <c r="B230" s="112" t="s">
        <v>1</v>
      </c>
      <c r="C230" s="113" t="s">
        <v>480</v>
      </c>
      <c r="D230" s="114" t="s">
        <v>601</v>
      </c>
      <c r="E230" s="115" t="s">
        <v>602</v>
      </c>
      <c r="F230" s="115" t="s">
        <v>114</v>
      </c>
      <c r="G230" s="116" t="s">
        <v>312</v>
      </c>
      <c r="H230" s="116" t="n">
        <v>1</v>
      </c>
      <c r="I230" s="116" t="n">
        <v>5</v>
      </c>
      <c r="J230" s="115" t="s">
        <v>113</v>
      </c>
      <c r="K230" s="116" t="s">
        <v>3</v>
      </c>
      <c r="L230" s="116" t="s">
        <v>586</v>
      </c>
      <c r="M230" s="116" t="s">
        <v>12</v>
      </c>
      <c r="N230" s="116" t="s">
        <v>509</v>
      </c>
      <c r="O230" s="117"/>
      <c r="P230" s="116"/>
      <c r="Q230" s="116" t="s">
        <v>587</v>
      </c>
      <c r="R230" s="113" t="n">
        <v>46213</v>
      </c>
      <c r="S230" s="113" t="str">
        <f aca="false">+IF(R230&lt;=Q230,"NO","SI")</f>
        <v>NO</v>
      </c>
      <c r="T230" s="118" t="e">
        <f aca="false">+R230-Q230</f>
        <v>#VALUE!</v>
      </c>
      <c r="U230" s="116"/>
      <c r="V230" s="119"/>
      <c r="W230" s="113"/>
    </row>
    <row r="231" s="41" customFormat="true" ht="28.5" hidden="false" customHeight="false" outlineLevel="0" collapsed="false">
      <c r="A231" s="36"/>
      <c r="B231" s="112" t="s">
        <v>1</v>
      </c>
      <c r="C231" s="113" t="s">
        <v>480</v>
      </c>
      <c r="D231" s="114" t="s">
        <v>603</v>
      </c>
      <c r="E231" s="115" t="s">
        <v>604</v>
      </c>
      <c r="F231" s="115" t="s">
        <v>114</v>
      </c>
      <c r="G231" s="116" t="s">
        <v>312</v>
      </c>
      <c r="H231" s="116" t="n">
        <v>1</v>
      </c>
      <c r="I231" s="116" t="n">
        <v>5</v>
      </c>
      <c r="J231" s="115" t="s">
        <v>113</v>
      </c>
      <c r="K231" s="116" t="s">
        <v>3</v>
      </c>
      <c r="L231" s="116" t="s">
        <v>586</v>
      </c>
      <c r="M231" s="116" t="s">
        <v>12</v>
      </c>
      <c r="N231" s="116" t="s">
        <v>509</v>
      </c>
      <c r="O231" s="117"/>
      <c r="P231" s="116"/>
      <c r="Q231" s="116" t="s">
        <v>587</v>
      </c>
      <c r="R231" s="113" t="n">
        <v>46213</v>
      </c>
      <c r="S231" s="113" t="str">
        <f aca="false">+IF(R231&lt;=Q231,"NO","SI")</f>
        <v>NO</v>
      </c>
      <c r="T231" s="118" t="e">
        <f aca="false">+R231-Q231</f>
        <v>#VALUE!</v>
      </c>
      <c r="U231" s="116"/>
      <c r="V231" s="119"/>
      <c r="W231" s="113"/>
    </row>
    <row r="232" s="41" customFormat="true" ht="28.5" hidden="false" customHeight="false" outlineLevel="0" collapsed="false">
      <c r="A232" s="36"/>
      <c r="B232" s="112" t="s">
        <v>1</v>
      </c>
      <c r="C232" s="113" t="s">
        <v>480</v>
      </c>
      <c r="D232" s="114" t="s">
        <v>605</v>
      </c>
      <c r="E232" s="115" t="s">
        <v>606</v>
      </c>
      <c r="F232" s="115" t="s">
        <v>114</v>
      </c>
      <c r="G232" s="116" t="s">
        <v>312</v>
      </c>
      <c r="H232" s="116" t="n">
        <v>1</v>
      </c>
      <c r="I232" s="116" t="n">
        <v>5</v>
      </c>
      <c r="J232" s="115" t="s">
        <v>113</v>
      </c>
      <c r="K232" s="116" t="s">
        <v>3</v>
      </c>
      <c r="L232" s="116" t="s">
        <v>586</v>
      </c>
      <c r="M232" s="116" t="s">
        <v>12</v>
      </c>
      <c r="N232" s="116" t="s">
        <v>509</v>
      </c>
      <c r="O232" s="117"/>
      <c r="P232" s="116"/>
      <c r="Q232" s="116" t="s">
        <v>587</v>
      </c>
      <c r="R232" s="113" t="n">
        <v>46213</v>
      </c>
      <c r="S232" s="113" t="str">
        <f aca="false">+IF(R232&lt;=Q232,"NO","SI")</f>
        <v>NO</v>
      </c>
      <c r="T232" s="118" t="e">
        <f aca="false">+R232-Q232</f>
        <v>#VALUE!</v>
      </c>
      <c r="U232" s="116"/>
      <c r="V232" s="119"/>
      <c r="W232" s="113"/>
    </row>
    <row r="233" s="41" customFormat="true" ht="28.5" hidden="false" customHeight="false" outlineLevel="0" collapsed="false">
      <c r="A233" s="36"/>
      <c r="B233" s="112" t="s">
        <v>1</v>
      </c>
      <c r="C233" s="113" t="s">
        <v>480</v>
      </c>
      <c r="D233" s="114" t="s">
        <v>607</v>
      </c>
      <c r="E233" s="115" t="s">
        <v>606</v>
      </c>
      <c r="F233" s="115" t="s">
        <v>114</v>
      </c>
      <c r="G233" s="116" t="s">
        <v>312</v>
      </c>
      <c r="H233" s="116" t="n">
        <v>1</v>
      </c>
      <c r="I233" s="116" t="n">
        <v>5</v>
      </c>
      <c r="J233" s="115" t="s">
        <v>113</v>
      </c>
      <c r="K233" s="116" t="s">
        <v>3</v>
      </c>
      <c r="L233" s="116" t="s">
        <v>586</v>
      </c>
      <c r="M233" s="116" t="s">
        <v>12</v>
      </c>
      <c r="N233" s="116" t="s">
        <v>509</v>
      </c>
      <c r="O233" s="117"/>
      <c r="P233" s="116"/>
      <c r="Q233" s="116" t="s">
        <v>587</v>
      </c>
      <c r="R233" s="113" t="n">
        <v>46213</v>
      </c>
      <c r="S233" s="113" t="str">
        <f aca="false">+IF(R233&lt;=Q233,"NO","SI")</f>
        <v>NO</v>
      </c>
      <c r="T233" s="118" t="e">
        <f aca="false">+R233-Q233</f>
        <v>#VALUE!</v>
      </c>
      <c r="U233" s="116"/>
      <c r="V233" s="119"/>
      <c r="W233" s="113"/>
    </row>
    <row r="234" s="41" customFormat="true" ht="28.5" hidden="false" customHeight="false" outlineLevel="0" collapsed="false">
      <c r="A234" s="36"/>
      <c r="B234" s="112" t="s">
        <v>1</v>
      </c>
      <c r="C234" s="113" t="s">
        <v>480</v>
      </c>
      <c r="D234" s="114" t="s">
        <v>608</v>
      </c>
      <c r="E234" s="115" t="s">
        <v>606</v>
      </c>
      <c r="F234" s="115" t="s">
        <v>114</v>
      </c>
      <c r="G234" s="116" t="s">
        <v>312</v>
      </c>
      <c r="H234" s="116" t="n">
        <v>1</v>
      </c>
      <c r="I234" s="116" t="n">
        <v>5</v>
      </c>
      <c r="J234" s="115" t="s">
        <v>113</v>
      </c>
      <c r="K234" s="116" t="s">
        <v>3</v>
      </c>
      <c r="L234" s="116" t="s">
        <v>586</v>
      </c>
      <c r="M234" s="116" t="s">
        <v>12</v>
      </c>
      <c r="N234" s="116" t="s">
        <v>509</v>
      </c>
      <c r="O234" s="117"/>
      <c r="P234" s="116"/>
      <c r="Q234" s="116" t="s">
        <v>587</v>
      </c>
      <c r="R234" s="113" t="n">
        <v>46213</v>
      </c>
      <c r="S234" s="113" t="str">
        <f aca="false">+IF(R234&lt;=Q234,"NO","SI")</f>
        <v>NO</v>
      </c>
      <c r="T234" s="118" t="e">
        <f aca="false">+R234-Q234</f>
        <v>#VALUE!</v>
      </c>
      <c r="U234" s="116"/>
      <c r="V234" s="119"/>
      <c r="W234" s="113"/>
    </row>
    <row r="235" s="41" customFormat="true" ht="28.5" hidden="false" customHeight="false" outlineLevel="0" collapsed="false">
      <c r="A235" s="36"/>
      <c r="B235" s="112" t="s">
        <v>1</v>
      </c>
      <c r="C235" s="113" t="s">
        <v>480</v>
      </c>
      <c r="D235" s="114" t="s">
        <v>609</v>
      </c>
      <c r="E235" s="115" t="s">
        <v>606</v>
      </c>
      <c r="F235" s="115" t="s">
        <v>114</v>
      </c>
      <c r="G235" s="116" t="s">
        <v>312</v>
      </c>
      <c r="H235" s="116" t="n">
        <v>1</v>
      </c>
      <c r="I235" s="116" t="n">
        <v>5</v>
      </c>
      <c r="J235" s="115" t="s">
        <v>113</v>
      </c>
      <c r="K235" s="116" t="s">
        <v>3</v>
      </c>
      <c r="L235" s="116" t="s">
        <v>586</v>
      </c>
      <c r="M235" s="116" t="s">
        <v>12</v>
      </c>
      <c r="N235" s="116" t="s">
        <v>509</v>
      </c>
      <c r="O235" s="117"/>
      <c r="P235" s="116"/>
      <c r="Q235" s="116" t="s">
        <v>587</v>
      </c>
      <c r="R235" s="113" t="n">
        <v>46213</v>
      </c>
      <c r="S235" s="113" t="str">
        <f aca="false">+IF(R235&lt;=Q235,"NO","SI")</f>
        <v>NO</v>
      </c>
      <c r="T235" s="118" t="e">
        <f aca="false">+R235-Q235</f>
        <v>#VALUE!</v>
      </c>
      <c r="U235" s="116"/>
      <c r="V235" s="119"/>
      <c r="W235" s="113"/>
    </row>
    <row r="236" s="41" customFormat="true" ht="28.5" hidden="false" customHeight="false" outlineLevel="0" collapsed="false">
      <c r="A236" s="36"/>
      <c r="B236" s="112" t="s">
        <v>1</v>
      </c>
      <c r="C236" s="113" t="s">
        <v>480</v>
      </c>
      <c r="D236" s="114" t="s">
        <v>610</v>
      </c>
      <c r="E236" s="115" t="s">
        <v>611</v>
      </c>
      <c r="F236" s="115" t="s">
        <v>114</v>
      </c>
      <c r="G236" s="116" t="s">
        <v>312</v>
      </c>
      <c r="H236" s="116" t="n">
        <v>1</v>
      </c>
      <c r="I236" s="116" t="n">
        <v>5</v>
      </c>
      <c r="J236" s="115" t="s">
        <v>113</v>
      </c>
      <c r="K236" s="116" t="s">
        <v>3</v>
      </c>
      <c r="L236" s="116" t="s">
        <v>586</v>
      </c>
      <c r="M236" s="116" t="s">
        <v>12</v>
      </c>
      <c r="N236" s="116" t="s">
        <v>509</v>
      </c>
      <c r="O236" s="117"/>
      <c r="P236" s="116"/>
      <c r="Q236" s="116" t="s">
        <v>587</v>
      </c>
      <c r="R236" s="113" t="n">
        <v>46210</v>
      </c>
      <c r="S236" s="113" t="str">
        <f aca="false">+IF(R236&lt;=Q236,"NO","SI")</f>
        <v>NO</v>
      </c>
      <c r="T236" s="118" t="e">
        <f aca="false">+R236-Q236</f>
        <v>#VALUE!</v>
      </c>
      <c r="U236" s="116"/>
      <c r="V236" s="119"/>
      <c r="W236" s="113"/>
    </row>
    <row r="237" s="41" customFormat="true" ht="28.5" hidden="false" customHeight="false" outlineLevel="0" collapsed="false">
      <c r="A237" s="36"/>
      <c r="B237" s="112" t="s">
        <v>1</v>
      </c>
      <c r="C237" s="113" t="s">
        <v>480</v>
      </c>
      <c r="D237" s="114" t="s">
        <v>612</v>
      </c>
      <c r="E237" s="115" t="s">
        <v>611</v>
      </c>
      <c r="F237" s="115" t="s">
        <v>114</v>
      </c>
      <c r="G237" s="116" t="s">
        <v>312</v>
      </c>
      <c r="H237" s="116" t="n">
        <v>1</v>
      </c>
      <c r="I237" s="116" t="n">
        <v>5</v>
      </c>
      <c r="J237" s="115" t="s">
        <v>113</v>
      </c>
      <c r="K237" s="116" t="s">
        <v>3</v>
      </c>
      <c r="L237" s="116" t="s">
        <v>586</v>
      </c>
      <c r="M237" s="116" t="s">
        <v>12</v>
      </c>
      <c r="N237" s="116" t="s">
        <v>509</v>
      </c>
      <c r="O237" s="117"/>
      <c r="P237" s="116"/>
      <c r="Q237" s="116" t="s">
        <v>587</v>
      </c>
      <c r="R237" s="113" t="n">
        <v>46210</v>
      </c>
      <c r="S237" s="113" t="str">
        <f aca="false">+IF(R237&lt;=Q237,"NO","SI")</f>
        <v>NO</v>
      </c>
      <c r="T237" s="118" t="e">
        <f aca="false">+R237-Q237</f>
        <v>#VALUE!</v>
      </c>
      <c r="U237" s="116"/>
      <c r="V237" s="119"/>
      <c r="W237" s="113"/>
    </row>
    <row r="238" s="120" customFormat="true" ht="14.25" hidden="false" customHeight="false" outlineLevel="0" collapsed="false">
      <c r="A238" s="36"/>
      <c r="B238" s="51" t="s">
        <v>306</v>
      </c>
      <c r="C238" s="52" t="s">
        <v>480</v>
      </c>
      <c r="D238" s="53"/>
      <c r="E238" s="54" t="s">
        <v>613</v>
      </c>
      <c r="F238" s="55"/>
      <c r="G238" s="56"/>
      <c r="H238" s="57"/>
      <c r="I238" s="57"/>
      <c r="J238" s="57"/>
      <c r="K238" s="55"/>
      <c r="L238" s="55"/>
      <c r="M238" s="55"/>
      <c r="N238" s="55"/>
      <c r="O238" s="58"/>
      <c r="P238" s="55"/>
      <c r="Q238" s="55"/>
      <c r="R238" s="55"/>
      <c r="S238" s="55"/>
      <c r="T238" s="59"/>
      <c r="U238" s="55"/>
      <c r="V238" s="55"/>
      <c r="W238" s="55"/>
    </row>
    <row r="239" s="120" customFormat="true" ht="14.25" hidden="false" customHeight="false" outlineLevel="0" collapsed="false">
      <c r="A239" s="36"/>
      <c r="B239" s="61" t="s">
        <v>309</v>
      </c>
      <c r="C239" s="62" t="s">
        <v>480</v>
      </c>
      <c r="D239" s="63"/>
      <c r="E239" s="64" t="s">
        <v>614</v>
      </c>
      <c r="F239" s="65"/>
      <c r="G239" s="66"/>
      <c r="H239" s="67"/>
      <c r="I239" s="67"/>
      <c r="J239" s="67"/>
      <c r="K239" s="65"/>
      <c r="L239" s="65"/>
      <c r="M239" s="65"/>
      <c r="N239" s="65"/>
      <c r="O239" s="68"/>
      <c r="P239" s="65"/>
      <c r="Q239" s="65"/>
      <c r="R239" s="65"/>
      <c r="S239" s="65"/>
      <c r="T239" s="69"/>
      <c r="U239" s="65"/>
      <c r="V239" s="65"/>
      <c r="W239" s="65"/>
    </row>
    <row r="240" s="120" customFormat="true" ht="14.25" hidden="false" customHeight="false" outlineLevel="0" collapsed="false">
      <c r="A240" s="36"/>
      <c r="B240" s="61" t="s">
        <v>309</v>
      </c>
      <c r="C240" s="62" t="s">
        <v>480</v>
      </c>
      <c r="D240" s="63"/>
      <c r="E240" s="64" t="s">
        <v>615</v>
      </c>
      <c r="F240" s="65"/>
      <c r="G240" s="66"/>
      <c r="H240" s="67"/>
      <c r="I240" s="67"/>
      <c r="J240" s="67"/>
      <c r="K240" s="65"/>
      <c r="L240" s="65"/>
      <c r="M240" s="65"/>
      <c r="N240" s="65"/>
      <c r="O240" s="68"/>
      <c r="P240" s="65"/>
      <c r="Q240" s="65"/>
      <c r="R240" s="65"/>
      <c r="S240" s="65"/>
      <c r="T240" s="69"/>
      <c r="U240" s="65"/>
      <c r="V240" s="65"/>
      <c r="W240" s="65"/>
    </row>
    <row r="241" s="41" customFormat="true" ht="14.25" hidden="false" customHeight="false" outlineLevel="0" collapsed="false">
      <c r="A241" s="36"/>
      <c r="B241" s="70" t="s">
        <v>1</v>
      </c>
      <c r="C241" s="71" t="s">
        <v>480</v>
      </c>
      <c r="D241" s="72" t="s">
        <v>616</v>
      </c>
      <c r="E241" s="73" t="s">
        <v>617</v>
      </c>
      <c r="F241" s="73" t="s">
        <v>114</v>
      </c>
      <c r="G241" s="74" t="s">
        <v>618</v>
      </c>
      <c r="H241" s="74" t="n">
        <v>1</v>
      </c>
      <c r="I241" s="74" t="n">
        <v>5</v>
      </c>
      <c r="J241" s="73" t="s">
        <v>113</v>
      </c>
      <c r="K241" s="74" t="s">
        <v>3</v>
      </c>
      <c r="L241" s="74" t="s">
        <v>619</v>
      </c>
      <c r="M241" s="74" t="s">
        <v>8</v>
      </c>
      <c r="N241" s="74" t="s">
        <v>495</v>
      </c>
      <c r="O241" s="75" t="n">
        <v>46118</v>
      </c>
      <c r="P241" s="74"/>
      <c r="Q241" s="71" t="n">
        <v>46139</v>
      </c>
      <c r="R241" s="71" t="n">
        <v>46213</v>
      </c>
      <c r="S241" s="71" t="str">
        <f aca="false">+IF(R241&lt;=Q241,"NO","SI")</f>
        <v>SI</v>
      </c>
      <c r="T241" s="78" t="n">
        <f aca="false">+R241-Q241</f>
        <v>74</v>
      </c>
      <c r="U241" s="74"/>
      <c r="V241" s="74"/>
      <c r="W241" s="71"/>
    </row>
    <row r="242" s="41" customFormat="true" ht="14.25" hidden="false" customHeight="false" outlineLevel="0" collapsed="false">
      <c r="A242" s="36"/>
      <c r="B242" s="70" t="s">
        <v>1</v>
      </c>
      <c r="C242" s="71" t="s">
        <v>480</v>
      </c>
      <c r="D242" s="72" t="s">
        <v>620</v>
      </c>
      <c r="E242" s="73" t="s">
        <v>621</v>
      </c>
      <c r="F242" s="73" t="s">
        <v>114</v>
      </c>
      <c r="G242" s="74" t="s">
        <v>618</v>
      </c>
      <c r="H242" s="74" t="n">
        <v>1</v>
      </c>
      <c r="I242" s="74" t="n">
        <v>5</v>
      </c>
      <c r="J242" s="73" t="s">
        <v>113</v>
      </c>
      <c r="K242" s="74" t="s">
        <v>3</v>
      </c>
      <c r="L242" s="74" t="s">
        <v>619</v>
      </c>
      <c r="M242" s="74" t="s">
        <v>8</v>
      </c>
      <c r="N242" s="74" t="s">
        <v>495</v>
      </c>
      <c r="O242" s="75" t="n">
        <v>46118</v>
      </c>
      <c r="P242" s="74"/>
      <c r="Q242" s="71" t="n">
        <v>46139</v>
      </c>
      <c r="R242" s="71" t="n">
        <v>46213</v>
      </c>
      <c r="S242" s="71" t="str">
        <f aca="false">+IF(R242&lt;=Q242,"NO","SI")</f>
        <v>SI</v>
      </c>
      <c r="T242" s="78" t="n">
        <f aca="false">+R242-Q242</f>
        <v>74</v>
      </c>
      <c r="U242" s="74"/>
      <c r="V242" s="74"/>
      <c r="W242" s="71"/>
    </row>
    <row r="243" customFormat="false" ht="14.25" hidden="false" customHeight="false" outlineLevel="0" collapsed="false">
      <c r="B243" s="87" t="s">
        <v>1</v>
      </c>
      <c r="C243" s="88" t="s">
        <v>480</v>
      </c>
      <c r="D243" s="89" t="s">
        <v>622</v>
      </c>
      <c r="E243" s="90" t="s">
        <v>623</v>
      </c>
      <c r="F243" s="90" t="s">
        <v>114</v>
      </c>
      <c r="G243" s="91" t="s">
        <v>618</v>
      </c>
      <c r="H243" s="91" t="n">
        <v>1</v>
      </c>
      <c r="I243" s="91" t="n">
        <v>5</v>
      </c>
      <c r="J243" s="90" t="s">
        <v>113</v>
      </c>
      <c r="K243" s="91" t="s">
        <v>3</v>
      </c>
      <c r="L243" s="91" t="s">
        <v>619</v>
      </c>
      <c r="M243" s="91" t="s">
        <v>10</v>
      </c>
      <c r="N243" s="91" t="s">
        <v>509</v>
      </c>
      <c r="O243" s="110"/>
      <c r="P243" s="91"/>
      <c r="Q243" s="88" t="n">
        <v>46230</v>
      </c>
      <c r="R243" s="88" t="n">
        <v>46213</v>
      </c>
      <c r="S243" s="88" t="str">
        <f aca="false">+IF(R243&lt;=Q243,"NO","SI")</f>
        <v>NO</v>
      </c>
      <c r="T243" s="93" t="n">
        <f aca="false">+R243-Q243</f>
        <v>-17</v>
      </c>
      <c r="U243" s="91"/>
      <c r="V243" s="111"/>
      <c r="W243" s="88" t="s">
        <v>559</v>
      </c>
    </row>
    <row r="244" s="120" customFormat="true" ht="14.25" hidden="false" customHeight="false" outlineLevel="0" collapsed="false">
      <c r="A244" s="36"/>
      <c r="B244" s="61" t="s">
        <v>309</v>
      </c>
      <c r="C244" s="62" t="s">
        <v>480</v>
      </c>
      <c r="D244" s="63"/>
      <c r="E244" s="64" t="s">
        <v>624</v>
      </c>
      <c r="F244" s="65"/>
      <c r="G244" s="66"/>
      <c r="H244" s="67"/>
      <c r="I244" s="67"/>
      <c r="J244" s="67"/>
      <c r="K244" s="65"/>
      <c r="L244" s="65"/>
      <c r="M244" s="65"/>
      <c r="N244" s="65"/>
      <c r="O244" s="68"/>
      <c r="P244" s="65"/>
      <c r="Q244" s="65"/>
      <c r="R244" s="65"/>
      <c r="S244" s="65"/>
      <c r="T244" s="69"/>
      <c r="U244" s="65"/>
      <c r="V244" s="65"/>
      <c r="W244" s="65"/>
    </row>
    <row r="245" s="41" customFormat="true" ht="14.25" hidden="false" customHeight="false" outlineLevel="0" collapsed="false">
      <c r="A245" s="36"/>
      <c r="B245" s="70" t="s">
        <v>1</v>
      </c>
      <c r="C245" s="71" t="s">
        <v>480</v>
      </c>
      <c r="D245" s="72" t="s">
        <v>625</v>
      </c>
      <c r="E245" s="73" t="s">
        <v>626</v>
      </c>
      <c r="F245" s="73" t="s">
        <v>107</v>
      </c>
      <c r="G245" s="74" t="s">
        <v>618</v>
      </c>
      <c r="H245" s="74" t="n">
        <v>1</v>
      </c>
      <c r="I245" s="74" t="n">
        <v>5</v>
      </c>
      <c r="J245" s="73" t="s">
        <v>106</v>
      </c>
      <c r="K245" s="74" t="s">
        <v>3</v>
      </c>
      <c r="L245" s="74" t="s">
        <v>619</v>
      </c>
      <c r="M245" s="74" t="s">
        <v>11</v>
      </c>
      <c r="N245" s="74" t="s">
        <v>495</v>
      </c>
      <c r="O245" s="75" t="n">
        <v>46118</v>
      </c>
      <c r="P245" s="74"/>
      <c r="Q245" s="71" t="n">
        <v>46139</v>
      </c>
      <c r="R245" s="71" t="n">
        <v>46224</v>
      </c>
      <c r="S245" s="71" t="str">
        <f aca="false">+IF(R245&lt;=Q245,"NO","SI")</f>
        <v>SI</v>
      </c>
      <c r="T245" s="78" t="n">
        <f aca="false">+R245-Q245</f>
        <v>85</v>
      </c>
      <c r="U245" s="74"/>
      <c r="V245" s="74"/>
      <c r="W245" s="71"/>
    </row>
    <row r="246" s="41" customFormat="true" ht="14.25" hidden="false" customHeight="false" outlineLevel="0" collapsed="false">
      <c r="A246" s="36"/>
      <c r="B246" s="70" t="s">
        <v>1</v>
      </c>
      <c r="C246" s="71" t="s">
        <v>480</v>
      </c>
      <c r="D246" s="72" t="s">
        <v>627</v>
      </c>
      <c r="E246" s="73" t="s">
        <v>628</v>
      </c>
      <c r="F246" s="73" t="s">
        <v>114</v>
      </c>
      <c r="G246" s="74" t="s">
        <v>618</v>
      </c>
      <c r="H246" s="74" t="n">
        <v>1</v>
      </c>
      <c r="I246" s="74" t="n">
        <v>5</v>
      </c>
      <c r="J246" s="73" t="s">
        <v>113</v>
      </c>
      <c r="K246" s="74" t="s">
        <v>3</v>
      </c>
      <c r="L246" s="74" t="s">
        <v>619</v>
      </c>
      <c r="M246" s="74" t="s">
        <v>10</v>
      </c>
      <c r="N246" s="74" t="s">
        <v>495</v>
      </c>
      <c r="O246" s="75" t="n">
        <v>46118</v>
      </c>
      <c r="P246" s="74"/>
      <c r="Q246" s="71" t="n">
        <v>46139</v>
      </c>
      <c r="R246" s="71" t="n">
        <v>46213</v>
      </c>
      <c r="S246" s="71" t="str">
        <f aca="false">+IF(R246&lt;=Q246,"NO","SI")</f>
        <v>SI</v>
      </c>
      <c r="T246" s="78" t="n">
        <f aca="false">+R246-Q246</f>
        <v>74</v>
      </c>
      <c r="U246" s="74"/>
      <c r="V246" s="74"/>
      <c r="W246" s="71"/>
    </row>
    <row r="247" s="41" customFormat="true" ht="14.25" hidden="false" customHeight="false" outlineLevel="0" collapsed="false">
      <c r="A247" s="36"/>
      <c r="B247" s="70" t="s">
        <v>1</v>
      </c>
      <c r="C247" s="71" t="s">
        <v>480</v>
      </c>
      <c r="D247" s="72" t="s">
        <v>629</v>
      </c>
      <c r="E247" s="73" t="s">
        <v>630</v>
      </c>
      <c r="F247" s="73" t="s">
        <v>178</v>
      </c>
      <c r="G247" s="74" t="s">
        <v>618</v>
      </c>
      <c r="H247" s="74" t="n">
        <v>1</v>
      </c>
      <c r="I247" s="74" t="n">
        <v>5</v>
      </c>
      <c r="J247" s="73" t="s">
        <v>173</v>
      </c>
      <c r="K247" s="74" t="s">
        <v>3</v>
      </c>
      <c r="L247" s="74" t="s">
        <v>619</v>
      </c>
      <c r="M247" s="74" t="s">
        <v>11</v>
      </c>
      <c r="N247" s="74" t="s">
        <v>495</v>
      </c>
      <c r="O247" s="75" t="n">
        <v>46118</v>
      </c>
      <c r="P247" s="74"/>
      <c r="Q247" s="71" t="n">
        <v>46139</v>
      </c>
      <c r="R247" s="71" t="n">
        <v>46217</v>
      </c>
      <c r="S247" s="71" t="str">
        <f aca="false">+IF(R247&lt;=Q247,"NO","SI")</f>
        <v>SI</v>
      </c>
      <c r="T247" s="78" t="n">
        <f aca="false">+R247-Q247</f>
        <v>78</v>
      </c>
      <c r="U247" s="74"/>
      <c r="V247" s="74"/>
      <c r="W247" s="71"/>
    </row>
    <row r="248" s="41" customFormat="true" ht="14.25" hidden="false" customHeight="false" outlineLevel="0" collapsed="false">
      <c r="A248" s="36"/>
      <c r="B248" s="70" t="s">
        <v>1</v>
      </c>
      <c r="C248" s="71" t="s">
        <v>480</v>
      </c>
      <c r="D248" s="72" t="s">
        <v>631</v>
      </c>
      <c r="E248" s="73" t="s">
        <v>632</v>
      </c>
      <c r="F248" s="73" t="s">
        <v>114</v>
      </c>
      <c r="G248" s="74" t="s">
        <v>618</v>
      </c>
      <c r="H248" s="74" t="n">
        <v>1</v>
      </c>
      <c r="I248" s="74" t="n">
        <v>5</v>
      </c>
      <c r="J248" s="73" t="s">
        <v>113</v>
      </c>
      <c r="K248" s="74" t="s">
        <v>3</v>
      </c>
      <c r="L248" s="74" t="s">
        <v>619</v>
      </c>
      <c r="M248" s="74" t="s">
        <v>10</v>
      </c>
      <c r="N248" s="74" t="s">
        <v>495</v>
      </c>
      <c r="O248" s="75" t="n">
        <v>46118</v>
      </c>
      <c r="P248" s="74"/>
      <c r="Q248" s="71" t="n">
        <v>46139</v>
      </c>
      <c r="R248" s="71" t="n">
        <v>46213</v>
      </c>
      <c r="S248" s="71" t="str">
        <f aca="false">+IF(R248&lt;=Q248,"NO","SI")</f>
        <v>SI</v>
      </c>
      <c r="T248" s="78" t="n">
        <f aca="false">+R248-Q248</f>
        <v>74</v>
      </c>
      <c r="U248" s="74"/>
      <c r="V248" s="74"/>
      <c r="W248" s="71"/>
    </row>
    <row r="249" s="41" customFormat="true" ht="14.25" hidden="false" customHeight="false" outlineLevel="0" collapsed="false">
      <c r="A249" s="36"/>
      <c r="B249" s="70" t="s">
        <v>1</v>
      </c>
      <c r="C249" s="71" t="s">
        <v>480</v>
      </c>
      <c r="D249" s="72" t="s">
        <v>633</v>
      </c>
      <c r="E249" s="73" t="s">
        <v>634</v>
      </c>
      <c r="F249" s="73" t="s">
        <v>211</v>
      </c>
      <c r="G249" s="74" t="s">
        <v>618</v>
      </c>
      <c r="H249" s="74" t="n">
        <v>1</v>
      </c>
      <c r="I249" s="74" t="n">
        <v>5</v>
      </c>
      <c r="J249" s="73" t="s">
        <v>206</v>
      </c>
      <c r="K249" s="74" t="s">
        <v>3</v>
      </c>
      <c r="L249" s="74" t="s">
        <v>619</v>
      </c>
      <c r="M249" s="74" t="s">
        <v>11</v>
      </c>
      <c r="N249" s="74" t="s">
        <v>495</v>
      </c>
      <c r="O249" s="75" t="n">
        <v>46118</v>
      </c>
      <c r="P249" s="74"/>
      <c r="Q249" s="71" t="n">
        <v>46139</v>
      </c>
      <c r="R249" s="71" t="n">
        <v>46217</v>
      </c>
      <c r="S249" s="71" t="str">
        <f aca="false">+IF(R249&lt;=Q249,"NO","SI")</f>
        <v>SI</v>
      </c>
      <c r="T249" s="78" t="n">
        <f aca="false">+R249-Q249</f>
        <v>78</v>
      </c>
      <c r="U249" s="74"/>
      <c r="V249" s="74"/>
      <c r="W249" s="71"/>
    </row>
    <row r="250" s="109" customFormat="true" ht="14.25" hidden="false" customHeight="false" outlineLevel="0" collapsed="false">
      <c r="A250" s="36"/>
      <c r="B250" s="51" t="s">
        <v>306</v>
      </c>
      <c r="C250" s="52" t="s">
        <v>480</v>
      </c>
      <c r="D250" s="53"/>
      <c r="E250" s="54" t="s">
        <v>635</v>
      </c>
      <c r="F250" s="55"/>
      <c r="G250" s="56"/>
      <c r="H250" s="57"/>
      <c r="I250" s="57"/>
      <c r="J250" s="57"/>
      <c r="K250" s="55"/>
      <c r="L250" s="55"/>
      <c r="M250" s="55"/>
      <c r="N250" s="55"/>
      <c r="O250" s="58"/>
      <c r="P250" s="55"/>
      <c r="Q250" s="55"/>
      <c r="R250" s="55"/>
      <c r="S250" s="55"/>
      <c r="T250" s="59"/>
      <c r="U250" s="55"/>
      <c r="V250" s="55"/>
      <c r="W250" s="55"/>
    </row>
    <row r="251" s="109" customFormat="true" ht="14.25" hidden="false" customHeight="false" outlineLevel="0" collapsed="false">
      <c r="A251" s="36"/>
      <c r="B251" s="61" t="s">
        <v>309</v>
      </c>
      <c r="C251" s="62" t="s">
        <v>480</v>
      </c>
      <c r="D251" s="63"/>
      <c r="E251" s="64" t="s">
        <v>636</v>
      </c>
      <c r="F251" s="65"/>
      <c r="G251" s="66"/>
      <c r="H251" s="67"/>
      <c r="I251" s="67"/>
      <c r="J251" s="67"/>
      <c r="K251" s="65"/>
      <c r="L251" s="65"/>
      <c r="M251" s="65"/>
      <c r="N251" s="65"/>
      <c r="O251" s="68"/>
      <c r="P251" s="65"/>
      <c r="Q251" s="65"/>
      <c r="R251" s="65"/>
      <c r="S251" s="65"/>
      <c r="T251" s="69"/>
      <c r="U251" s="65"/>
      <c r="V251" s="65"/>
      <c r="W251" s="65"/>
    </row>
    <row r="252" s="41" customFormat="true" ht="28.5" hidden="false" customHeight="false" outlineLevel="0" collapsed="false">
      <c r="A252" s="36"/>
      <c r="B252" s="70" t="s">
        <v>1</v>
      </c>
      <c r="C252" s="71" t="s">
        <v>480</v>
      </c>
      <c r="D252" s="72" t="s">
        <v>637</v>
      </c>
      <c r="E252" s="73" t="s">
        <v>638</v>
      </c>
      <c r="F252" s="73" t="s">
        <v>167</v>
      </c>
      <c r="G252" s="74" t="s">
        <v>312</v>
      </c>
      <c r="H252" s="74" t="n">
        <v>1</v>
      </c>
      <c r="I252" s="74" t="n">
        <v>5</v>
      </c>
      <c r="J252" s="73" t="s">
        <v>160</v>
      </c>
      <c r="K252" s="74" t="s">
        <v>3</v>
      </c>
      <c r="L252" s="74" t="s">
        <v>494</v>
      </c>
      <c r="M252" s="74" t="s">
        <v>9</v>
      </c>
      <c r="N252" s="74" t="s">
        <v>509</v>
      </c>
      <c r="O252" s="75"/>
      <c r="P252" s="74"/>
      <c r="Q252" s="71" t="n">
        <v>46139</v>
      </c>
      <c r="R252" s="71" t="n">
        <v>46193</v>
      </c>
      <c r="S252" s="71" t="str">
        <f aca="false">+IF(R252&lt;=Q252,"NO","SI")</f>
        <v>SI</v>
      </c>
      <c r="T252" s="78" t="n">
        <f aca="false">+R252-Q252</f>
        <v>54</v>
      </c>
      <c r="U252" s="74"/>
      <c r="V252" s="74"/>
      <c r="W252" s="71"/>
    </row>
    <row r="253" s="41" customFormat="true" ht="28.5" hidden="false" customHeight="false" outlineLevel="0" collapsed="false">
      <c r="A253" s="36"/>
      <c r="B253" s="70" t="s">
        <v>1</v>
      </c>
      <c r="C253" s="71" t="s">
        <v>480</v>
      </c>
      <c r="D253" s="72" t="s">
        <v>639</v>
      </c>
      <c r="E253" s="73" t="s">
        <v>640</v>
      </c>
      <c r="F253" s="73" t="s">
        <v>188</v>
      </c>
      <c r="G253" s="74" t="s">
        <v>312</v>
      </c>
      <c r="H253" s="74" t="n">
        <v>1</v>
      </c>
      <c r="I253" s="74" t="n">
        <v>5</v>
      </c>
      <c r="J253" s="73" t="s">
        <v>173</v>
      </c>
      <c r="K253" s="74" t="s">
        <v>3</v>
      </c>
      <c r="L253" s="74" t="s">
        <v>494</v>
      </c>
      <c r="M253" s="74" t="s">
        <v>9</v>
      </c>
      <c r="N253" s="74" t="s">
        <v>509</v>
      </c>
      <c r="O253" s="75"/>
      <c r="P253" s="74"/>
      <c r="Q253" s="71" t="n">
        <v>46139</v>
      </c>
      <c r="R253" s="71" t="n">
        <v>46193</v>
      </c>
      <c r="S253" s="71" t="str">
        <f aca="false">+IF(R253&lt;=Q253,"NO","SI")</f>
        <v>SI</v>
      </c>
      <c r="T253" s="78" t="n">
        <f aca="false">+R253-Q253</f>
        <v>54</v>
      </c>
      <c r="U253" s="74"/>
      <c r="V253" s="74"/>
      <c r="W253" s="71"/>
    </row>
    <row r="254" s="41" customFormat="true" ht="28.5" hidden="false" customHeight="false" outlineLevel="0" collapsed="false">
      <c r="A254" s="36"/>
      <c r="B254" s="70" t="s">
        <v>1</v>
      </c>
      <c r="C254" s="71" t="s">
        <v>480</v>
      </c>
      <c r="D254" s="72" t="s">
        <v>641</v>
      </c>
      <c r="E254" s="73" t="s">
        <v>642</v>
      </c>
      <c r="F254" s="73" t="s">
        <v>184</v>
      </c>
      <c r="G254" s="74" t="s">
        <v>312</v>
      </c>
      <c r="H254" s="74" t="n">
        <v>1</v>
      </c>
      <c r="I254" s="74" t="n">
        <v>5</v>
      </c>
      <c r="J254" s="73" t="s">
        <v>173</v>
      </c>
      <c r="K254" s="74" t="s">
        <v>3</v>
      </c>
      <c r="L254" s="74" t="s">
        <v>494</v>
      </c>
      <c r="M254" s="74" t="s">
        <v>9</v>
      </c>
      <c r="N254" s="74" t="s">
        <v>509</v>
      </c>
      <c r="O254" s="75"/>
      <c r="P254" s="74"/>
      <c r="Q254" s="71" t="n">
        <v>46139</v>
      </c>
      <c r="R254" s="71" t="n">
        <v>46193</v>
      </c>
      <c r="S254" s="71" t="str">
        <f aca="false">+IF(R254&lt;=Q254,"NO","SI")</f>
        <v>SI</v>
      </c>
      <c r="T254" s="78" t="n">
        <f aca="false">+R254-Q254</f>
        <v>54</v>
      </c>
      <c r="U254" s="74"/>
      <c r="V254" s="74"/>
      <c r="W254" s="71"/>
    </row>
    <row r="255" s="41" customFormat="true" ht="28.5" hidden="false" customHeight="false" outlineLevel="0" collapsed="false">
      <c r="A255" s="36"/>
      <c r="B255" s="70" t="s">
        <v>1</v>
      </c>
      <c r="C255" s="71" t="s">
        <v>480</v>
      </c>
      <c r="D255" s="72" t="s">
        <v>643</v>
      </c>
      <c r="E255" s="73" t="s">
        <v>644</v>
      </c>
      <c r="F255" s="73" t="s">
        <v>180</v>
      </c>
      <c r="G255" s="74" t="s">
        <v>312</v>
      </c>
      <c r="H255" s="74" t="n">
        <v>1</v>
      </c>
      <c r="I255" s="74" t="n">
        <v>5</v>
      </c>
      <c r="J255" s="73" t="s">
        <v>173</v>
      </c>
      <c r="K255" s="74" t="s">
        <v>3</v>
      </c>
      <c r="L255" s="74" t="s">
        <v>494</v>
      </c>
      <c r="M255" s="74" t="s">
        <v>9</v>
      </c>
      <c r="N255" s="74" t="s">
        <v>509</v>
      </c>
      <c r="O255" s="75"/>
      <c r="P255" s="74"/>
      <c r="Q255" s="71" t="n">
        <v>46139</v>
      </c>
      <c r="R255" s="71" t="n">
        <v>46193</v>
      </c>
      <c r="S255" s="71" t="str">
        <f aca="false">+IF(R255&lt;=Q255,"NO","SI")</f>
        <v>SI</v>
      </c>
      <c r="T255" s="78" t="n">
        <f aca="false">+R255-Q255</f>
        <v>54</v>
      </c>
      <c r="U255" s="74"/>
      <c r="V255" s="74"/>
      <c r="W255" s="71"/>
    </row>
    <row r="256" s="41" customFormat="true" ht="28.5" hidden="false" customHeight="false" outlineLevel="0" collapsed="false">
      <c r="A256" s="36"/>
      <c r="B256" s="70" t="s">
        <v>1</v>
      </c>
      <c r="C256" s="71" t="s">
        <v>480</v>
      </c>
      <c r="D256" s="72" t="s">
        <v>645</v>
      </c>
      <c r="E256" s="73" t="s">
        <v>646</v>
      </c>
      <c r="F256" s="73" t="s">
        <v>186</v>
      </c>
      <c r="G256" s="74" t="s">
        <v>312</v>
      </c>
      <c r="H256" s="74" t="n">
        <v>1</v>
      </c>
      <c r="I256" s="74" t="n">
        <v>5</v>
      </c>
      <c r="J256" s="73" t="s">
        <v>173</v>
      </c>
      <c r="K256" s="74" t="s">
        <v>3</v>
      </c>
      <c r="L256" s="74" t="s">
        <v>494</v>
      </c>
      <c r="M256" s="74" t="s">
        <v>9</v>
      </c>
      <c r="N256" s="74" t="s">
        <v>509</v>
      </c>
      <c r="O256" s="75"/>
      <c r="P256" s="74"/>
      <c r="Q256" s="71" t="n">
        <v>46139</v>
      </c>
      <c r="R256" s="71" t="n">
        <v>46193</v>
      </c>
      <c r="S256" s="71" t="str">
        <f aca="false">+IF(R256&lt;=Q256,"NO","SI")</f>
        <v>SI</v>
      </c>
      <c r="T256" s="78" t="n">
        <f aca="false">+R256-Q256</f>
        <v>54</v>
      </c>
      <c r="U256" s="74"/>
      <c r="V256" s="74"/>
      <c r="W256" s="71"/>
    </row>
    <row r="257" s="41" customFormat="true" ht="28.5" hidden="false" customHeight="false" outlineLevel="0" collapsed="false">
      <c r="A257" s="36"/>
      <c r="B257" s="70" t="s">
        <v>1</v>
      </c>
      <c r="C257" s="71" t="s">
        <v>480</v>
      </c>
      <c r="D257" s="72" t="s">
        <v>647</v>
      </c>
      <c r="E257" s="73" t="s">
        <v>642</v>
      </c>
      <c r="F257" s="73" t="s">
        <v>148</v>
      </c>
      <c r="G257" s="74" t="s">
        <v>312</v>
      </c>
      <c r="H257" s="74" t="n">
        <v>1</v>
      </c>
      <c r="I257" s="74" t="n">
        <v>5</v>
      </c>
      <c r="J257" s="73" t="s">
        <v>141</v>
      </c>
      <c r="K257" s="74" t="s">
        <v>3</v>
      </c>
      <c r="L257" s="74" t="s">
        <v>494</v>
      </c>
      <c r="M257" s="74" t="s">
        <v>9</v>
      </c>
      <c r="N257" s="74" t="s">
        <v>509</v>
      </c>
      <c r="O257" s="75"/>
      <c r="P257" s="74"/>
      <c r="Q257" s="71" t="n">
        <v>46139</v>
      </c>
      <c r="R257" s="71" t="n">
        <v>46193</v>
      </c>
      <c r="S257" s="71" t="str">
        <f aca="false">+IF(R257&lt;=Q257,"NO","SI")</f>
        <v>SI</v>
      </c>
      <c r="T257" s="78" t="n">
        <f aca="false">+R257-Q257</f>
        <v>54</v>
      </c>
      <c r="U257" s="74"/>
      <c r="V257" s="74"/>
      <c r="W257" s="71"/>
    </row>
    <row r="258" s="41" customFormat="true" ht="28.5" hidden="false" customHeight="false" outlineLevel="0" collapsed="false">
      <c r="A258" s="36"/>
      <c r="B258" s="70" t="s">
        <v>1</v>
      </c>
      <c r="C258" s="71" t="s">
        <v>480</v>
      </c>
      <c r="D258" s="72" t="s">
        <v>648</v>
      </c>
      <c r="E258" s="73" t="s">
        <v>649</v>
      </c>
      <c r="F258" s="73" t="s">
        <v>182</v>
      </c>
      <c r="G258" s="74" t="s">
        <v>312</v>
      </c>
      <c r="H258" s="74" t="n">
        <v>1</v>
      </c>
      <c r="I258" s="74" t="n">
        <v>5</v>
      </c>
      <c r="J258" s="73" t="s">
        <v>173</v>
      </c>
      <c r="K258" s="74" t="s">
        <v>3</v>
      </c>
      <c r="L258" s="74" t="s">
        <v>494</v>
      </c>
      <c r="M258" s="74" t="s">
        <v>9</v>
      </c>
      <c r="N258" s="74" t="s">
        <v>509</v>
      </c>
      <c r="O258" s="75"/>
      <c r="P258" s="74"/>
      <c r="Q258" s="71" t="n">
        <v>46139</v>
      </c>
      <c r="R258" s="71" t="n">
        <v>46193</v>
      </c>
      <c r="S258" s="71" t="str">
        <f aca="false">+IF(R258&lt;=Q258,"NO","SI")</f>
        <v>SI</v>
      </c>
      <c r="T258" s="78" t="n">
        <f aca="false">+R258-Q258</f>
        <v>54</v>
      </c>
      <c r="U258" s="74"/>
      <c r="V258" s="74"/>
      <c r="W258" s="71"/>
    </row>
    <row r="259" s="41" customFormat="true" ht="28.5" hidden="false" customHeight="false" outlineLevel="0" collapsed="false">
      <c r="A259" s="36"/>
      <c r="B259" s="70" t="s">
        <v>1</v>
      </c>
      <c r="C259" s="71" t="s">
        <v>480</v>
      </c>
      <c r="D259" s="72" t="s">
        <v>650</v>
      </c>
      <c r="E259" s="73" t="s">
        <v>651</v>
      </c>
      <c r="F259" s="73" t="s">
        <v>213</v>
      </c>
      <c r="G259" s="74" t="s">
        <v>312</v>
      </c>
      <c r="H259" s="74" t="n">
        <v>1</v>
      </c>
      <c r="I259" s="74" t="n">
        <v>5</v>
      </c>
      <c r="J259" s="73" t="s">
        <v>206</v>
      </c>
      <c r="K259" s="74" t="s">
        <v>3</v>
      </c>
      <c r="L259" s="74" t="s">
        <v>494</v>
      </c>
      <c r="M259" s="74" t="s">
        <v>9</v>
      </c>
      <c r="N259" s="74" t="s">
        <v>509</v>
      </c>
      <c r="O259" s="75"/>
      <c r="P259" s="74"/>
      <c r="Q259" s="71" t="n">
        <v>46139</v>
      </c>
      <c r="R259" s="71" t="n">
        <v>46193</v>
      </c>
      <c r="S259" s="71" t="str">
        <f aca="false">+IF(R259&lt;=Q259,"NO","SI")</f>
        <v>SI</v>
      </c>
      <c r="T259" s="78" t="n">
        <f aca="false">+R259-Q259</f>
        <v>54</v>
      </c>
      <c r="U259" s="74"/>
      <c r="V259" s="74"/>
      <c r="W259" s="71"/>
    </row>
    <row r="260" s="41" customFormat="true" ht="28.5" hidden="false" customHeight="false" outlineLevel="0" collapsed="false">
      <c r="A260" s="36"/>
      <c r="B260" s="70" t="s">
        <v>1</v>
      </c>
      <c r="C260" s="71" t="s">
        <v>480</v>
      </c>
      <c r="D260" s="72" t="s">
        <v>652</v>
      </c>
      <c r="E260" s="73" t="s">
        <v>651</v>
      </c>
      <c r="F260" s="73" t="s">
        <v>213</v>
      </c>
      <c r="G260" s="74" t="s">
        <v>312</v>
      </c>
      <c r="H260" s="74" t="n">
        <v>1</v>
      </c>
      <c r="I260" s="74" t="n">
        <v>5</v>
      </c>
      <c r="J260" s="73" t="s">
        <v>206</v>
      </c>
      <c r="K260" s="74" t="s">
        <v>3</v>
      </c>
      <c r="L260" s="74" t="s">
        <v>494</v>
      </c>
      <c r="M260" s="74" t="s">
        <v>9</v>
      </c>
      <c r="N260" s="74" t="s">
        <v>509</v>
      </c>
      <c r="O260" s="75"/>
      <c r="P260" s="74"/>
      <c r="Q260" s="71" t="n">
        <v>46139</v>
      </c>
      <c r="R260" s="71" t="n">
        <v>46193</v>
      </c>
      <c r="S260" s="71" t="str">
        <f aca="false">+IF(R260&lt;=Q260,"NO","SI")</f>
        <v>SI</v>
      </c>
      <c r="T260" s="78" t="n">
        <f aca="false">+R260-Q260</f>
        <v>54</v>
      </c>
      <c r="U260" s="74"/>
      <c r="V260" s="74"/>
      <c r="W260" s="71"/>
    </row>
    <row r="261" s="41" customFormat="true" ht="28.5" hidden="false" customHeight="false" outlineLevel="0" collapsed="false">
      <c r="A261" s="36"/>
      <c r="B261" s="70" t="s">
        <v>1</v>
      </c>
      <c r="C261" s="71" t="s">
        <v>480</v>
      </c>
      <c r="D261" s="72" t="s">
        <v>653</v>
      </c>
      <c r="E261" s="73" t="s">
        <v>638</v>
      </c>
      <c r="F261" s="73" t="s">
        <v>252</v>
      </c>
      <c r="G261" s="74" t="s">
        <v>312</v>
      </c>
      <c r="H261" s="74" t="n">
        <v>1</v>
      </c>
      <c r="I261" s="74" t="n">
        <v>5</v>
      </c>
      <c r="J261" s="73" t="s">
        <v>113</v>
      </c>
      <c r="K261" s="74" t="s">
        <v>3</v>
      </c>
      <c r="L261" s="74" t="s">
        <v>494</v>
      </c>
      <c r="M261" s="74" t="s">
        <v>9</v>
      </c>
      <c r="N261" s="74" t="s">
        <v>509</v>
      </c>
      <c r="O261" s="75"/>
      <c r="P261" s="74"/>
      <c r="Q261" s="71" t="n">
        <v>46139</v>
      </c>
      <c r="R261" s="71" t="n">
        <v>46193</v>
      </c>
      <c r="S261" s="71" t="str">
        <f aca="false">+IF(R261&lt;=Q261,"NO","SI")</f>
        <v>SI</v>
      </c>
      <c r="T261" s="78" t="n">
        <f aca="false">+R261-Q261</f>
        <v>54</v>
      </c>
      <c r="U261" s="74"/>
      <c r="V261" s="74"/>
      <c r="W261" s="71"/>
    </row>
    <row r="262" s="41" customFormat="true" ht="28.5" hidden="false" customHeight="false" outlineLevel="0" collapsed="false">
      <c r="A262" s="36"/>
      <c r="B262" s="70" t="s">
        <v>1</v>
      </c>
      <c r="C262" s="71" t="s">
        <v>480</v>
      </c>
      <c r="D262" s="72" t="s">
        <v>654</v>
      </c>
      <c r="E262" s="73" t="s">
        <v>638</v>
      </c>
      <c r="F262" s="73" t="s">
        <v>258</v>
      </c>
      <c r="G262" s="74" t="s">
        <v>312</v>
      </c>
      <c r="H262" s="74" t="n">
        <v>1</v>
      </c>
      <c r="I262" s="74" t="n">
        <v>5</v>
      </c>
      <c r="J262" s="73" t="s">
        <v>113</v>
      </c>
      <c r="K262" s="74" t="s">
        <v>3</v>
      </c>
      <c r="L262" s="74" t="s">
        <v>494</v>
      </c>
      <c r="M262" s="74" t="s">
        <v>9</v>
      </c>
      <c r="N262" s="74" t="s">
        <v>509</v>
      </c>
      <c r="O262" s="75"/>
      <c r="P262" s="74"/>
      <c r="Q262" s="71" t="n">
        <v>46139</v>
      </c>
      <c r="R262" s="71" t="n">
        <v>46193</v>
      </c>
      <c r="S262" s="71" t="str">
        <f aca="false">+IF(R262&lt;=Q262,"NO","SI")</f>
        <v>SI</v>
      </c>
      <c r="T262" s="78" t="n">
        <f aca="false">+R262-Q262</f>
        <v>54</v>
      </c>
      <c r="U262" s="74"/>
      <c r="V262" s="74"/>
      <c r="W262" s="71"/>
    </row>
    <row r="263" s="41" customFormat="true" ht="28.5" hidden="false" customHeight="false" outlineLevel="0" collapsed="false">
      <c r="A263" s="36"/>
      <c r="B263" s="70" t="s">
        <v>1</v>
      </c>
      <c r="C263" s="71" t="s">
        <v>480</v>
      </c>
      <c r="D263" s="72" t="s">
        <v>655</v>
      </c>
      <c r="E263" s="73" t="s">
        <v>642</v>
      </c>
      <c r="F263" s="73" t="s">
        <v>219</v>
      </c>
      <c r="G263" s="74" t="s">
        <v>312</v>
      </c>
      <c r="H263" s="74" t="n">
        <v>1</v>
      </c>
      <c r="I263" s="74" t="n">
        <v>5</v>
      </c>
      <c r="J263" s="73" t="s">
        <v>206</v>
      </c>
      <c r="K263" s="74" t="s">
        <v>3</v>
      </c>
      <c r="L263" s="74" t="s">
        <v>494</v>
      </c>
      <c r="M263" s="74" t="s">
        <v>9</v>
      </c>
      <c r="N263" s="74" t="s">
        <v>509</v>
      </c>
      <c r="O263" s="75"/>
      <c r="P263" s="74"/>
      <c r="Q263" s="71" t="n">
        <v>46139</v>
      </c>
      <c r="R263" s="71" t="n">
        <v>46193</v>
      </c>
      <c r="S263" s="71" t="str">
        <f aca="false">+IF(R263&lt;=Q263,"NO","SI")</f>
        <v>SI</v>
      </c>
      <c r="T263" s="78" t="n">
        <f aca="false">+R263-Q263</f>
        <v>54</v>
      </c>
      <c r="U263" s="74"/>
      <c r="V263" s="74"/>
      <c r="W263" s="71"/>
    </row>
    <row r="264" s="41" customFormat="true" ht="28.5" hidden="false" customHeight="false" outlineLevel="0" collapsed="false">
      <c r="A264" s="36"/>
      <c r="B264" s="70" t="s">
        <v>1</v>
      </c>
      <c r="C264" s="71" t="s">
        <v>480</v>
      </c>
      <c r="D264" s="72" t="s">
        <v>656</v>
      </c>
      <c r="E264" s="73" t="s">
        <v>642</v>
      </c>
      <c r="F264" s="73" t="s">
        <v>215</v>
      </c>
      <c r="G264" s="74" t="s">
        <v>312</v>
      </c>
      <c r="H264" s="74" t="n">
        <v>1</v>
      </c>
      <c r="I264" s="74" t="n">
        <v>5</v>
      </c>
      <c r="J264" s="73" t="s">
        <v>206</v>
      </c>
      <c r="K264" s="74" t="s">
        <v>3</v>
      </c>
      <c r="L264" s="74" t="s">
        <v>494</v>
      </c>
      <c r="M264" s="74" t="s">
        <v>9</v>
      </c>
      <c r="N264" s="74" t="s">
        <v>509</v>
      </c>
      <c r="O264" s="75"/>
      <c r="P264" s="74"/>
      <c r="Q264" s="71" t="n">
        <v>46139</v>
      </c>
      <c r="R264" s="71" t="n">
        <v>46193</v>
      </c>
      <c r="S264" s="71" t="str">
        <f aca="false">+IF(R264&lt;=Q264,"NO","SI")</f>
        <v>SI</v>
      </c>
      <c r="T264" s="78" t="n">
        <f aca="false">+R264-Q264</f>
        <v>54</v>
      </c>
      <c r="U264" s="74"/>
      <c r="V264" s="74"/>
      <c r="W264" s="71"/>
    </row>
    <row r="265" s="41" customFormat="true" ht="28.5" hidden="false" customHeight="false" outlineLevel="0" collapsed="false">
      <c r="A265" s="36"/>
      <c r="B265" s="70" t="s">
        <v>1</v>
      </c>
      <c r="C265" s="71" t="s">
        <v>480</v>
      </c>
      <c r="D265" s="72" t="s">
        <v>657</v>
      </c>
      <c r="E265" s="73" t="s">
        <v>644</v>
      </c>
      <c r="F265" s="73" t="s">
        <v>217</v>
      </c>
      <c r="G265" s="74" t="s">
        <v>312</v>
      </c>
      <c r="H265" s="74" t="n">
        <v>1</v>
      </c>
      <c r="I265" s="74" t="n">
        <v>5</v>
      </c>
      <c r="J265" s="73" t="s">
        <v>206</v>
      </c>
      <c r="K265" s="74" t="s">
        <v>3</v>
      </c>
      <c r="L265" s="74" t="s">
        <v>494</v>
      </c>
      <c r="M265" s="74" t="s">
        <v>9</v>
      </c>
      <c r="N265" s="74" t="s">
        <v>509</v>
      </c>
      <c r="O265" s="75"/>
      <c r="P265" s="74"/>
      <c r="Q265" s="71" t="n">
        <v>46139</v>
      </c>
      <c r="R265" s="71" t="n">
        <v>46193</v>
      </c>
      <c r="S265" s="71" t="str">
        <f aca="false">+IF(R265&lt;=Q265,"NO","SI")</f>
        <v>SI</v>
      </c>
      <c r="T265" s="78" t="n">
        <f aca="false">+R265-Q265</f>
        <v>54</v>
      </c>
      <c r="U265" s="74"/>
      <c r="V265" s="74"/>
      <c r="W265" s="71"/>
    </row>
    <row r="266" s="109" customFormat="true" ht="14.25" hidden="false" customHeight="false" outlineLevel="0" collapsed="false">
      <c r="A266" s="36"/>
      <c r="B266" s="61" t="s">
        <v>309</v>
      </c>
      <c r="C266" s="62" t="s">
        <v>480</v>
      </c>
      <c r="D266" s="63"/>
      <c r="E266" s="64" t="s">
        <v>493</v>
      </c>
      <c r="F266" s="65"/>
      <c r="G266" s="66"/>
      <c r="H266" s="67"/>
      <c r="I266" s="67"/>
      <c r="J266" s="67"/>
      <c r="K266" s="65"/>
      <c r="L266" s="65"/>
      <c r="M266" s="65"/>
      <c r="N266" s="65"/>
      <c r="O266" s="68"/>
      <c r="P266" s="65"/>
      <c r="Q266" s="65"/>
      <c r="R266" s="65"/>
      <c r="S266" s="65"/>
      <c r="T266" s="69"/>
      <c r="U266" s="65"/>
      <c r="V266" s="65"/>
      <c r="W266" s="65"/>
    </row>
    <row r="267" s="41" customFormat="true" ht="28.5" hidden="false" customHeight="false" outlineLevel="0" collapsed="false">
      <c r="A267" s="36"/>
      <c r="B267" s="70" t="s">
        <v>1</v>
      </c>
      <c r="C267" s="71" t="s">
        <v>480</v>
      </c>
      <c r="D267" s="72" t="s">
        <v>658</v>
      </c>
      <c r="E267" s="73" t="s">
        <v>659</v>
      </c>
      <c r="F267" s="73" t="s">
        <v>267</v>
      </c>
      <c r="G267" s="74" t="s">
        <v>312</v>
      </c>
      <c r="H267" s="74" t="n">
        <v>1</v>
      </c>
      <c r="I267" s="74" t="n">
        <v>5</v>
      </c>
      <c r="J267" s="73" t="s">
        <v>266</v>
      </c>
      <c r="K267" s="74" t="s">
        <v>3</v>
      </c>
      <c r="L267" s="74" t="s">
        <v>494</v>
      </c>
      <c r="M267" s="74" t="s">
        <v>9</v>
      </c>
      <c r="N267" s="74" t="s">
        <v>509</v>
      </c>
      <c r="O267" s="75"/>
      <c r="P267" s="74"/>
      <c r="Q267" s="71" t="n">
        <v>46162</v>
      </c>
      <c r="R267" s="71" t="n">
        <v>46169</v>
      </c>
      <c r="S267" s="71" t="str">
        <f aca="false">+IF(R267&lt;=Q267,"NO","SI")</f>
        <v>SI</v>
      </c>
      <c r="T267" s="78" t="n">
        <f aca="false">+R267-Q267</f>
        <v>7</v>
      </c>
      <c r="U267" s="74"/>
      <c r="V267" s="74"/>
      <c r="W267" s="71"/>
    </row>
    <row r="268" s="41" customFormat="true" ht="28.5" hidden="false" customHeight="false" outlineLevel="0" collapsed="false">
      <c r="A268" s="36"/>
      <c r="B268" s="70" t="s">
        <v>1</v>
      </c>
      <c r="C268" s="71" t="s">
        <v>480</v>
      </c>
      <c r="D268" s="72" t="s">
        <v>660</v>
      </c>
      <c r="E268" s="73" t="s">
        <v>661</v>
      </c>
      <c r="F268" s="73" t="s">
        <v>267</v>
      </c>
      <c r="G268" s="74" t="s">
        <v>312</v>
      </c>
      <c r="H268" s="74" t="n">
        <v>1</v>
      </c>
      <c r="I268" s="74" t="n">
        <v>5</v>
      </c>
      <c r="J268" s="73" t="s">
        <v>266</v>
      </c>
      <c r="K268" s="74" t="s">
        <v>3</v>
      </c>
      <c r="L268" s="74" t="s">
        <v>494</v>
      </c>
      <c r="M268" s="74" t="s">
        <v>9</v>
      </c>
      <c r="N268" s="74" t="s">
        <v>509</v>
      </c>
      <c r="O268" s="75"/>
      <c r="P268" s="74"/>
      <c r="Q268" s="71" t="n">
        <v>46162</v>
      </c>
      <c r="R268" s="71" t="n">
        <v>46169</v>
      </c>
      <c r="S268" s="71" t="str">
        <f aca="false">+IF(R268&lt;=Q268,"NO","SI")</f>
        <v>SI</v>
      </c>
      <c r="T268" s="78" t="n">
        <f aca="false">+R268-Q268</f>
        <v>7</v>
      </c>
      <c r="U268" s="74"/>
      <c r="V268" s="74"/>
      <c r="W268" s="71"/>
    </row>
    <row r="269" s="41" customFormat="true" ht="28.5" hidden="false" customHeight="false" outlineLevel="0" collapsed="false">
      <c r="A269" s="36"/>
      <c r="B269" s="70" t="s">
        <v>1</v>
      </c>
      <c r="C269" s="71" t="s">
        <v>480</v>
      </c>
      <c r="D269" s="72" t="s">
        <v>662</v>
      </c>
      <c r="E269" s="73" t="s">
        <v>663</v>
      </c>
      <c r="F269" s="73" t="s">
        <v>267</v>
      </c>
      <c r="G269" s="74" t="s">
        <v>312</v>
      </c>
      <c r="H269" s="74" t="n">
        <v>1</v>
      </c>
      <c r="I269" s="74" t="n">
        <v>5</v>
      </c>
      <c r="J269" s="73" t="s">
        <v>266</v>
      </c>
      <c r="K269" s="74" t="s">
        <v>3</v>
      </c>
      <c r="L269" s="74" t="s">
        <v>494</v>
      </c>
      <c r="M269" s="74" t="s">
        <v>9</v>
      </c>
      <c r="N269" s="74" t="s">
        <v>509</v>
      </c>
      <c r="O269" s="75"/>
      <c r="P269" s="74"/>
      <c r="Q269" s="71" t="n">
        <v>46162</v>
      </c>
      <c r="R269" s="71" t="n">
        <v>46169</v>
      </c>
      <c r="S269" s="71" t="str">
        <f aca="false">+IF(R269&lt;=Q269,"NO","SI")</f>
        <v>SI</v>
      </c>
      <c r="T269" s="78" t="n">
        <f aca="false">+R269-Q269</f>
        <v>7</v>
      </c>
      <c r="U269" s="74"/>
      <c r="V269" s="74"/>
      <c r="W269" s="71"/>
    </row>
    <row r="270" s="41" customFormat="true" ht="28.5" hidden="false" customHeight="false" outlineLevel="0" collapsed="false">
      <c r="A270" s="36"/>
      <c r="B270" s="70" t="s">
        <v>1</v>
      </c>
      <c r="C270" s="71" t="s">
        <v>480</v>
      </c>
      <c r="D270" s="72" t="s">
        <v>664</v>
      </c>
      <c r="E270" s="73" t="s">
        <v>663</v>
      </c>
      <c r="F270" s="73" t="s">
        <v>267</v>
      </c>
      <c r="G270" s="74" t="s">
        <v>312</v>
      </c>
      <c r="H270" s="74" t="n">
        <v>1</v>
      </c>
      <c r="I270" s="74" t="n">
        <v>5</v>
      </c>
      <c r="J270" s="73" t="s">
        <v>266</v>
      </c>
      <c r="K270" s="74" t="s">
        <v>3</v>
      </c>
      <c r="L270" s="74" t="s">
        <v>494</v>
      </c>
      <c r="M270" s="74" t="s">
        <v>9</v>
      </c>
      <c r="N270" s="74" t="s">
        <v>509</v>
      </c>
      <c r="O270" s="75"/>
      <c r="P270" s="74"/>
      <c r="Q270" s="71" t="n">
        <v>46162</v>
      </c>
      <c r="R270" s="71" t="n">
        <v>46169</v>
      </c>
      <c r="S270" s="71" t="str">
        <f aca="false">+IF(R270&lt;=Q270,"NO","SI")</f>
        <v>SI</v>
      </c>
      <c r="T270" s="78" t="n">
        <f aca="false">+R270-Q270</f>
        <v>7</v>
      </c>
      <c r="U270" s="74"/>
      <c r="V270" s="74"/>
      <c r="W270" s="71"/>
    </row>
    <row r="271" s="121" customFormat="true" ht="14.25" hidden="false" customHeight="false" outlineLevel="0" collapsed="false">
      <c r="A271" s="36"/>
      <c r="B271" s="61" t="s">
        <v>309</v>
      </c>
      <c r="C271" s="62" t="s">
        <v>480</v>
      </c>
      <c r="D271" s="63"/>
      <c r="E271" s="64" t="s">
        <v>665</v>
      </c>
      <c r="F271" s="65"/>
      <c r="G271" s="66"/>
      <c r="H271" s="67"/>
      <c r="I271" s="67"/>
      <c r="J271" s="67"/>
      <c r="K271" s="65"/>
      <c r="L271" s="65"/>
      <c r="M271" s="65"/>
      <c r="N271" s="65"/>
      <c r="O271" s="68"/>
      <c r="P271" s="65"/>
      <c r="Q271" s="65"/>
      <c r="R271" s="65"/>
      <c r="S271" s="65"/>
      <c r="T271" s="69"/>
      <c r="U271" s="65"/>
      <c r="V271" s="65"/>
      <c r="W271" s="65"/>
    </row>
    <row r="272" s="122" customFormat="true" ht="28.5" hidden="false" customHeight="false" outlineLevel="0" collapsed="false">
      <c r="A272" s="36"/>
      <c r="B272" s="70" t="s">
        <v>1</v>
      </c>
      <c r="C272" s="71" t="s">
        <v>480</v>
      </c>
      <c r="D272" s="72" t="s">
        <v>666</v>
      </c>
      <c r="E272" s="73" t="s">
        <v>667</v>
      </c>
      <c r="F272" s="73" t="s">
        <v>264</v>
      </c>
      <c r="G272" s="74" t="s">
        <v>312</v>
      </c>
      <c r="H272" s="74" t="n">
        <v>1</v>
      </c>
      <c r="I272" s="74" t="n">
        <v>5</v>
      </c>
      <c r="J272" s="73" t="s">
        <v>261</v>
      </c>
      <c r="K272" s="74" t="s">
        <v>3</v>
      </c>
      <c r="L272" s="74" t="s">
        <v>494</v>
      </c>
      <c r="M272" s="74" t="s">
        <v>9</v>
      </c>
      <c r="N272" s="74" t="s">
        <v>509</v>
      </c>
      <c r="O272" s="75"/>
      <c r="P272" s="74"/>
      <c r="Q272" s="71" t="n">
        <v>46162</v>
      </c>
      <c r="R272" s="71" t="n">
        <v>46169</v>
      </c>
      <c r="S272" s="71" t="str">
        <f aca="false">+IF(R272&lt;=Q272,"NO","SI")</f>
        <v>SI</v>
      </c>
      <c r="T272" s="78" t="n">
        <f aca="false">+R272-Q272</f>
        <v>7</v>
      </c>
      <c r="U272" s="74"/>
      <c r="V272" s="74"/>
      <c r="W272" s="71"/>
    </row>
    <row r="273" s="122" customFormat="true" ht="28.5" hidden="false" customHeight="false" outlineLevel="0" collapsed="false">
      <c r="A273" s="36"/>
      <c r="B273" s="70" t="s">
        <v>1</v>
      </c>
      <c r="C273" s="71" t="s">
        <v>480</v>
      </c>
      <c r="D273" s="72" t="s">
        <v>668</v>
      </c>
      <c r="E273" s="73" t="s">
        <v>667</v>
      </c>
      <c r="F273" s="73" t="s">
        <v>264</v>
      </c>
      <c r="G273" s="74" t="s">
        <v>312</v>
      </c>
      <c r="H273" s="74" t="n">
        <v>1</v>
      </c>
      <c r="I273" s="74" t="n">
        <v>5</v>
      </c>
      <c r="J273" s="73" t="s">
        <v>261</v>
      </c>
      <c r="K273" s="74" t="s">
        <v>3</v>
      </c>
      <c r="L273" s="74" t="s">
        <v>494</v>
      </c>
      <c r="M273" s="74" t="s">
        <v>9</v>
      </c>
      <c r="N273" s="74" t="s">
        <v>509</v>
      </c>
      <c r="O273" s="75"/>
      <c r="P273" s="74"/>
      <c r="Q273" s="71" t="n">
        <v>46162</v>
      </c>
      <c r="R273" s="71" t="n">
        <v>46169</v>
      </c>
      <c r="S273" s="71" t="str">
        <f aca="false">+IF(R273&lt;=Q273,"NO","SI")</f>
        <v>SI</v>
      </c>
      <c r="T273" s="78" t="n">
        <f aca="false">+R273-Q273</f>
        <v>7</v>
      </c>
      <c r="U273" s="74"/>
      <c r="V273" s="74"/>
      <c r="W273" s="71"/>
    </row>
    <row r="274" s="122" customFormat="true" ht="28.5" hidden="false" customHeight="false" outlineLevel="0" collapsed="false">
      <c r="A274" s="36"/>
      <c r="B274" s="123" t="s">
        <v>1</v>
      </c>
      <c r="C274" s="124" t="s">
        <v>480</v>
      </c>
      <c r="D274" s="125"/>
      <c r="E274" s="126" t="s">
        <v>669</v>
      </c>
      <c r="F274" s="126" t="s">
        <v>264</v>
      </c>
      <c r="G274" s="127" t="s">
        <v>312</v>
      </c>
      <c r="H274" s="127" t="n">
        <v>1</v>
      </c>
      <c r="I274" s="127" t="n">
        <v>5</v>
      </c>
      <c r="J274" s="126" t="s">
        <v>261</v>
      </c>
      <c r="K274" s="74" t="s">
        <v>3</v>
      </c>
      <c r="L274" s="74" t="s">
        <v>494</v>
      </c>
      <c r="M274" s="74" t="s">
        <v>9</v>
      </c>
      <c r="N274" s="74" t="s">
        <v>509</v>
      </c>
      <c r="O274" s="128"/>
      <c r="P274" s="74"/>
      <c r="Q274" s="71" t="n">
        <v>46162</v>
      </c>
      <c r="R274" s="71" t="n">
        <v>46169</v>
      </c>
      <c r="S274" s="71" t="str">
        <f aca="false">+IF(R274&lt;=Q274,"NO","SI")</f>
        <v>SI</v>
      </c>
      <c r="T274" s="78" t="n">
        <f aca="false">+R274-Q274</f>
        <v>7</v>
      </c>
      <c r="U274" s="127"/>
      <c r="V274" s="127"/>
      <c r="W274" s="71"/>
    </row>
    <row r="275" s="109" customFormat="true" ht="14.25" hidden="false" customHeight="false" outlineLevel="0" collapsed="false">
      <c r="A275" s="36"/>
      <c r="B275" s="51" t="s">
        <v>306</v>
      </c>
      <c r="C275" s="52" t="s">
        <v>480</v>
      </c>
      <c r="D275" s="53"/>
      <c r="E275" s="54" t="s">
        <v>670</v>
      </c>
      <c r="F275" s="55"/>
      <c r="G275" s="56"/>
      <c r="H275" s="57"/>
      <c r="I275" s="57"/>
      <c r="J275" s="57"/>
      <c r="K275" s="55"/>
      <c r="L275" s="55"/>
      <c r="M275" s="55"/>
      <c r="N275" s="55"/>
      <c r="O275" s="58"/>
      <c r="P275" s="55"/>
      <c r="Q275" s="55"/>
      <c r="R275" s="55"/>
      <c r="S275" s="55"/>
      <c r="T275" s="59"/>
      <c r="U275" s="55"/>
      <c r="V275" s="55"/>
      <c r="W275" s="55"/>
    </row>
    <row r="276" s="41" customFormat="true" ht="14.25" hidden="false" customHeight="false" outlineLevel="0" collapsed="false">
      <c r="A276" s="36"/>
      <c r="B276" s="70" t="s">
        <v>1</v>
      </c>
      <c r="C276" s="71" t="s">
        <v>480</v>
      </c>
      <c r="D276" s="72" t="s">
        <v>671</v>
      </c>
      <c r="E276" s="73" t="s">
        <v>672</v>
      </c>
      <c r="F276" s="73" t="s">
        <v>264</v>
      </c>
      <c r="G276" s="74" t="s">
        <v>312</v>
      </c>
      <c r="H276" s="74" t="n">
        <v>1</v>
      </c>
      <c r="I276" s="74" t="n">
        <v>5</v>
      </c>
      <c r="J276" s="73" t="s">
        <v>261</v>
      </c>
      <c r="K276" s="74" t="s">
        <v>3</v>
      </c>
      <c r="L276" s="74" t="s">
        <v>494</v>
      </c>
      <c r="M276" s="74" t="s">
        <v>8</v>
      </c>
      <c r="N276" s="74" t="s">
        <v>495</v>
      </c>
      <c r="O276" s="75" t="n">
        <v>46113</v>
      </c>
      <c r="P276" s="74"/>
      <c r="Q276" s="71" t="n">
        <v>46223</v>
      </c>
      <c r="R276" s="71" t="n">
        <v>46220</v>
      </c>
      <c r="S276" s="71" t="str">
        <f aca="false">+IF(R276&lt;=Q276,"NO","SI")</f>
        <v>NO</v>
      </c>
      <c r="T276" s="78" t="n">
        <f aca="false">+R276-Q276</f>
        <v>-3</v>
      </c>
      <c r="U276" s="74"/>
      <c r="V276" s="129"/>
      <c r="W276" s="71"/>
    </row>
    <row r="277" s="41" customFormat="true" ht="14.25" hidden="false" customHeight="false" outlineLevel="0" collapsed="false">
      <c r="A277" s="36"/>
      <c r="B277" s="70" t="s">
        <v>1</v>
      </c>
      <c r="C277" s="71" t="s">
        <v>480</v>
      </c>
      <c r="D277" s="72" t="s">
        <v>673</v>
      </c>
      <c r="E277" s="73" t="s">
        <v>672</v>
      </c>
      <c r="F277" s="73" t="s">
        <v>264</v>
      </c>
      <c r="G277" s="74" t="s">
        <v>312</v>
      </c>
      <c r="H277" s="74" t="n">
        <v>1</v>
      </c>
      <c r="I277" s="74" t="n">
        <v>5</v>
      </c>
      <c r="J277" s="73" t="s">
        <v>261</v>
      </c>
      <c r="K277" s="74" t="s">
        <v>3</v>
      </c>
      <c r="L277" s="74" t="s">
        <v>494</v>
      </c>
      <c r="M277" s="74" t="s">
        <v>8</v>
      </c>
      <c r="N277" s="74" t="s">
        <v>495</v>
      </c>
      <c r="O277" s="75" t="n">
        <v>46113</v>
      </c>
      <c r="P277" s="74"/>
      <c r="Q277" s="71" t="n">
        <v>46223</v>
      </c>
      <c r="R277" s="71" t="n">
        <v>46220</v>
      </c>
      <c r="S277" s="71" t="str">
        <f aca="false">+IF(R277&lt;=Q277,"NO","SI")</f>
        <v>NO</v>
      </c>
      <c r="T277" s="78" t="n">
        <f aca="false">+R277-Q277</f>
        <v>-3</v>
      </c>
      <c r="U277" s="74"/>
      <c r="V277" s="129"/>
      <c r="W277" s="71"/>
    </row>
    <row r="278" s="41" customFormat="true" ht="14.25" hidden="false" customHeight="false" outlineLevel="0" collapsed="false">
      <c r="A278" s="36"/>
      <c r="B278" s="70" t="s">
        <v>1</v>
      </c>
      <c r="C278" s="71" t="s">
        <v>480</v>
      </c>
      <c r="D278" s="72" t="s">
        <v>674</v>
      </c>
      <c r="E278" s="73" t="s">
        <v>675</v>
      </c>
      <c r="F278" s="73" t="s">
        <v>262</v>
      </c>
      <c r="G278" s="74" t="s">
        <v>312</v>
      </c>
      <c r="H278" s="74" t="n">
        <v>1</v>
      </c>
      <c r="I278" s="74" t="n">
        <v>5</v>
      </c>
      <c r="J278" s="73" t="s">
        <v>261</v>
      </c>
      <c r="K278" s="74" t="s">
        <v>3</v>
      </c>
      <c r="L278" s="74"/>
      <c r="M278" s="74" t="s">
        <v>10</v>
      </c>
      <c r="N278" s="74" t="s">
        <v>509</v>
      </c>
      <c r="O278" s="75"/>
      <c r="P278" s="74"/>
      <c r="Q278" s="71" t="n">
        <v>46202</v>
      </c>
      <c r="R278" s="71" t="n">
        <v>46220</v>
      </c>
      <c r="S278" s="71" t="str">
        <f aca="false">+IF(R278&lt;=Q278,"NO","SI")</f>
        <v>SI</v>
      </c>
      <c r="T278" s="78" t="n">
        <f aca="false">+R278-Q278</f>
        <v>18</v>
      </c>
      <c r="U278" s="74"/>
      <c r="V278" s="74"/>
      <c r="W278" s="71"/>
    </row>
    <row r="279" s="41" customFormat="true" ht="28.5" hidden="false" customHeight="false" outlineLevel="0" collapsed="false">
      <c r="A279" s="36"/>
      <c r="B279" s="70" t="s">
        <v>1</v>
      </c>
      <c r="C279" s="71" t="s">
        <v>480</v>
      </c>
      <c r="D279" s="72" t="s">
        <v>676</v>
      </c>
      <c r="E279" s="73" t="s">
        <v>677</v>
      </c>
      <c r="F279" s="73" t="s">
        <v>262</v>
      </c>
      <c r="G279" s="74" t="s">
        <v>312</v>
      </c>
      <c r="H279" s="74" t="n">
        <v>1</v>
      </c>
      <c r="I279" s="74" t="n">
        <v>5</v>
      </c>
      <c r="J279" s="73" t="s">
        <v>261</v>
      </c>
      <c r="K279" s="74" t="s">
        <v>3</v>
      </c>
      <c r="L279" s="74"/>
      <c r="M279" s="74" t="s">
        <v>10</v>
      </c>
      <c r="N279" s="74" t="s">
        <v>509</v>
      </c>
      <c r="O279" s="75"/>
      <c r="P279" s="74"/>
      <c r="Q279" s="71" t="n">
        <v>46202</v>
      </c>
      <c r="R279" s="71" t="n">
        <v>46220</v>
      </c>
      <c r="S279" s="71" t="str">
        <f aca="false">+IF(R279&lt;=Q279,"NO","SI")</f>
        <v>SI</v>
      </c>
      <c r="T279" s="78" t="n">
        <f aca="false">+R279-Q279</f>
        <v>18</v>
      </c>
      <c r="U279" s="74"/>
      <c r="V279" s="74"/>
      <c r="W279" s="71"/>
    </row>
    <row r="280" s="41" customFormat="true" ht="14.25" hidden="false" customHeight="false" outlineLevel="0" collapsed="false">
      <c r="A280" s="36"/>
      <c r="B280" s="70" t="s">
        <v>1</v>
      </c>
      <c r="C280" s="71" t="s">
        <v>480</v>
      </c>
      <c r="D280" s="72" t="s">
        <v>678</v>
      </c>
      <c r="E280" s="73" t="s">
        <v>679</v>
      </c>
      <c r="F280" s="73" t="s">
        <v>264</v>
      </c>
      <c r="G280" s="74" t="s">
        <v>312</v>
      </c>
      <c r="H280" s="74" t="n">
        <v>1</v>
      </c>
      <c r="I280" s="74" t="n">
        <v>5</v>
      </c>
      <c r="J280" s="73" t="s">
        <v>261</v>
      </c>
      <c r="K280" s="74" t="s">
        <v>3</v>
      </c>
      <c r="L280" s="74"/>
      <c r="M280" s="74" t="s">
        <v>10</v>
      </c>
      <c r="N280" s="74" t="s">
        <v>509</v>
      </c>
      <c r="O280" s="75"/>
      <c r="P280" s="74"/>
      <c r="Q280" s="71" t="n">
        <v>46188</v>
      </c>
      <c r="R280" s="71" t="n">
        <v>46220</v>
      </c>
      <c r="S280" s="71" t="str">
        <f aca="false">+IF(R280&lt;=Q280,"NO","SI")</f>
        <v>SI</v>
      </c>
      <c r="T280" s="78" t="n">
        <f aca="false">+R280-Q280</f>
        <v>32</v>
      </c>
      <c r="U280" s="74"/>
      <c r="V280" s="74"/>
      <c r="W280" s="71"/>
    </row>
    <row r="281" s="41" customFormat="true" ht="28.5" hidden="false" customHeight="false" outlineLevel="0" collapsed="false">
      <c r="A281" s="36"/>
      <c r="B281" s="70" t="s">
        <v>1</v>
      </c>
      <c r="C281" s="71" t="s">
        <v>480</v>
      </c>
      <c r="D281" s="72" t="s">
        <v>680</v>
      </c>
      <c r="E281" s="73" t="s">
        <v>681</v>
      </c>
      <c r="F281" s="73" t="s">
        <v>75</v>
      </c>
      <c r="G281" s="74" t="s">
        <v>312</v>
      </c>
      <c r="H281" s="74" t="n">
        <v>1</v>
      </c>
      <c r="I281" s="74" t="n">
        <v>5</v>
      </c>
      <c r="J281" s="73" t="s">
        <v>40</v>
      </c>
      <c r="K281" s="74" t="s">
        <v>3</v>
      </c>
      <c r="L281" s="74"/>
      <c r="M281" s="74" t="s">
        <v>10</v>
      </c>
      <c r="N281" s="74" t="s">
        <v>509</v>
      </c>
      <c r="O281" s="75"/>
      <c r="P281" s="74"/>
      <c r="Q281" s="71" t="n">
        <v>46188</v>
      </c>
      <c r="R281" s="71" t="n">
        <v>46199</v>
      </c>
      <c r="S281" s="71" t="str">
        <f aca="false">+IF(R281&lt;=Q281,"NO","SI")</f>
        <v>SI</v>
      </c>
      <c r="T281" s="78" t="n">
        <f aca="false">+R281-Q281</f>
        <v>11</v>
      </c>
      <c r="U281" s="74"/>
      <c r="V281" s="74"/>
      <c r="W281" s="71"/>
    </row>
    <row r="282" s="41" customFormat="true" ht="14.25" hidden="false" customHeight="false" outlineLevel="0" collapsed="false">
      <c r="A282" s="36"/>
      <c r="B282" s="70" t="s">
        <v>1</v>
      </c>
      <c r="C282" s="71" t="s">
        <v>480</v>
      </c>
      <c r="D282" s="72" t="s">
        <v>682</v>
      </c>
      <c r="E282" s="73" t="s">
        <v>679</v>
      </c>
      <c r="F282" s="73" t="s">
        <v>264</v>
      </c>
      <c r="G282" s="74" t="s">
        <v>312</v>
      </c>
      <c r="H282" s="74" t="n">
        <v>1</v>
      </c>
      <c r="I282" s="74" t="n">
        <v>5</v>
      </c>
      <c r="J282" s="73" t="s">
        <v>261</v>
      </c>
      <c r="K282" s="74" t="s">
        <v>3</v>
      </c>
      <c r="L282" s="74"/>
      <c r="M282" s="74" t="s">
        <v>10</v>
      </c>
      <c r="N282" s="74" t="s">
        <v>509</v>
      </c>
      <c r="O282" s="75"/>
      <c r="P282" s="74"/>
      <c r="Q282" s="71" t="n">
        <v>46188</v>
      </c>
      <c r="R282" s="71" t="n">
        <v>46220</v>
      </c>
      <c r="S282" s="71" t="str">
        <f aca="false">+IF(R282&lt;=Q282,"NO","SI")</f>
        <v>SI</v>
      </c>
      <c r="T282" s="78" t="n">
        <f aca="false">+R282-Q282</f>
        <v>32</v>
      </c>
      <c r="U282" s="74"/>
      <c r="V282" s="74"/>
      <c r="W282" s="71"/>
    </row>
    <row r="283" s="41" customFormat="true" ht="28.5" hidden="false" customHeight="false" outlineLevel="0" collapsed="false">
      <c r="A283" s="36"/>
      <c r="B283" s="70" t="s">
        <v>1</v>
      </c>
      <c r="C283" s="71" t="s">
        <v>480</v>
      </c>
      <c r="D283" s="72" t="s">
        <v>683</v>
      </c>
      <c r="E283" s="73" t="s">
        <v>681</v>
      </c>
      <c r="F283" s="73" t="s">
        <v>75</v>
      </c>
      <c r="G283" s="74" t="s">
        <v>312</v>
      </c>
      <c r="H283" s="74" t="n">
        <v>1</v>
      </c>
      <c r="I283" s="74" t="n">
        <v>5</v>
      </c>
      <c r="J283" s="73" t="s">
        <v>40</v>
      </c>
      <c r="K283" s="74" t="s">
        <v>3</v>
      </c>
      <c r="L283" s="74"/>
      <c r="M283" s="74" t="s">
        <v>10</v>
      </c>
      <c r="N283" s="74" t="s">
        <v>509</v>
      </c>
      <c r="O283" s="75"/>
      <c r="P283" s="74"/>
      <c r="Q283" s="71" t="n">
        <v>46188</v>
      </c>
      <c r="R283" s="71" t="n">
        <v>46199</v>
      </c>
      <c r="S283" s="71" t="str">
        <f aca="false">+IF(R283&lt;=Q283,"NO","SI")</f>
        <v>SI</v>
      </c>
      <c r="T283" s="78" t="n">
        <f aca="false">+R283-Q283</f>
        <v>11</v>
      </c>
      <c r="U283" s="74"/>
      <c r="V283" s="74"/>
      <c r="W283" s="71"/>
    </row>
    <row r="284" s="41" customFormat="true" ht="14.25" hidden="false" customHeight="false" outlineLevel="0" collapsed="false">
      <c r="A284" s="36"/>
      <c r="B284" s="70" t="s">
        <v>1</v>
      </c>
      <c r="C284" s="71" t="s">
        <v>480</v>
      </c>
      <c r="D284" s="72" t="s">
        <v>684</v>
      </c>
      <c r="E284" s="73" t="s">
        <v>685</v>
      </c>
      <c r="F284" s="73" t="s">
        <v>267</v>
      </c>
      <c r="G284" s="74" t="s">
        <v>312</v>
      </c>
      <c r="H284" s="74" t="n">
        <v>1</v>
      </c>
      <c r="I284" s="74" t="n">
        <v>5</v>
      </c>
      <c r="J284" s="73" t="s">
        <v>266</v>
      </c>
      <c r="K284" s="74" t="s">
        <v>3</v>
      </c>
      <c r="L284" s="74"/>
      <c r="M284" s="74" t="s">
        <v>10</v>
      </c>
      <c r="N284" s="74" t="s">
        <v>509</v>
      </c>
      <c r="O284" s="75"/>
      <c r="P284" s="74"/>
      <c r="Q284" s="71" t="n">
        <v>46188</v>
      </c>
      <c r="R284" s="71" t="n">
        <v>46220</v>
      </c>
      <c r="S284" s="71" t="str">
        <f aca="false">+IF(R284&lt;=Q284,"NO","SI")</f>
        <v>SI</v>
      </c>
      <c r="T284" s="78" t="n">
        <f aca="false">+R284-Q284</f>
        <v>32</v>
      </c>
      <c r="U284" s="74"/>
      <c r="V284" s="74"/>
      <c r="W284" s="71"/>
    </row>
    <row r="285" s="41" customFormat="true" ht="28.5" hidden="false" customHeight="false" outlineLevel="0" collapsed="false">
      <c r="A285" s="36"/>
      <c r="B285" s="70" t="s">
        <v>1</v>
      </c>
      <c r="C285" s="71" t="s">
        <v>480</v>
      </c>
      <c r="D285" s="72" t="s">
        <v>686</v>
      </c>
      <c r="E285" s="73" t="s">
        <v>687</v>
      </c>
      <c r="F285" s="73" t="s">
        <v>194</v>
      </c>
      <c r="G285" s="74" t="s">
        <v>312</v>
      </c>
      <c r="H285" s="74" t="n">
        <v>1</v>
      </c>
      <c r="I285" s="74" t="n">
        <v>5</v>
      </c>
      <c r="J285" s="73" t="s">
        <v>113</v>
      </c>
      <c r="K285" s="74" t="s">
        <v>3</v>
      </c>
      <c r="L285" s="74"/>
      <c r="M285" s="74" t="s">
        <v>10</v>
      </c>
      <c r="N285" s="74" t="s">
        <v>509</v>
      </c>
      <c r="O285" s="75"/>
      <c r="P285" s="74"/>
      <c r="Q285" s="71" t="n">
        <v>46188</v>
      </c>
      <c r="R285" s="71" t="n">
        <v>46224</v>
      </c>
      <c r="S285" s="71" t="str">
        <f aca="false">+IF(R285&lt;=Q285,"NO","SI")</f>
        <v>SI</v>
      </c>
      <c r="T285" s="78" t="n">
        <f aca="false">+R285-Q285</f>
        <v>36</v>
      </c>
      <c r="U285" s="74"/>
      <c r="V285" s="74"/>
      <c r="W285" s="71"/>
    </row>
    <row r="286" s="41" customFormat="true" ht="14.25" hidden="false" customHeight="false" outlineLevel="0" collapsed="false">
      <c r="A286" s="36"/>
      <c r="B286" s="70" t="s">
        <v>1</v>
      </c>
      <c r="C286" s="71" t="s">
        <v>480</v>
      </c>
      <c r="D286" s="72" t="s">
        <v>688</v>
      </c>
      <c r="E286" s="73" t="s">
        <v>685</v>
      </c>
      <c r="F286" s="73" t="s">
        <v>267</v>
      </c>
      <c r="G286" s="74" t="s">
        <v>312</v>
      </c>
      <c r="H286" s="74" t="n">
        <v>1</v>
      </c>
      <c r="I286" s="74" t="n">
        <v>5</v>
      </c>
      <c r="J286" s="73" t="s">
        <v>266</v>
      </c>
      <c r="K286" s="74" t="s">
        <v>3</v>
      </c>
      <c r="L286" s="74"/>
      <c r="M286" s="74" t="s">
        <v>10</v>
      </c>
      <c r="N286" s="74" t="s">
        <v>509</v>
      </c>
      <c r="O286" s="75"/>
      <c r="P286" s="74"/>
      <c r="Q286" s="71" t="n">
        <v>46188</v>
      </c>
      <c r="R286" s="71" t="n">
        <v>46220</v>
      </c>
      <c r="S286" s="71" t="str">
        <f aca="false">+IF(R286&lt;=Q286,"NO","SI")</f>
        <v>SI</v>
      </c>
      <c r="T286" s="78" t="n">
        <f aca="false">+R286-Q286</f>
        <v>32</v>
      </c>
      <c r="U286" s="74"/>
      <c r="V286" s="74"/>
      <c r="W286" s="71"/>
    </row>
    <row r="287" s="41" customFormat="true" ht="28.5" hidden="false" customHeight="false" outlineLevel="0" collapsed="false">
      <c r="A287" s="36"/>
      <c r="B287" s="70" t="s">
        <v>1</v>
      </c>
      <c r="C287" s="71" t="s">
        <v>480</v>
      </c>
      <c r="D287" s="72" t="s">
        <v>689</v>
      </c>
      <c r="E287" s="73" t="s">
        <v>687</v>
      </c>
      <c r="F287" s="73" t="s">
        <v>194</v>
      </c>
      <c r="G287" s="74" t="s">
        <v>312</v>
      </c>
      <c r="H287" s="74" t="n">
        <v>1</v>
      </c>
      <c r="I287" s="74" t="n">
        <v>5</v>
      </c>
      <c r="J287" s="73" t="s">
        <v>113</v>
      </c>
      <c r="K287" s="74" t="s">
        <v>3</v>
      </c>
      <c r="L287" s="74"/>
      <c r="M287" s="74" t="s">
        <v>10</v>
      </c>
      <c r="N287" s="74" t="s">
        <v>509</v>
      </c>
      <c r="O287" s="75"/>
      <c r="P287" s="74"/>
      <c r="Q287" s="71" t="n">
        <v>46202</v>
      </c>
      <c r="R287" s="71" t="n">
        <v>46224</v>
      </c>
      <c r="S287" s="71" t="str">
        <f aca="false">+IF(R287&lt;=Q287,"NO","SI")</f>
        <v>SI</v>
      </c>
      <c r="T287" s="78" t="n">
        <f aca="false">+R287-Q287</f>
        <v>22</v>
      </c>
      <c r="U287" s="74"/>
      <c r="V287" s="74"/>
      <c r="W287" s="71"/>
    </row>
    <row r="288" s="41" customFormat="true" ht="14.25" hidden="false" customHeight="false" outlineLevel="0" collapsed="false">
      <c r="A288" s="36"/>
      <c r="B288" s="70" t="s">
        <v>1</v>
      </c>
      <c r="C288" s="71" t="s">
        <v>480</v>
      </c>
      <c r="D288" s="72" t="s">
        <v>690</v>
      </c>
      <c r="E288" s="73" t="s">
        <v>675</v>
      </c>
      <c r="F288" s="73" t="s">
        <v>286</v>
      </c>
      <c r="G288" s="74" t="s">
        <v>312</v>
      </c>
      <c r="H288" s="74" t="n">
        <v>1</v>
      </c>
      <c r="I288" s="74" t="n">
        <v>5</v>
      </c>
      <c r="J288" s="73" t="s">
        <v>53</v>
      </c>
      <c r="K288" s="74" t="s">
        <v>3</v>
      </c>
      <c r="L288" s="74"/>
      <c r="M288" s="74" t="s">
        <v>10</v>
      </c>
      <c r="N288" s="74" t="s">
        <v>509</v>
      </c>
      <c r="O288" s="75"/>
      <c r="P288" s="74"/>
      <c r="Q288" s="71" t="n">
        <v>46202</v>
      </c>
      <c r="R288" s="71" t="n">
        <v>46213</v>
      </c>
      <c r="S288" s="71" t="str">
        <f aca="false">+IF(R288&lt;=Q288,"NO","SI")</f>
        <v>SI</v>
      </c>
      <c r="T288" s="78" t="n">
        <f aca="false">+R288-Q288</f>
        <v>11</v>
      </c>
      <c r="U288" s="74"/>
      <c r="V288" s="74"/>
      <c r="W288" s="71"/>
    </row>
    <row r="289" s="41" customFormat="true" ht="28.5" hidden="false" customHeight="false" outlineLevel="0" collapsed="false">
      <c r="A289" s="36"/>
      <c r="B289" s="70" t="s">
        <v>1</v>
      </c>
      <c r="C289" s="71" t="s">
        <v>480</v>
      </c>
      <c r="D289" s="72" t="s">
        <v>691</v>
      </c>
      <c r="E289" s="73" t="s">
        <v>677</v>
      </c>
      <c r="F289" s="73" t="s">
        <v>256</v>
      </c>
      <c r="G289" s="74" t="s">
        <v>312</v>
      </c>
      <c r="H289" s="74" t="n">
        <v>1</v>
      </c>
      <c r="I289" s="74" t="n">
        <v>5</v>
      </c>
      <c r="J289" s="73" t="s">
        <v>113</v>
      </c>
      <c r="K289" s="74" t="s">
        <v>3</v>
      </c>
      <c r="L289" s="74"/>
      <c r="M289" s="74" t="s">
        <v>10</v>
      </c>
      <c r="N289" s="74" t="s">
        <v>509</v>
      </c>
      <c r="O289" s="75"/>
      <c r="P289" s="74"/>
      <c r="Q289" s="71" t="n">
        <v>46202</v>
      </c>
      <c r="R289" s="71" t="n">
        <v>46230</v>
      </c>
      <c r="S289" s="71" t="str">
        <f aca="false">+IF(R289&lt;=Q289,"NO","SI")</f>
        <v>SI</v>
      </c>
      <c r="T289" s="78" t="n">
        <f aca="false">+R289-Q289</f>
        <v>28</v>
      </c>
      <c r="U289" s="74"/>
      <c r="V289" s="74"/>
      <c r="W289" s="71"/>
    </row>
    <row r="290" s="41" customFormat="true" ht="14.25" hidden="false" customHeight="false" outlineLevel="0" collapsed="false">
      <c r="A290" s="36"/>
      <c r="B290" s="70" t="s">
        <v>1</v>
      </c>
      <c r="C290" s="71" t="s">
        <v>480</v>
      </c>
      <c r="D290" s="72" t="s">
        <v>692</v>
      </c>
      <c r="E290" s="73" t="s">
        <v>675</v>
      </c>
      <c r="F290" s="73" t="s">
        <v>286</v>
      </c>
      <c r="G290" s="74" t="s">
        <v>312</v>
      </c>
      <c r="H290" s="74" t="n">
        <v>1</v>
      </c>
      <c r="I290" s="74" t="n">
        <v>5</v>
      </c>
      <c r="J290" s="73" t="s">
        <v>53</v>
      </c>
      <c r="K290" s="74" t="s">
        <v>3</v>
      </c>
      <c r="L290" s="74"/>
      <c r="M290" s="74" t="s">
        <v>10</v>
      </c>
      <c r="N290" s="74" t="s">
        <v>509</v>
      </c>
      <c r="O290" s="75"/>
      <c r="P290" s="74"/>
      <c r="Q290" s="71" t="n">
        <v>46202</v>
      </c>
      <c r="R290" s="71" t="n">
        <v>46213</v>
      </c>
      <c r="S290" s="71" t="str">
        <f aca="false">+IF(R290&lt;=Q290,"NO","SI")</f>
        <v>SI</v>
      </c>
      <c r="T290" s="78" t="n">
        <f aca="false">+R290-Q290</f>
        <v>11</v>
      </c>
      <c r="U290" s="74"/>
      <c r="V290" s="74"/>
      <c r="W290" s="71"/>
    </row>
    <row r="291" customFormat="false" ht="28.5" hidden="false" customHeight="false" outlineLevel="0" collapsed="false">
      <c r="B291" s="70" t="s">
        <v>1</v>
      </c>
      <c r="C291" s="71" t="s">
        <v>480</v>
      </c>
      <c r="D291" s="72" t="s">
        <v>693</v>
      </c>
      <c r="E291" s="73" t="s">
        <v>677</v>
      </c>
      <c r="F291" s="73" t="s">
        <v>256</v>
      </c>
      <c r="G291" s="74" t="s">
        <v>312</v>
      </c>
      <c r="H291" s="74" t="n">
        <v>1</v>
      </c>
      <c r="I291" s="74" t="n">
        <v>5</v>
      </c>
      <c r="J291" s="73" t="s">
        <v>113</v>
      </c>
      <c r="K291" s="74" t="s">
        <v>3</v>
      </c>
      <c r="L291" s="74"/>
      <c r="M291" s="74" t="s">
        <v>10</v>
      </c>
      <c r="N291" s="74" t="s">
        <v>509</v>
      </c>
      <c r="O291" s="75"/>
      <c r="P291" s="74"/>
      <c r="Q291" s="71" t="n">
        <v>46202</v>
      </c>
      <c r="R291" s="71" t="n">
        <v>46230</v>
      </c>
      <c r="S291" s="71" t="str">
        <f aca="false">+IF(R291&lt;=Q291,"NO","SI")</f>
        <v>SI</v>
      </c>
      <c r="T291" s="78" t="n">
        <f aca="false">+R291-Q291</f>
        <v>28</v>
      </c>
      <c r="U291" s="74"/>
      <c r="V291" s="74"/>
      <c r="W291" s="71"/>
    </row>
    <row r="292" customFormat="false" ht="14.25" hidden="false" customHeight="false" outlineLevel="0" collapsed="false">
      <c r="B292" s="70" t="s">
        <v>1</v>
      </c>
      <c r="C292" s="71" t="s">
        <v>480</v>
      </c>
      <c r="D292" s="72" t="s">
        <v>694</v>
      </c>
      <c r="E292" s="73" t="s">
        <v>695</v>
      </c>
      <c r="F292" s="73" t="s">
        <v>283</v>
      </c>
      <c r="G292" s="74" t="s">
        <v>312</v>
      </c>
      <c r="H292" s="74" t="n">
        <v>1</v>
      </c>
      <c r="I292" s="74" t="n">
        <v>5</v>
      </c>
      <c r="J292" s="73" t="s">
        <v>269</v>
      </c>
      <c r="K292" s="74" t="s">
        <v>3</v>
      </c>
      <c r="L292" s="74"/>
      <c r="M292" s="74" t="s">
        <v>10</v>
      </c>
      <c r="N292" s="74" t="s">
        <v>509</v>
      </c>
      <c r="O292" s="75"/>
      <c r="P292" s="74"/>
      <c r="Q292" s="71" t="n">
        <v>46162</v>
      </c>
      <c r="R292" s="71" t="n">
        <v>46213</v>
      </c>
      <c r="S292" s="71" t="str">
        <f aca="false">+IF(R292&lt;=Q292,"NO","SI")</f>
        <v>SI</v>
      </c>
      <c r="T292" s="78" t="n">
        <f aca="false">+R292-Q292</f>
        <v>51</v>
      </c>
      <c r="U292" s="74"/>
      <c r="V292" s="74"/>
      <c r="W292" s="71"/>
    </row>
    <row r="293" customFormat="false" ht="14.25" hidden="false" customHeight="false" outlineLevel="0" collapsed="false">
      <c r="B293" s="70" t="s">
        <v>1</v>
      </c>
      <c r="C293" s="71" t="s">
        <v>480</v>
      </c>
      <c r="D293" s="72" t="s">
        <v>696</v>
      </c>
      <c r="E293" s="73" t="s">
        <v>697</v>
      </c>
      <c r="F293" s="73" t="s">
        <v>56</v>
      </c>
      <c r="G293" s="74" t="s">
        <v>312</v>
      </c>
      <c r="H293" s="74" t="n">
        <v>1</v>
      </c>
      <c r="I293" s="74" t="n">
        <v>5</v>
      </c>
      <c r="J293" s="73" t="s">
        <v>53</v>
      </c>
      <c r="K293" s="74" t="s">
        <v>3</v>
      </c>
      <c r="L293" s="74"/>
      <c r="M293" s="74" t="s">
        <v>10</v>
      </c>
      <c r="N293" s="74" t="s">
        <v>509</v>
      </c>
      <c r="O293" s="75"/>
      <c r="P293" s="74"/>
      <c r="Q293" s="71" t="n">
        <v>46160</v>
      </c>
      <c r="R293" s="71" t="n">
        <v>46162</v>
      </c>
      <c r="S293" s="71" t="str">
        <f aca="false">+IF(R293&lt;=Q293,"NO","SI")</f>
        <v>SI</v>
      </c>
      <c r="T293" s="78" t="n">
        <f aca="false">+R293-Q293</f>
        <v>2</v>
      </c>
      <c r="U293" s="74"/>
      <c r="V293" s="74"/>
      <c r="W293" s="71"/>
    </row>
    <row r="294" s="109" customFormat="true" ht="14.25" hidden="false" customHeight="false" outlineLevel="0" collapsed="false">
      <c r="A294" s="36"/>
      <c r="B294" s="51" t="s">
        <v>306</v>
      </c>
      <c r="C294" s="52" t="s">
        <v>698</v>
      </c>
      <c r="D294" s="53"/>
      <c r="E294" s="54" t="s">
        <v>699</v>
      </c>
      <c r="F294" s="55"/>
      <c r="G294" s="56"/>
      <c r="H294" s="57"/>
      <c r="I294" s="57"/>
      <c r="J294" s="57"/>
      <c r="K294" s="55"/>
      <c r="L294" s="55"/>
      <c r="M294" s="55"/>
      <c r="N294" s="55"/>
      <c r="O294" s="58"/>
      <c r="P294" s="55"/>
      <c r="Q294" s="55"/>
      <c r="R294" s="55"/>
      <c r="S294" s="55"/>
      <c r="T294" s="59"/>
      <c r="U294" s="55"/>
      <c r="V294" s="55"/>
      <c r="W294" s="55"/>
    </row>
    <row r="295" s="41" customFormat="true" ht="14.25" hidden="true" customHeight="false" outlineLevel="0" collapsed="false">
      <c r="A295" s="36"/>
      <c r="B295" s="70" t="s">
        <v>1</v>
      </c>
      <c r="C295" s="71" t="s">
        <v>700</v>
      </c>
      <c r="D295" s="72" t="s">
        <v>701</v>
      </c>
      <c r="E295" s="73" t="s">
        <v>702</v>
      </c>
      <c r="F295" s="73" t="s">
        <v>69</v>
      </c>
      <c r="G295" s="74" t="s">
        <v>312</v>
      </c>
      <c r="H295" s="74" t="n">
        <v>1</v>
      </c>
      <c r="I295" s="74" t="n">
        <v>5</v>
      </c>
      <c r="J295" s="73" t="s">
        <v>40</v>
      </c>
      <c r="K295" s="74" t="s">
        <v>313</v>
      </c>
      <c r="L295" s="75" t="s">
        <v>422</v>
      </c>
      <c r="M295" s="74"/>
      <c r="N295" s="74"/>
      <c r="O295" s="75" t="n">
        <v>46111</v>
      </c>
      <c r="P295" s="74"/>
      <c r="Q295" s="74"/>
      <c r="R295" s="74"/>
      <c r="S295" s="74"/>
      <c r="T295" s="74"/>
      <c r="U295" s="74"/>
      <c r="V295" s="74"/>
      <c r="W295" s="74"/>
    </row>
    <row r="296" s="41" customFormat="true" ht="14.25" hidden="true" customHeight="false" outlineLevel="0" collapsed="false">
      <c r="A296" s="36"/>
      <c r="B296" s="70" t="s">
        <v>1</v>
      </c>
      <c r="C296" s="71" t="s">
        <v>700</v>
      </c>
      <c r="D296" s="72" t="s">
        <v>703</v>
      </c>
      <c r="E296" s="73" t="s">
        <v>702</v>
      </c>
      <c r="F296" s="73" t="s">
        <v>71</v>
      </c>
      <c r="G296" s="74" t="s">
        <v>312</v>
      </c>
      <c r="H296" s="74" t="n">
        <v>1</v>
      </c>
      <c r="I296" s="74" t="n">
        <v>5</v>
      </c>
      <c r="J296" s="73" t="s">
        <v>40</v>
      </c>
      <c r="K296" s="74" t="s">
        <v>313</v>
      </c>
      <c r="L296" s="75" t="s">
        <v>422</v>
      </c>
      <c r="M296" s="74"/>
      <c r="N296" s="74"/>
      <c r="O296" s="75" t="n">
        <v>46111</v>
      </c>
      <c r="P296" s="74"/>
      <c r="Q296" s="74"/>
      <c r="R296" s="74"/>
      <c r="S296" s="74"/>
      <c r="T296" s="74"/>
      <c r="U296" s="74"/>
      <c r="V296" s="74"/>
      <c r="W296" s="74"/>
    </row>
    <row r="297" s="41" customFormat="true" ht="14.25" hidden="true" customHeight="false" outlineLevel="0" collapsed="false">
      <c r="A297" s="36"/>
      <c r="B297" s="70" t="s">
        <v>1</v>
      </c>
      <c r="C297" s="71" t="s">
        <v>700</v>
      </c>
      <c r="D297" s="72" t="s">
        <v>704</v>
      </c>
      <c r="E297" s="73" t="s">
        <v>702</v>
      </c>
      <c r="F297" s="73" t="s">
        <v>73</v>
      </c>
      <c r="G297" s="74" t="s">
        <v>312</v>
      </c>
      <c r="H297" s="74" t="n">
        <v>1</v>
      </c>
      <c r="I297" s="74" t="n">
        <v>5</v>
      </c>
      <c r="J297" s="73" t="s">
        <v>40</v>
      </c>
      <c r="K297" s="74" t="s">
        <v>313</v>
      </c>
      <c r="L297" s="75" t="s">
        <v>422</v>
      </c>
      <c r="M297" s="74"/>
      <c r="N297" s="74"/>
      <c r="O297" s="75" t="n">
        <v>46111</v>
      </c>
      <c r="P297" s="74"/>
      <c r="Q297" s="74"/>
      <c r="R297" s="74"/>
      <c r="S297" s="74"/>
      <c r="T297" s="74"/>
      <c r="U297" s="74"/>
      <c r="V297" s="74"/>
      <c r="W297" s="74"/>
    </row>
    <row r="298" s="41" customFormat="true" ht="14.25" hidden="true" customHeight="false" outlineLevel="0" collapsed="false">
      <c r="A298" s="36"/>
      <c r="B298" s="70" t="s">
        <v>1</v>
      </c>
      <c r="C298" s="71" t="s">
        <v>700</v>
      </c>
      <c r="D298" s="72" t="s">
        <v>705</v>
      </c>
      <c r="E298" s="73" t="s">
        <v>706</v>
      </c>
      <c r="F298" s="73" t="s">
        <v>65</v>
      </c>
      <c r="G298" s="74" t="s">
        <v>312</v>
      </c>
      <c r="H298" s="74" t="n">
        <v>1</v>
      </c>
      <c r="I298" s="74" t="n">
        <v>5</v>
      </c>
      <c r="J298" s="73" t="s">
        <v>40</v>
      </c>
      <c r="K298" s="74" t="s">
        <v>313</v>
      </c>
      <c r="L298" s="74" t="s">
        <v>519</v>
      </c>
      <c r="M298" s="32"/>
      <c r="N298" s="32"/>
      <c r="O298" s="130"/>
      <c r="P298" s="32"/>
      <c r="Q298" s="32"/>
      <c r="R298" s="32"/>
      <c r="S298" s="32"/>
      <c r="T298" s="32"/>
      <c r="U298" s="32"/>
      <c r="V298" s="32"/>
      <c r="W298" s="32"/>
    </row>
    <row r="299" s="41" customFormat="true" ht="14.25" hidden="true" customHeight="false" outlineLevel="0" collapsed="false">
      <c r="A299" s="36"/>
      <c r="B299" s="70" t="s">
        <v>1</v>
      </c>
      <c r="C299" s="71" t="s">
        <v>700</v>
      </c>
      <c r="D299" s="72" t="s">
        <v>707</v>
      </c>
      <c r="E299" s="73" t="s">
        <v>708</v>
      </c>
      <c r="F299" s="73" t="s">
        <v>65</v>
      </c>
      <c r="G299" s="74" t="s">
        <v>312</v>
      </c>
      <c r="H299" s="74" t="n">
        <v>1</v>
      </c>
      <c r="I299" s="74" t="n">
        <v>5</v>
      </c>
      <c r="J299" s="73" t="s">
        <v>40</v>
      </c>
      <c r="K299" s="74" t="s">
        <v>313</v>
      </c>
      <c r="L299" s="74" t="s">
        <v>519</v>
      </c>
      <c r="M299" s="32"/>
      <c r="N299" s="32"/>
      <c r="O299" s="130"/>
      <c r="P299" s="32"/>
      <c r="Q299" s="32"/>
      <c r="R299" s="32"/>
      <c r="S299" s="32"/>
      <c r="T299" s="32"/>
      <c r="U299" s="32"/>
      <c r="V299" s="32"/>
      <c r="W299" s="32"/>
    </row>
    <row r="300" s="41" customFormat="true" ht="14.25" hidden="true" customHeight="false" outlineLevel="0" collapsed="false">
      <c r="A300" s="36"/>
      <c r="B300" s="70" t="s">
        <v>1</v>
      </c>
      <c r="C300" s="71" t="s">
        <v>700</v>
      </c>
      <c r="D300" s="72" t="s">
        <v>709</v>
      </c>
      <c r="E300" s="73" t="s">
        <v>708</v>
      </c>
      <c r="F300" s="73" t="s">
        <v>65</v>
      </c>
      <c r="G300" s="74" t="s">
        <v>312</v>
      </c>
      <c r="H300" s="74" t="n">
        <v>1</v>
      </c>
      <c r="I300" s="74" t="n">
        <v>5</v>
      </c>
      <c r="J300" s="73" t="s">
        <v>40</v>
      </c>
      <c r="K300" s="74" t="s">
        <v>313</v>
      </c>
      <c r="L300" s="74" t="s">
        <v>519</v>
      </c>
      <c r="M300" s="32"/>
      <c r="N300" s="32"/>
      <c r="O300" s="130"/>
      <c r="P300" s="32"/>
      <c r="Q300" s="32"/>
      <c r="R300" s="32"/>
      <c r="S300" s="32"/>
      <c r="T300" s="32"/>
      <c r="U300" s="32"/>
      <c r="V300" s="32"/>
      <c r="W300" s="32"/>
    </row>
    <row r="301" s="41" customFormat="true" ht="14.25" hidden="true" customHeight="false" outlineLevel="0" collapsed="false">
      <c r="A301" s="36"/>
      <c r="B301" s="70" t="s">
        <v>1</v>
      </c>
      <c r="C301" s="71" t="s">
        <v>700</v>
      </c>
      <c r="D301" s="72" t="s">
        <v>710</v>
      </c>
      <c r="E301" s="73" t="s">
        <v>708</v>
      </c>
      <c r="F301" s="73" t="s">
        <v>65</v>
      </c>
      <c r="G301" s="74" t="s">
        <v>312</v>
      </c>
      <c r="H301" s="74" t="n">
        <v>1</v>
      </c>
      <c r="I301" s="74" t="n">
        <v>5</v>
      </c>
      <c r="J301" s="73" t="s">
        <v>40</v>
      </c>
      <c r="K301" s="74" t="s">
        <v>313</v>
      </c>
      <c r="L301" s="74" t="s">
        <v>519</v>
      </c>
      <c r="M301" s="32"/>
      <c r="N301" s="32"/>
      <c r="O301" s="130"/>
      <c r="P301" s="32"/>
      <c r="Q301" s="32"/>
      <c r="R301" s="32"/>
      <c r="S301" s="32"/>
      <c r="T301" s="32"/>
      <c r="U301" s="32"/>
      <c r="V301" s="32"/>
      <c r="W301" s="32"/>
    </row>
    <row r="302" s="41" customFormat="true" ht="28.5" hidden="false" customHeight="false" outlineLevel="0" collapsed="false">
      <c r="A302" s="36"/>
      <c r="B302" s="70" t="s">
        <v>1</v>
      </c>
      <c r="C302" s="71" t="s">
        <v>700</v>
      </c>
      <c r="D302" s="72" t="s">
        <v>711</v>
      </c>
      <c r="E302" s="73" t="s">
        <v>712</v>
      </c>
      <c r="F302" s="73" t="s">
        <v>75</v>
      </c>
      <c r="G302" s="74" t="s">
        <v>312</v>
      </c>
      <c r="H302" s="74" t="n">
        <v>1</v>
      </c>
      <c r="I302" s="74" t="n">
        <v>5</v>
      </c>
      <c r="J302" s="73" t="s">
        <v>40</v>
      </c>
      <c r="K302" s="74" t="s">
        <v>3</v>
      </c>
      <c r="L302" s="74" t="s">
        <v>713</v>
      </c>
      <c r="M302" s="74" t="s">
        <v>21</v>
      </c>
      <c r="N302" s="74" t="s">
        <v>509</v>
      </c>
      <c r="O302" s="75"/>
      <c r="P302" s="74"/>
      <c r="Q302" s="71" t="n">
        <v>46192</v>
      </c>
      <c r="R302" s="71" t="n">
        <v>46195</v>
      </c>
      <c r="S302" s="71" t="str">
        <f aca="false">+IF(R302&lt;=Q302,"NO","SI")</f>
        <v>SI</v>
      </c>
      <c r="T302" s="78" t="n">
        <f aca="false">+R302-Q302</f>
        <v>3</v>
      </c>
      <c r="U302" s="74"/>
      <c r="V302" s="74"/>
      <c r="W302" s="71"/>
    </row>
    <row r="303" s="41" customFormat="true" ht="28.5" hidden="false" customHeight="false" outlineLevel="0" collapsed="false">
      <c r="A303" s="36"/>
      <c r="B303" s="70" t="s">
        <v>1</v>
      </c>
      <c r="C303" s="71" t="s">
        <v>700</v>
      </c>
      <c r="D303" s="72" t="s">
        <v>714</v>
      </c>
      <c r="E303" s="73" t="s">
        <v>712</v>
      </c>
      <c r="F303" s="73" t="s">
        <v>75</v>
      </c>
      <c r="G303" s="74" t="s">
        <v>312</v>
      </c>
      <c r="H303" s="74" t="n">
        <v>1</v>
      </c>
      <c r="I303" s="74" t="n">
        <v>5</v>
      </c>
      <c r="J303" s="73" t="s">
        <v>40</v>
      </c>
      <c r="K303" s="74" t="s">
        <v>3</v>
      </c>
      <c r="L303" s="74" t="s">
        <v>713</v>
      </c>
      <c r="M303" s="74" t="s">
        <v>21</v>
      </c>
      <c r="N303" s="74" t="s">
        <v>509</v>
      </c>
      <c r="O303" s="75"/>
      <c r="P303" s="74"/>
      <c r="Q303" s="71" t="n">
        <v>46192</v>
      </c>
      <c r="R303" s="71" t="n">
        <v>46195</v>
      </c>
      <c r="S303" s="71" t="str">
        <f aca="false">+IF(R303&lt;=Q303,"NO","SI")</f>
        <v>SI</v>
      </c>
      <c r="T303" s="78" t="n">
        <f aca="false">+R303-Q303</f>
        <v>3</v>
      </c>
      <c r="U303" s="74"/>
      <c r="V303" s="74"/>
      <c r="W303" s="71"/>
    </row>
    <row r="304" s="41" customFormat="true" ht="28.5" hidden="false" customHeight="false" outlineLevel="0" collapsed="false">
      <c r="A304" s="36"/>
      <c r="B304" s="70" t="s">
        <v>1</v>
      </c>
      <c r="C304" s="71" t="s">
        <v>700</v>
      </c>
      <c r="D304" s="72" t="s">
        <v>715</v>
      </c>
      <c r="E304" s="73" t="s">
        <v>712</v>
      </c>
      <c r="F304" s="73" t="s">
        <v>75</v>
      </c>
      <c r="G304" s="74" t="s">
        <v>312</v>
      </c>
      <c r="H304" s="74" t="n">
        <v>1</v>
      </c>
      <c r="I304" s="74" t="n">
        <v>5</v>
      </c>
      <c r="J304" s="73" t="s">
        <v>40</v>
      </c>
      <c r="K304" s="74" t="s">
        <v>3</v>
      </c>
      <c r="L304" s="74" t="s">
        <v>713</v>
      </c>
      <c r="M304" s="74" t="s">
        <v>21</v>
      </c>
      <c r="N304" s="74" t="s">
        <v>509</v>
      </c>
      <c r="O304" s="75"/>
      <c r="P304" s="74"/>
      <c r="Q304" s="71" t="n">
        <v>46192</v>
      </c>
      <c r="R304" s="71" t="n">
        <v>46195</v>
      </c>
      <c r="S304" s="71" t="str">
        <f aca="false">+IF(R304&lt;=Q304,"NO","SI")</f>
        <v>SI</v>
      </c>
      <c r="T304" s="78" t="n">
        <f aca="false">+R304-Q304</f>
        <v>3</v>
      </c>
      <c r="U304" s="74"/>
      <c r="V304" s="74"/>
      <c r="W304" s="71"/>
    </row>
    <row r="305" s="41" customFormat="true" ht="28.5" hidden="false" customHeight="false" outlineLevel="0" collapsed="false">
      <c r="A305" s="36"/>
      <c r="B305" s="70" t="s">
        <v>1</v>
      </c>
      <c r="C305" s="71" t="s">
        <v>700</v>
      </c>
      <c r="D305" s="72" t="s">
        <v>716</v>
      </c>
      <c r="E305" s="73" t="s">
        <v>712</v>
      </c>
      <c r="F305" s="73" t="s">
        <v>75</v>
      </c>
      <c r="G305" s="74" t="s">
        <v>312</v>
      </c>
      <c r="H305" s="74" t="n">
        <v>1</v>
      </c>
      <c r="I305" s="74" t="n">
        <v>5</v>
      </c>
      <c r="J305" s="73" t="s">
        <v>40</v>
      </c>
      <c r="K305" s="74" t="s">
        <v>3</v>
      </c>
      <c r="L305" s="74" t="s">
        <v>713</v>
      </c>
      <c r="M305" s="74" t="s">
        <v>21</v>
      </c>
      <c r="N305" s="74" t="s">
        <v>509</v>
      </c>
      <c r="O305" s="75"/>
      <c r="P305" s="74"/>
      <c r="Q305" s="71" t="n">
        <v>46192</v>
      </c>
      <c r="R305" s="71" t="n">
        <v>46195</v>
      </c>
      <c r="S305" s="71" t="str">
        <f aca="false">+IF(R305&lt;=Q305,"NO","SI")</f>
        <v>SI</v>
      </c>
      <c r="T305" s="78" t="n">
        <f aca="false">+R305-Q305</f>
        <v>3</v>
      </c>
      <c r="U305" s="74"/>
      <c r="V305" s="74"/>
      <c r="W305" s="71"/>
    </row>
    <row r="306" s="41" customFormat="true" ht="28.5" hidden="false" customHeight="false" outlineLevel="0" collapsed="false">
      <c r="A306" s="36"/>
      <c r="B306" s="70" t="s">
        <v>1</v>
      </c>
      <c r="C306" s="71" t="s">
        <v>700</v>
      </c>
      <c r="D306" s="72" t="s">
        <v>717</v>
      </c>
      <c r="E306" s="73" t="s">
        <v>712</v>
      </c>
      <c r="F306" s="73" t="s">
        <v>75</v>
      </c>
      <c r="G306" s="74" t="s">
        <v>312</v>
      </c>
      <c r="H306" s="74" t="n">
        <v>1</v>
      </c>
      <c r="I306" s="74" t="n">
        <v>5</v>
      </c>
      <c r="J306" s="73" t="s">
        <v>40</v>
      </c>
      <c r="K306" s="74" t="s">
        <v>3</v>
      </c>
      <c r="L306" s="74" t="s">
        <v>713</v>
      </c>
      <c r="M306" s="74" t="s">
        <v>21</v>
      </c>
      <c r="N306" s="74" t="s">
        <v>509</v>
      </c>
      <c r="O306" s="75"/>
      <c r="P306" s="74"/>
      <c r="Q306" s="71" t="n">
        <v>46192</v>
      </c>
      <c r="R306" s="71" t="n">
        <v>46195</v>
      </c>
      <c r="S306" s="71" t="str">
        <f aca="false">+IF(R306&lt;=Q306,"NO","SI")</f>
        <v>SI</v>
      </c>
      <c r="T306" s="78" t="n">
        <f aca="false">+R306-Q306</f>
        <v>3</v>
      </c>
      <c r="U306" s="74"/>
      <c r="V306" s="74"/>
      <c r="W306" s="71"/>
    </row>
    <row r="307" s="41" customFormat="true" ht="28.5" hidden="false" customHeight="false" outlineLevel="0" collapsed="false">
      <c r="A307" s="36"/>
      <c r="B307" s="70" t="s">
        <v>1</v>
      </c>
      <c r="C307" s="71" t="s">
        <v>700</v>
      </c>
      <c r="D307" s="72" t="s">
        <v>718</v>
      </c>
      <c r="E307" s="73" t="s">
        <v>712</v>
      </c>
      <c r="F307" s="73" t="s">
        <v>202</v>
      </c>
      <c r="G307" s="74" t="s">
        <v>312</v>
      </c>
      <c r="H307" s="74" t="n">
        <v>1</v>
      </c>
      <c r="I307" s="74" t="n">
        <v>5</v>
      </c>
      <c r="J307" s="73" t="s">
        <v>113</v>
      </c>
      <c r="K307" s="74" t="s">
        <v>3</v>
      </c>
      <c r="L307" s="74"/>
      <c r="M307" s="74" t="s">
        <v>14</v>
      </c>
      <c r="N307" s="74"/>
      <c r="O307" s="75"/>
      <c r="P307" s="74"/>
      <c r="Q307" s="71" t="n">
        <v>46178</v>
      </c>
      <c r="R307" s="71" t="n">
        <v>46182</v>
      </c>
      <c r="S307" s="74" t="str">
        <f aca="false">+IF(R307&lt;=Q307,"NO","SI")</f>
        <v>SI</v>
      </c>
      <c r="T307" s="78" t="n">
        <f aca="false">+R307-Q307</f>
        <v>4</v>
      </c>
      <c r="U307" s="74"/>
      <c r="V307" s="74"/>
      <c r="W307" s="74"/>
    </row>
    <row r="308" s="41" customFormat="true" ht="28.5" hidden="false" customHeight="false" outlineLevel="0" collapsed="false">
      <c r="A308" s="36"/>
      <c r="B308" s="70" t="s">
        <v>1</v>
      </c>
      <c r="C308" s="71" t="s">
        <v>700</v>
      </c>
      <c r="D308" s="72" t="s">
        <v>719</v>
      </c>
      <c r="E308" s="73" t="s">
        <v>712</v>
      </c>
      <c r="F308" s="73" t="s">
        <v>202</v>
      </c>
      <c r="G308" s="74" t="s">
        <v>312</v>
      </c>
      <c r="H308" s="74" t="n">
        <v>1</v>
      </c>
      <c r="I308" s="74" t="n">
        <v>5</v>
      </c>
      <c r="J308" s="73" t="s">
        <v>113</v>
      </c>
      <c r="K308" s="74" t="s">
        <v>3</v>
      </c>
      <c r="L308" s="74" t="s">
        <v>713</v>
      </c>
      <c r="M308" s="74" t="s">
        <v>11</v>
      </c>
      <c r="N308" s="74" t="s">
        <v>509</v>
      </c>
      <c r="O308" s="75"/>
      <c r="P308" s="74"/>
      <c r="Q308" s="71" t="n">
        <v>46178</v>
      </c>
      <c r="R308" s="71" t="n">
        <v>46182</v>
      </c>
      <c r="S308" s="71" t="str">
        <f aca="false">+IF(R308&lt;=Q308,"NO","SI")</f>
        <v>SI</v>
      </c>
      <c r="T308" s="78" t="n">
        <f aca="false">+R308-Q308</f>
        <v>4</v>
      </c>
      <c r="U308" s="74"/>
      <c r="V308" s="74"/>
      <c r="W308" s="71"/>
    </row>
    <row r="309" s="41" customFormat="true" ht="14.25" hidden="false" customHeight="false" outlineLevel="0" collapsed="false">
      <c r="A309" s="36"/>
      <c r="B309" s="81" t="s">
        <v>1</v>
      </c>
      <c r="C309" s="82" t="s">
        <v>700</v>
      </c>
      <c r="D309" s="83" t="s">
        <v>720</v>
      </c>
      <c r="E309" s="84" t="s">
        <v>721</v>
      </c>
      <c r="F309" s="84" t="s">
        <v>202</v>
      </c>
      <c r="G309" s="85" t="s">
        <v>312</v>
      </c>
      <c r="H309" s="85" t="n">
        <v>1</v>
      </c>
      <c r="I309" s="85" t="n">
        <v>5</v>
      </c>
      <c r="J309" s="84" t="s">
        <v>113</v>
      </c>
      <c r="K309" s="85" t="s">
        <v>3</v>
      </c>
      <c r="L309" s="85" t="s">
        <v>722</v>
      </c>
      <c r="M309" s="85" t="s">
        <v>11</v>
      </c>
      <c r="N309" s="85" t="s">
        <v>509</v>
      </c>
      <c r="O309" s="86"/>
      <c r="P309" s="131" t="n">
        <v>35</v>
      </c>
      <c r="Q309" s="82" t="n">
        <v>46174</v>
      </c>
      <c r="R309" s="82" t="n">
        <v>46183</v>
      </c>
      <c r="S309" s="82" t="str">
        <f aca="false">+IF(R309&lt;=Q309,"NO","SI")</f>
        <v>SI</v>
      </c>
      <c r="T309" s="107" t="n">
        <f aca="false">+R309-Q309</f>
        <v>9</v>
      </c>
      <c r="U309" s="85"/>
      <c r="V309" s="85"/>
      <c r="W309" s="82"/>
    </row>
    <row r="310" s="41" customFormat="true" ht="14.25" hidden="false" customHeight="false" outlineLevel="0" collapsed="false">
      <c r="A310" s="36"/>
      <c r="B310" s="81" t="s">
        <v>1</v>
      </c>
      <c r="C310" s="82" t="s">
        <v>700</v>
      </c>
      <c r="D310" s="83" t="s">
        <v>723</v>
      </c>
      <c r="E310" s="84" t="s">
        <v>724</v>
      </c>
      <c r="F310" s="84" t="s">
        <v>202</v>
      </c>
      <c r="G310" s="85" t="s">
        <v>312</v>
      </c>
      <c r="H310" s="85" t="n">
        <v>1</v>
      </c>
      <c r="I310" s="85" t="n">
        <v>5</v>
      </c>
      <c r="J310" s="84" t="s">
        <v>113</v>
      </c>
      <c r="K310" s="85" t="s">
        <v>3</v>
      </c>
      <c r="L310" s="85" t="s">
        <v>722</v>
      </c>
      <c r="M310" s="85" t="s">
        <v>11</v>
      </c>
      <c r="N310" s="85" t="s">
        <v>509</v>
      </c>
      <c r="O310" s="86"/>
      <c r="P310" s="132" t="n">
        <v>35</v>
      </c>
      <c r="Q310" s="82" t="n">
        <v>46174</v>
      </c>
      <c r="R310" s="82" t="n">
        <v>46183</v>
      </c>
      <c r="S310" s="82" t="str">
        <f aca="false">+IF(R310&lt;=Q310,"NO","SI")</f>
        <v>SI</v>
      </c>
      <c r="T310" s="107" t="n">
        <f aca="false">+R310-Q310</f>
        <v>9</v>
      </c>
      <c r="U310" s="85"/>
      <c r="V310" s="85"/>
      <c r="W310" s="82"/>
    </row>
    <row r="311" s="41" customFormat="true" ht="14.25" hidden="false" customHeight="false" outlineLevel="0" collapsed="false">
      <c r="A311" s="36"/>
      <c r="B311" s="81" t="s">
        <v>1</v>
      </c>
      <c r="C311" s="82" t="s">
        <v>700</v>
      </c>
      <c r="D311" s="83" t="s">
        <v>725</v>
      </c>
      <c r="E311" s="84" t="s">
        <v>726</v>
      </c>
      <c r="F311" s="84" t="s">
        <v>202</v>
      </c>
      <c r="G311" s="85" t="s">
        <v>312</v>
      </c>
      <c r="H311" s="85" t="n">
        <v>1</v>
      </c>
      <c r="I311" s="85" t="n">
        <v>5</v>
      </c>
      <c r="J311" s="84" t="s">
        <v>113</v>
      </c>
      <c r="K311" s="85" t="s">
        <v>3</v>
      </c>
      <c r="L311" s="85" t="s">
        <v>722</v>
      </c>
      <c r="M311" s="85" t="s">
        <v>11</v>
      </c>
      <c r="N311" s="85" t="s">
        <v>509</v>
      </c>
      <c r="O311" s="86"/>
      <c r="P311" s="132" t="n">
        <v>35</v>
      </c>
      <c r="Q311" s="82" t="n">
        <v>46174</v>
      </c>
      <c r="R311" s="82" t="n">
        <v>46183</v>
      </c>
      <c r="S311" s="82" t="str">
        <f aca="false">+IF(R311&lt;=Q311,"NO","SI")</f>
        <v>SI</v>
      </c>
      <c r="T311" s="107" t="n">
        <f aca="false">+R311-Q311</f>
        <v>9</v>
      </c>
      <c r="U311" s="85"/>
      <c r="V311" s="85"/>
      <c r="W311" s="82"/>
    </row>
    <row r="312" s="41" customFormat="true" ht="28.5" hidden="false" customHeight="false" outlineLevel="0" collapsed="false">
      <c r="A312" s="36"/>
      <c r="B312" s="81" t="s">
        <v>1</v>
      </c>
      <c r="C312" s="82" t="s">
        <v>700</v>
      </c>
      <c r="D312" s="83" t="s">
        <v>727</v>
      </c>
      <c r="E312" s="84" t="s">
        <v>728</v>
      </c>
      <c r="F312" s="84" t="s">
        <v>202</v>
      </c>
      <c r="G312" s="85" t="s">
        <v>312</v>
      </c>
      <c r="H312" s="85" t="n">
        <v>2</v>
      </c>
      <c r="I312" s="85" t="n">
        <v>5</v>
      </c>
      <c r="J312" s="84" t="s">
        <v>113</v>
      </c>
      <c r="K312" s="85" t="s">
        <v>3</v>
      </c>
      <c r="L312" s="85" t="s">
        <v>722</v>
      </c>
      <c r="M312" s="85" t="s">
        <v>11</v>
      </c>
      <c r="N312" s="85" t="s">
        <v>509</v>
      </c>
      <c r="O312" s="86"/>
      <c r="P312" s="132" t="n">
        <v>35</v>
      </c>
      <c r="Q312" s="82" t="n">
        <v>46174</v>
      </c>
      <c r="R312" s="82" t="n">
        <v>46183</v>
      </c>
      <c r="S312" s="82" t="str">
        <f aca="false">+IF(R312&lt;=Q312,"NO","SI")</f>
        <v>SI</v>
      </c>
      <c r="T312" s="107" t="n">
        <f aca="false">+R312-Q312</f>
        <v>9</v>
      </c>
      <c r="U312" s="85"/>
      <c r="V312" s="85"/>
      <c r="W312" s="82"/>
    </row>
    <row r="313" s="41" customFormat="true" ht="14.25" hidden="false" customHeight="false" outlineLevel="0" collapsed="false">
      <c r="A313" s="36"/>
      <c r="B313" s="81" t="s">
        <v>1</v>
      </c>
      <c r="C313" s="82" t="s">
        <v>700</v>
      </c>
      <c r="D313" s="83" t="s">
        <v>729</v>
      </c>
      <c r="E313" s="84" t="s">
        <v>730</v>
      </c>
      <c r="F313" s="84" t="s">
        <v>202</v>
      </c>
      <c r="G313" s="85" t="s">
        <v>312</v>
      </c>
      <c r="H313" s="85" t="n">
        <v>6</v>
      </c>
      <c r="I313" s="85" t="n">
        <v>5</v>
      </c>
      <c r="J313" s="84" t="s">
        <v>113</v>
      </c>
      <c r="K313" s="85" t="s">
        <v>3</v>
      </c>
      <c r="L313" s="85" t="s">
        <v>722</v>
      </c>
      <c r="M313" s="85" t="s">
        <v>11</v>
      </c>
      <c r="N313" s="85" t="s">
        <v>509</v>
      </c>
      <c r="O313" s="86"/>
      <c r="P313" s="132" t="n">
        <v>35</v>
      </c>
      <c r="Q313" s="82" t="n">
        <v>46174</v>
      </c>
      <c r="R313" s="82" t="n">
        <v>46183</v>
      </c>
      <c r="S313" s="82" t="str">
        <f aca="false">+IF(R313&lt;=Q313,"NO","SI")</f>
        <v>SI</v>
      </c>
      <c r="T313" s="107" t="n">
        <f aca="false">+R313-Q313</f>
        <v>9</v>
      </c>
      <c r="U313" s="85"/>
      <c r="V313" s="85"/>
      <c r="W313" s="82"/>
    </row>
    <row r="314" s="41" customFormat="true" ht="28.5" hidden="false" customHeight="false" outlineLevel="0" collapsed="false">
      <c r="A314" s="36"/>
      <c r="B314" s="81" t="s">
        <v>1</v>
      </c>
      <c r="C314" s="82" t="s">
        <v>700</v>
      </c>
      <c r="D314" s="83" t="s">
        <v>731</v>
      </c>
      <c r="E314" s="84" t="s">
        <v>712</v>
      </c>
      <c r="F314" s="84" t="s">
        <v>65</v>
      </c>
      <c r="G314" s="85" t="s">
        <v>312</v>
      </c>
      <c r="H314" s="85" t="n">
        <v>1</v>
      </c>
      <c r="I314" s="85" t="n">
        <v>5</v>
      </c>
      <c r="J314" s="84" t="s">
        <v>40</v>
      </c>
      <c r="K314" s="85" t="s">
        <v>3</v>
      </c>
      <c r="L314" s="85" t="s">
        <v>713</v>
      </c>
      <c r="M314" s="85" t="s">
        <v>11</v>
      </c>
      <c r="N314" s="85" t="s">
        <v>509</v>
      </c>
      <c r="O314" s="86"/>
      <c r="P314" s="132" t="n">
        <v>35</v>
      </c>
      <c r="Q314" s="82"/>
      <c r="R314" s="82" t="n">
        <v>46197</v>
      </c>
      <c r="S314" s="82" t="str">
        <f aca="false">+IF(R314&lt;=Q314,"NO","SI")</f>
        <v>SI</v>
      </c>
      <c r="T314" s="107" t="n">
        <f aca="false">+R314-Q314</f>
        <v>46197</v>
      </c>
      <c r="U314" s="85"/>
      <c r="V314" s="85"/>
      <c r="W314" s="82"/>
    </row>
    <row r="315" s="41" customFormat="true" ht="14.25" hidden="false" customHeight="false" outlineLevel="0" collapsed="false">
      <c r="A315" s="36"/>
      <c r="B315" s="81" t="s">
        <v>1</v>
      </c>
      <c r="C315" s="82" t="s">
        <v>700</v>
      </c>
      <c r="D315" s="83" t="s">
        <v>732</v>
      </c>
      <c r="E315" s="84" t="s">
        <v>721</v>
      </c>
      <c r="F315" s="84" t="s">
        <v>65</v>
      </c>
      <c r="G315" s="85" t="s">
        <v>312</v>
      </c>
      <c r="H315" s="85" t="n">
        <v>1</v>
      </c>
      <c r="I315" s="85" t="n">
        <v>5</v>
      </c>
      <c r="J315" s="84" t="s">
        <v>40</v>
      </c>
      <c r="K315" s="85" t="s">
        <v>3</v>
      </c>
      <c r="L315" s="85" t="s">
        <v>722</v>
      </c>
      <c r="M315" s="85" t="s">
        <v>11</v>
      </c>
      <c r="N315" s="85" t="s">
        <v>509</v>
      </c>
      <c r="O315" s="86"/>
      <c r="P315" s="132" t="n">
        <v>35</v>
      </c>
      <c r="Q315" s="82" t="n">
        <v>46174</v>
      </c>
      <c r="R315" s="82" t="n">
        <v>46197</v>
      </c>
      <c r="S315" s="82" t="str">
        <f aca="false">+IF(R315&lt;=Q315,"NO","SI")</f>
        <v>SI</v>
      </c>
      <c r="T315" s="107" t="n">
        <f aca="false">+R315-Q315</f>
        <v>23</v>
      </c>
      <c r="U315" s="85"/>
      <c r="V315" s="85"/>
      <c r="W315" s="82"/>
    </row>
    <row r="316" s="41" customFormat="true" ht="14.25" hidden="false" customHeight="false" outlineLevel="0" collapsed="false">
      <c r="A316" s="36"/>
      <c r="B316" s="81" t="s">
        <v>1</v>
      </c>
      <c r="C316" s="82" t="s">
        <v>700</v>
      </c>
      <c r="D316" s="83" t="s">
        <v>733</v>
      </c>
      <c r="E316" s="84" t="s">
        <v>724</v>
      </c>
      <c r="F316" s="84" t="s">
        <v>65</v>
      </c>
      <c r="G316" s="85" t="s">
        <v>312</v>
      </c>
      <c r="H316" s="85" t="n">
        <v>1</v>
      </c>
      <c r="I316" s="85" t="n">
        <v>5</v>
      </c>
      <c r="J316" s="84" t="s">
        <v>40</v>
      </c>
      <c r="K316" s="85" t="s">
        <v>3</v>
      </c>
      <c r="L316" s="85" t="s">
        <v>722</v>
      </c>
      <c r="M316" s="85" t="s">
        <v>11</v>
      </c>
      <c r="N316" s="85" t="s">
        <v>509</v>
      </c>
      <c r="O316" s="86"/>
      <c r="P316" s="132" t="n">
        <v>35</v>
      </c>
      <c r="Q316" s="82" t="n">
        <v>46174</v>
      </c>
      <c r="R316" s="82" t="n">
        <v>46197</v>
      </c>
      <c r="S316" s="82" t="str">
        <f aca="false">+IF(R316&lt;=Q316,"NO","SI")</f>
        <v>SI</v>
      </c>
      <c r="T316" s="107" t="n">
        <f aca="false">+R316-Q316</f>
        <v>23</v>
      </c>
      <c r="U316" s="85"/>
      <c r="V316" s="85"/>
      <c r="W316" s="82"/>
    </row>
    <row r="317" s="41" customFormat="true" ht="14.25" hidden="false" customHeight="false" outlineLevel="0" collapsed="false">
      <c r="A317" s="36"/>
      <c r="B317" s="81" t="s">
        <v>1</v>
      </c>
      <c r="C317" s="82" t="s">
        <v>700</v>
      </c>
      <c r="D317" s="83" t="s">
        <v>734</v>
      </c>
      <c r="E317" s="84" t="s">
        <v>726</v>
      </c>
      <c r="F317" s="84" t="s">
        <v>65</v>
      </c>
      <c r="G317" s="85" t="s">
        <v>312</v>
      </c>
      <c r="H317" s="85" t="n">
        <v>1</v>
      </c>
      <c r="I317" s="85" t="n">
        <v>5</v>
      </c>
      <c r="J317" s="84" t="s">
        <v>40</v>
      </c>
      <c r="K317" s="85" t="s">
        <v>3</v>
      </c>
      <c r="L317" s="85" t="s">
        <v>722</v>
      </c>
      <c r="M317" s="85" t="s">
        <v>11</v>
      </c>
      <c r="N317" s="85" t="s">
        <v>509</v>
      </c>
      <c r="O317" s="86"/>
      <c r="P317" s="132" t="n">
        <v>35</v>
      </c>
      <c r="Q317" s="82" t="n">
        <v>46174</v>
      </c>
      <c r="R317" s="82" t="n">
        <v>46197</v>
      </c>
      <c r="S317" s="82" t="str">
        <f aca="false">+IF(R317&lt;=Q317,"NO","SI")</f>
        <v>SI</v>
      </c>
      <c r="T317" s="107" t="n">
        <f aca="false">+R317-Q317</f>
        <v>23</v>
      </c>
      <c r="U317" s="85"/>
      <c r="V317" s="85"/>
      <c r="W317" s="82"/>
    </row>
    <row r="318" s="41" customFormat="true" ht="28.5" hidden="false" customHeight="false" outlineLevel="0" collapsed="false">
      <c r="A318" s="36"/>
      <c r="B318" s="81" t="s">
        <v>1</v>
      </c>
      <c r="C318" s="82" t="s">
        <v>700</v>
      </c>
      <c r="D318" s="83" t="s">
        <v>735</v>
      </c>
      <c r="E318" s="84" t="s">
        <v>728</v>
      </c>
      <c r="F318" s="84" t="s">
        <v>65</v>
      </c>
      <c r="G318" s="85" t="s">
        <v>312</v>
      </c>
      <c r="H318" s="85" t="n">
        <v>2</v>
      </c>
      <c r="I318" s="85" t="n">
        <v>5</v>
      </c>
      <c r="J318" s="84" t="s">
        <v>40</v>
      </c>
      <c r="K318" s="85" t="s">
        <v>3</v>
      </c>
      <c r="L318" s="85" t="s">
        <v>722</v>
      </c>
      <c r="M318" s="85" t="s">
        <v>11</v>
      </c>
      <c r="N318" s="85" t="s">
        <v>509</v>
      </c>
      <c r="O318" s="86"/>
      <c r="P318" s="132" t="n">
        <v>35</v>
      </c>
      <c r="Q318" s="82" t="n">
        <v>46174</v>
      </c>
      <c r="R318" s="82" t="n">
        <v>46197</v>
      </c>
      <c r="S318" s="82" t="str">
        <f aca="false">+IF(R318&lt;=Q318,"NO","SI")</f>
        <v>SI</v>
      </c>
      <c r="T318" s="107" t="n">
        <f aca="false">+R318-Q318</f>
        <v>23</v>
      </c>
      <c r="U318" s="85"/>
      <c r="V318" s="85"/>
      <c r="W318" s="82"/>
    </row>
    <row r="319" s="41" customFormat="true" ht="14.25" hidden="false" customHeight="false" outlineLevel="0" collapsed="false">
      <c r="A319" s="36"/>
      <c r="B319" s="81" t="s">
        <v>1</v>
      </c>
      <c r="C319" s="82" t="s">
        <v>700</v>
      </c>
      <c r="D319" s="83" t="s">
        <v>736</v>
      </c>
      <c r="E319" s="84" t="s">
        <v>730</v>
      </c>
      <c r="F319" s="84" t="s">
        <v>65</v>
      </c>
      <c r="G319" s="85" t="s">
        <v>312</v>
      </c>
      <c r="H319" s="85" t="n">
        <v>6</v>
      </c>
      <c r="I319" s="85" t="n">
        <v>5</v>
      </c>
      <c r="J319" s="84" t="s">
        <v>40</v>
      </c>
      <c r="K319" s="85" t="s">
        <v>3</v>
      </c>
      <c r="L319" s="85" t="s">
        <v>722</v>
      </c>
      <c r="M319" s="85" t="s">
        <v>11</v>
      </c>
      <c r="N319" s="85" t="s">
        <v>509</v>
      </c>
      <c r="O319" s="86"/>
      <c r="P319" s="132" t="n">
        <v>35</v>
      </c>
      <c r="Q319" s="82" t="n">
        <v>46174</v>
      </c>
      <c r="R319" s="82" t="n">
        <v>46197</v>
      </c>
      <c r="S319" s="82" t="str">
        <f aca="false">+IF(R319&lt;=Q319,"NO","SI")</f>
        <v>SI</v>
      </c>
      <c r="T319" s="107" t="n">
        <f aca="false">+R319-Q319</f>
        <v>23</v>
      </c>
      <c r="U319" s="85"/>
      <c r="V319" s="85"/>
      <c r="W319" s="82"/>
    </row>
    <row r="320" s="41" customFormat="true" ht="28.5" hidden="true" customHeight="false" outlineLevel="0" collapsed="false">
      <c r="A320" s="36"/>
      <c r="B320" s="81" t="s">
        <v>1</v>
      </c>
      <c r="C320" s="82" t="s">
        <v>698</v>
      </c>
      <c r="D320" s="83" t="s">
        <v>737</v>
      </c>
      <c r="E320" s="84" t="s">
        <v>738</v>
      </c>
      <c r="F320" s="84" t="s">
        <v>65</v>
      </c>
      <c r="G320" s="85" t="s">
        <v>312</v>
      </c>
      <c r="H320" s="85" t="n">
        <v>1</v>
      </c>
      <c r="I320" s="85" t="n">
        <v>5</v>
      </c>
      <c r="J320" s="84" t="s">
        <v>40</v>
      </c>
      <c r="K320" s="85" t="s">
        <v>313</v>
      </c>
      <c r="L320" s="85"/>
      <c r="M320" s="85" t="s">
        <v>739</v>
      </c>
      <c r="N320" s="85"/>
      <c r="O320" s="133"/>
      <c r="P320" s="85"/>
      <c r="Q320" s="134"/>
      <c r="R320" s="134"/>
      <c r="S320" s="134" t="str">
        <f aca="false">+IF(R320&lt;=Q320,"NO","SI")</f>
        <v>NO</v>
      </c>
      <c r="T320" s="134" t="n">
        <f aca="false">+R320-Q320</f>
        <v>0</v>
      </c>
      <c r="U320" s="134"/>
      <c r="V320" s="134"/>
      <c r="W320" s="134"/>
    </row>
    <row r="321" s="41" customFormat="true" ht="28.5" hidden="true" customHeight="false" outlineLevel="0" collapsed="false">
      <c r="A321" s="36"/>
      <c r="B321" s="81" t="s">
        <v>1</v>
      </c>
      <c r="C321" s="82" t="s">
        <v>698</v>
      </c>
      <c r="D321" s="83" t="s">
        <v>740</v>
      </c>
      <c r="E321" s="84" t="s">
        <v>738</v>
      </c>
      <c r="F321" s="84" t="s">
        <v>67</v>
      </c>
      <c r="G321" s="85" t="s">
        <v>312</v>
      </c>
      <c r="H321" s="85" t="n">
        <v>1</v>
      </c>
      <c r="I321" s="85" t="n">
        <v>5</v>
      </c>
      <c r="J321" s="84" t="s">
        <v>40</v>
      </c>
      <c r="K321" s="85" t="s">
        <v>313</v>
      </c>
      <c r="L321" s="85"/>
      <c r="M321" s="85" t="s">
        <v>739</v>
      </c>
      <c r="N321" s="85"/>
      <c r="O321" s="133"/>
      <c r="P321" s="85"/>
      <c r="Q321" s="134"/>
      <c r="R321" s="134"/>
      <c r="S321" s="134" t="str">
        <f aca="false">+IF(R321&lt;=Q321,"NO","SI")</f>
        <v>NO</v>
      </c>
      <c r="T321" s="134" t="n">
        <f aca="false">+R321-Q321</f>
        <v>0</v>
      </c>
      <c r="U321" s="134"/>
      <c r="V321" s="134"/>
      <c r="W321" s="134"/>
    </row>
    <row r="322" s="41" customFormat="true" ht="28.5" hidden="true" customHeight="false" outlineLevel="0" collapsed="false">
      <c r="A322" s="36"/>
      <c r="B322" s="81" t="s">
        <v>1</v>
      </c>
      <c r="C322" s="82" t="s">
        <v>698</v>
      </c>
      <c r="D322" s="83" t="s">
        <v>741</v>
      </c>
      <c r="E322" s="84" t="s">
        <v>738</v>
      </c>
      <c r="F322" s="84" t="s">
        <v>69</v>
      </c>
      <c r="G322" s="85" t="s">
        <v>312</v>
      </c>
      <c r="H322" s="85" t="n">
        <v>1</v>
      </c>
      <c r="I322" s="85" t="n">
        <v>5</v>
      </c>
      <c r="J322" s="84" t="s">
        <v>40</v>
      </c>
      <c r="K322" s="85" t="s">
        <v>313</v>
      </c>
      <c r="L322" s="85"/>
      <c r="M322" s="85" t="s">
        <v>739</v>
      </c>
      <c r="N322" s="85"/>
      <c r="O322" s="133"/>
      <c r="P322" s="85"/>
      <c r="Q322" s="134"/>
      <c r="R322" s="134"/>
      <c r="S322" s="134" t="str">
        <f aca="false">+IF(R322&lt;=Q322,"NO","SI")</f>
        <v>NO</v>
      </c>
      <c r="T322" s="134" t="n">
        <f aca="false">+R322-Q322</f>
        <v>0</v>
      </c>
      <c r="U322" s="134"/>
      <c r="V322" s="134"/>
      <c r="W322" s="134"/>
    </row>
    <row r="323" s="41" customFormat="true" ht="28.5" hidden="true" customHeight="false" outlineLevel="0" collapsed="false">
      <c r="A323" s="36"/>
      <c r="B323" s="81" t="s">
        <v>1</v>
      </c>
      <c r="C323" s="82" t="s">
        <v>742</v>
      </c>
      <c r="D323" s="83" t="s">
        <v>743</v>
      </c>
      <c r="E323" s="84" t="s">
        <v>738</v>
      </c>
      <c r="F323" s="84" t="s">
        <v>75</v>
      </c>
      <c r="G323" s="85" t="s">
        <v>312</v>
      </c>
      <c r="H323" s="85" t="n">
        <v>1</v>
      </c>
      <c r="I323" s="85" t="n">
        <v>5</v>
      </c>
      <c r="J323" s="84" t="s">
        <v>40</v>
      </c>
      <c r="K323" s="85" t="s">
        <v>313</v>
      </c>
      <c r="L323" s="85"/>
      <c r="M323" s="85" t="s">
        <v>739</v>
      </c>
      <c r="N323" s="85"/>
      <c r="O323" s="86"/>
      <c r="P323" s="85"/>
      <c r="Q323" s="85"/>
      <c r="R323" s="85"/>
      <c r="S323" s="85" t="str">
        <f aca="false">+IF(R323&lt;=Q323,"NO","SI")</f>
        <v>NO</v>
      </c>
      <c r="T323" s="85" t="n">
        <f aca="false">+R323-Q323</f>
        <v>0</v>
      </c>
      <c r="U323" s="85"/>
      <c r="V323" s="85"/>
      <c r="W323" s="85"/>
    </row>
    <row r="324" s="41" customFormat="true" ht="28.5" hidden="true" customHeight="false" outlineLevel="0" collapsed="false">
      <c r="A324" s="36"/>
      <c r="B324" s="81" t="s">
        <v>1</v>
      </c>
      <c r="C324" s="82" t="s">
        <v>742</v>
      </c>
      <c r="D324" s="83" t="s">
        <v>744</v>
      </c>
      <c r="E324" s="84" t="s">
        <v>738</v>
      </c>
      <c r="F324" s="84" t="s">
        <v>202</v>
      </c>
      <c r="G324" s="85" t="s">
        <v>312</v>
      </c>
      <c r="H324" s="85" t="n">
        <v>1</v>
      </c>
      <c r="I324" s="85" t="n">
        <v>5</v>
      </c>
      <c r="J324" s="84" t="s">
        <v>113</v>
      </c>
      <c r="K324" s="85" t="s">
        <v>313</v>
      </c>
      <c r="L324" s="85"/>
      <c r="M324" s="85" t="s">
        <v>739</v>
      </c>
      <c r="N324" s="85"/>
      <c r="O324" s="86"/>
      <c r="P324" s="85"/>
      <c r="Q324" s="85"/>
      <c r="R324" s="85"/>
      <c r="S324" s="85" t="str">
        <f aca="false">+IF(R324&lt;=Q324,"NO","SI")</f>
        <v>NO</v>
      </c>
      <c r="T324" s="85" t="n">
        <f aca="false">+R324-Q324</f>
        <v>0</v>
      </c>
      <c r="U324" s="85"/>
      <c r="V324" s="85"/>
      <c r="W324" s="85"/>
    </row>
    <row r="325" s="41" customFormat="true" ht="28.5" hidden="true" customHeight="false" outlineLevel="0" collapsed="false">
      <c r="A325" s="36"/>
      <c r="B325" s="81" t="s">
        <v>1</v>
      </c>
      <c r="C325" s="82" t="s">
        <v>742</v>
      </c>
      <c r="D325" s="83" t="s">
        <v>745</v>
      </c>
      <c r="E325" s="84" t="s">
        <v>738</v>
      </c>
      <c r="F325" s="84" t="s">
        <v>202</v>
      </c>
      <c r="G325" s="85" t="s">
        <v>312</v>
      </c>
      <c r="H325" s="85" t="n">
        <v>1</v>
      </c>
      <c r="I325" s="85" t="n">
        <v>5</v>
      </c>
      <c r="J325" s="84" t="s">
        <v>113</v>
      </c>
      <c r="K325" s="85" t="s">
        <v>313</v>
      </c>
      <c r="L325" s="85"/>
      <c r="M325" s="85" t="s">
        <v>739</v>
      </c>
      <c r="N325" s="85"/>
      <c r="O325" s="86"/>
      <c r="P325" s="85"/>
      <c r="Q325" s="85"/>
      <c r="R325" s="85"/>
      <c r="S325" s="85" t="str">
        <f aca="false">+IF(R325&lt;=Q325,"NO","SI")</f>
        <v>NO</v>
      </c>
      <c r="T325" s="85" t="n">
        <f aca="false">+R325-Q325</f>
        <v>0</v>
      </c>
      <c r="U325" s="85"/>
      <c r="V325" s="85"/>
      <c r="W325" s="85"/>
    </row>
    <row r="326" s="41" customFormat="true" ht="28.5" hidden="true" customHeight="false" outlineLevel="0" collapsed="false">
      <c r="A326" s="36"/>
      <c r="B326" s="81" t="s">
        <v>1</v>
      </c>
      <c r="C326" s="82" t="s">
        <v>746</v>
      </c>
      <c r="D326" s="83" t="s">
        <v>747</v>
      </c>
      <c r="E326" s="84" t="s">
        <v>738</v>
      </c>
      <c r="F326" s="84" t="s">
        <v>202</v>
      </c>
      <c r="G326" s="85" t="s">
        <v>312</v>
      </c>
      <c r="H326" s="85" t="n">
        <v>1</v>
      </c>
      <c r="I326" s="85" t="n">
        <v>5</v>
      </c>
      <c r="J326" s="84" t="s">
        <v>113</v>
      </c>
      <c r="K326" s="85" t="s">
        <v>313</v>
      </c>
      <c r="L326" s="85"/>
      <c r="M326" s="85" t="s">
        <v>739</v>
      </c>
      <c r="N326" s="85"/>
      <c r="O326" s="86"/>
      <c r="P326" s="85"/>
      <c r="Q326" s="85"/>
      <c r="R326" s="85"/>
      <c r="S326" s="85" t="str">
        <f aca="false">+IF(R326&lt;=Q326,"NO","SI")</f>
        <v>NO</v>
      </c>
      <c r="T326" s="85" t="n">
        <f aca="false">+R326-Q326</f>
        <v>0</v>
      </c>
      <c r="U326" s="85"/>
      <c r="V326" s="85"/>
      <c r="W326" s="85"/>
    </row>
    <row r="327" s="41" customFormat="true" ht="28.5" hidden="true" customHeight="false" outlineLevel="0" collapsed="false">
      <c r="A327" s="36"/>
      <c r="B327" s="81" t="s">
        <v>1</v>
      </c>
      <c r="C327" s="82" t="s">
        <v>746</v>
      </c>
      <c r="D327" s="83" t="s">
        <v>748</v>
      </c>
      <c r="E327" s="84" t="s">
        <v>738</v>
      </c>
      <c r="F327" s="84" t="s">
        <v>202</v>
      </c>
      <c r="G327" s="85" t="s">
        <v>312</v>
      </c>
      <c r="H327" s="85" t="n">
        <v>1</v>
      </c>
      <c r="I327" s="85" t="n">
        <v>5</v>
      </c>
      <c r="J327" s="84" t="s">
        <v>113</v>
      </c>
      <c r="K327" s="85" t="s">
        <v>313</v>
      </c>
      <c r="L327" s="85"/>
      <c r="M327" s="85" t="s">
        <v>739</v>
      </c>
      <c r="N327" s="85"/>
      <c r="O327" s="86"/>
      <c r="P327" s="85"/>
      <c r="Q327" s="85"/>
      <c r="R327" s="85"/>
      <c r="S327" s="85" t="str">
        <f aca="false">+IF(R327&lt;=Q327,"NO","SI")</f>
        <v>NO</v>
      </c>
      <c r="T327" s="85" t="n">
        <f aca="false">+R327-Q327</f>
        <v>0</v>
      </c>
      <c r="U327" s="85"/>
      <c r="V327" s="85"/>
      <c r="W327" s="85"/>
    </row>
    <row r="328" s="41" customFormat="true" ht="28.5" hidden="true" customHeight="false" outlineLevel="0" collapsed="false">
      <c r="A328" s="36"/>
      <c r="B328" s="81" t="s">
        <v>1</v>
      </c>
      <c r="C328" s="82" t="s">
        <v>749</v>
      </c>
      <c r="D328" s="83" t="s">
        <v>750</v>
      </c>
      <c r="E328" s="84" t="s">
        <v>738</v>
      </c>
      <c r="F328" s="84" t="s">
        <v>202</v>
      </c>
      <c r="G328" s="85" t="s">
        <v>312</v>
      </c>
      <c r="H328" s="85" t="n">
        <v>1</v>
      </c>
      <c r="I328" s="85" t="n">
        <v>5</v>
      </c>
      <c r="J328" s="84" t="s">
        <v>113</v>
      </c>
      <c r="K328" s="85" t="s">
        <v>313</v>
      </c>
      <c r="L328" s="85"/>
      <c r="M328" s="85" t="s">
        <v>739</v>
      </c>
      <c r="N328" s="85"/>
      <c r="O328" s="86"/>
      <c r="P328" s="85"/>
      <c r="Q328" s="85"/>
      <c r="R328" s="85"/>
      <c r="S328" s="85" t="str">
        <f aca="false">+IF(R328&lt;=Q328,"NO","SI")</f>
        <v>NO</v>
      </c>
      <c r="T328" s="85" t="n">
        <f aca="false">+R328-Q328</f>
        <v>0</v>
      </c>
      <c r="U328" s="85"/>
      <c r="V328" s="85"/>
      <c r="W328" s="85"/>
    </row>
    <row r="329" s="41" customFormat="true" ht="28.5" hidden="true" customHeight="false" outlineLevel="0" collapsed="false">
      <c r="A329" s="36"/>
      <c r="B329" s="81" t="s">
        <v>1</v>
      </c>
      <c r="C329" s="82" t="s">
        <v>749</v>
      </c>
      <c r="D329" s="83" t="s">
        <v>751</v>
      </c>
      <c r="E329" s="84" t="s">
        <v>738</v>
      </c>
      <c r="F329" s="84" t="s">
        <v>202</v>
      </c>
      <c r="G329" s="85" t="s">
        <v>312</v>
      </c>
      <c r="H329" s="85" t="n">
        <v>1</v>
      </c>
      <c r="I329" s="85" t="n">
        <v>5</v>
      </c>
      <c r="J329" s="84" t="s">
        <v>113</v>
      </c>
      <c r="K329" s="85" t="s">
        <v>313</v>
      </c>
      <c r="L329" s="85"/>
      <c r="M329" s="85" t="s">
        <v>739</v>
      </c>
      <c r="N329" s="85"/>
      <c r="O329" s="86"/>
      <c r="P329" s="85"/>
      <c r="Q329" s="85"/>
      <c r="R329" s="85"/>
      <c r="S329" s="85" t="str">
        <f aca="false">+IF(R329&lt;=Q329,"NO","SI")</f>
        <v>NO</v>
      </c>
      <c r="T329" s="85" t="n">
        <f aca="false">+R329-Q329</f>
        <v>0</v>
      </c>
      <c r="U329" s="85"/>
      <c r="V329" s="85"/>
      <c r="W329" s="85"/>
    </row>
    <row r="330" s="41" customFormat="true" ht="28.5" hidden="false" customHeight="false" outlineLevel="0" collapsed="false">
      <c r="A330" s="36"/>
      <c r="B330" s="70" t="s">
        <v>1</v>
      </c>
      <c r="C330" s="71" t="s">
        <v>752</v>
      </c>
      <c r="D330" s="72" t="s">
        <v>753</v>
      </c>
      <c r="E330" s="73" t="s">
        <v>712</v>
      </c>
      <c r="F330" s="73" t="s">
        <v>202</v>
      </c>
      <c r="G330" s="74" t="s">
        <v>312</v>
      </c>
      <c r="H330" s="74" t="n">
        <v>1</v>
      </c>
      <c r="I330" s="74" t="n">
        <v>5</v>
      </c>
      <c r="J330" s="73" t="s">
        <v>113</v>
      </c>
      <c r="K330" s="74" t="s">
        <v>3</v>
      </c>
      <c r="L330" s="74" t="s">
        <v>713</v>
      </c>
      <c r="M330" s="74" t="s">
        <v>11</v>
      </c>
      <c r="N330" s="74" t="s">
        <v>509</v>
      </c>
      <c r="O330" s="75"/>
      <c r="P330" s="74" t="n">
        <v>41</v>
      </c>
      <c r="Q330" s="71" t="n">
        <v>46192</v>
      </c>
      <c r="R330" s="71" t="n">
        <v>46211</v>
      </c>
      <c r="S330" s="71" t="str">
        <f aca="false">+IF(R330&lt;=Q330,"NO","SI")</f>
        <v>SI</v>
      </c>
      <c r="T330" s="78" t="n">
        <f aca="false">+R330-Q330</f>
        <v>19</v>
      </c>
      <c r="U330" s="74"/>
      <c r="V330" s="74"/>
      <c r="W330" s="71"/>
    </row>
    <row r="331" s="41" customFormat="true" ht="28.5" hidden="false" customHeight="false" outlineLevel="0" collapsed="false">
      <c r="A331" s="36"/>
      <c r="B331" s="70" t="s">
        <v>1</v>
      </c>
      <c r="C331" s="71" t="s">
        <v>752</v>
      </c>
      <c r="D331" s="72" t="s">
        <v>754</v>
      </c>
      <c r="E331" s="73" t="s">
        <v>712</v>
      </c>
      <c r="F331" s="73" t="s">
        <v>202</v>
      </c>
      <c r="G331" s="74" t="s">
        <v>312</v>
      </c>
      <c r="H331" s="74" t="n">
        <v>1</v>
      </c>
      <c r="I331" s="74" t="n">
        <v>5</v>
      </c>
      <c r="J331" s="73" t="s">
        <v>113</v>
      </c>
      <c r="K331" s="74" t="s">
        <v>3</v>
      </c>
      <c r="L331" s="74" t="s">
        <v>713</v>
      </c>
      <c r="M331" s="74" t="s">
        <v>11</v>
      </c>
      <c r="N331" s="74" t="s">
        <v>509</v>
      </c>
      <c r="O331" s="75"/>
      <c r="P331" s="74" t="n">
        <v>41</v>
      </c>
      <c r="Q331" s="71" t="n">
        <v>46192</v>
      </c>
      <c r="R331" s="71" t="n">
        <v>46211</v>
      </c>
      <c r="S331" s="71" t="str">
        <f aca="false">+IF(R331&lt;=Q331,"NO","SI")</f>
        <v>SI</v>
      </c>
      <c r="T331" s="78" t="n">
        <f aca="false">+R331-Q331</f>
        <v>19</v>
      </c>
      <c r="U331" s="74"/>
      <c r="V331" s="74"/>
      <c r="W331" s="71"/>
    </row>
    <row r="332" s="41" customFormat="true" ht="28.5" hidden="false" customHeight="false" outlineLevel="0" collapsed="false">
      <c r="A332" s="36"/>
      <c r="B332" s="70" t="s">
        <v>1</v>
      </c>
      <c r="C332" s="71" t="s">
        <v>752</v>
      </c>
      <c r="D332" s="72" t="s">
        <v>755</v>
      </c>
      <c r="E332" s="73" t="s">
        <v>712</v>
      </c>
      <c r="F332" s="73" t="s">
        <v>202</v>
      </c>
      <c r="G332" s="74" t="s">
        <v>312</v>
      </c>
      <c r="H332" s="74" t="n">
        <v>1</v>
      </c>
      <c r="I332" s="74" t="n">
        <v>5</v>
      </c>
      <c r="J332" s="73" t="s">
        <v>113</v>
      </c>
      <c r="K332" s="74" t="s">
        <v>3</v>
      </c>
      <c r="L332" s="74" t="s">
        <v>713</v>
      </c>
      <c r="M332" s="74" t="s">
        <v>11</v>
      </c>
      <c r="N332" s="74" t="s">
        <v>509</v>
      </c>
      <c r="O332" s="75"/>
      <c r="P332" s="74" t="n">
        <v>41</v>
      </c>
      <c r="Q332" s="71" t="n">
        <v>46192</v>
      </c>
      <c r="R332" s="71" t="n">
        <v>46211</v>
      </c>
      <c r="S332" s="71" t="str">
        <f aca="false">+IF(R332&lt;=Q332,"NO","SI")</f>
        <v>SI</v>
      </c>
      <c r="T332" s="78" t="n">
        <f aca="false">+R332-Q332</f>
        <v>19</v>
      </c>
      <c r="U332" s="74"/>
      <c r="V332" s="74"/>
      <c r="W332" s="71"/>
    </row>
    <row r="333" s="41" customFormat="true" ht="14.25" hidden="false" customHeight="false" outlineLevel="0" collapsed="false">
      <c r="A333" s="36"/>
      <c r="B333" s="81" t="s">
        <v>1</v>
      </c>
      <c r="C333" s="82" t="s">
        <v>752</v>
      </c>
      <c r="D333" s="83" t="s">
        <v>756</v>
      </c>
      <c r="E333" s="84" t="s">
        <v>757</v>
      </c>
      <c r="F333" s="84" t="s">
        <v>202</v>
      </c>
      <c r="G333" s="85" t="s">
        <v>312</v>
      </c>
      <c r="H333" s="135" t="n">
        <v>1</v>
      </c>
      <c r="I333" s="85" t="n">
        <v>5</v>
      </c>
      <c r="J333" s="84" t="s">
        <v>113</v>
      </c>
      <c r="K333" s="85" t="s">
        <v>3</v>
      </c>
      <c r="L333" s="85" t="s">
        <v>722</v>
      </c>
      <c r="M333" s="136" t="s">
        <v>8</v>
      </c>
      <c r="N333" s="85" t="s">
        <v>326</v>
      </c>
      <c r="O333" s="86"/>
      <c r="P333" s="85" t="n">
        <v>36</v>
      </c>
      <c r="Q333" s="82" t="n">
        <v>46174</v>
      </c>
      <c r="R333" s="82" t="n">
        <v>46211</v>
      </c>
      <c r="S333" s="82" t="str">
        <f aca="false">+IF(R333&lt;=Q333,"NO","SI")</f>
        <v>SI</v>
      </c>
      <c r="T333" s="107" t="n">
        <f aca="false">+R333-Q333</f>
        <v>37</v>
      </c>
      <c r="U333" s="85"/>
      <c r="V333" s="85"/>
      <c r="W333" s="82"/>
    </row>
    <row r="334" s="41" customFormat="true" ht="14.25" hidden="false" customHeight="false" outlineLevel="0" collapsed="false">
      <c r="A334" s="36"/>
      <c r="B334" s="81" t="s">
        <v>1</v>
      </c>
      <c r="C334" s="82" t="s">
        <v>752</v>
      </c>
      <c r="D334" s="83" t="s">
        <v>758</v>
      </c>
      <c r="E334" s="84" t="s">
        <v>759</v>
      </c>
      <c r="F334" s="84" t="s">
        <v>202</v>
      </c>
      <c r="G334" s="85" t="s">
        <v>312</v>
      </c>
      <c r="H334" s="135" t="n">
        <v>7</v>
      </c>
      <c r="I334" s="85" t="n">
        <v>5</v>
      </c>
      <c r="J334" s="84" t="s">
        <v>113</v>
      </c>
      <c r="K334" s="85" t="s">
        <v>3</v>
      </c>
      <c r="L334" s="85" t="s">
        <v>722</v>
      </c>
      <c r="M334" s="136" t="s">
        <v>8</v>
      </c>
      <c r="N334" s="85" t="s">
        <v>326</v>
      </c>
      <c r="O334" s="86"/>
      <c r="P334" s="85" t="n">
        <v>36</v>
      </c>
      <c r="Q334" s="82" t="n">
        <v>46174</v>
      </c>
      <c r="R334" s="82" t="n">
        <v>46211</v>
      </c>
      <c r="S334" s="82" t="str">
        <f aca="false">+IF(R334&lt;=Q334,"NO","SI")</f>
        <v>SI</v>
      </c>
      <c r="T334" s="107" t="n">
        <f aca="false">+R334-Q334</f>
        <v>37</v>
      </c>
      <c r="U334" s="85"/>
      <c r="V334" s="85"/>
      <c r="W334" s="82"/>
    </row>
    <row r="335" s="41" customFormat="true" ht="14.25" hidden="false" customHeight="false" outlineLevel="0" collapsed="false">
      <c r="A335" s="36"/>
      <c r="B335" s="81" t="s">
        <v>1</v>
      </c>
      <c r="C335" s="82" t="s">
        <v>752</v>
      </c>
      <c r="D335" s="83" t="s">
        <v>760</v>
      </c>
      <c r="E335" s="84" t="s">
        <v>761</v>
      </c>
      <c r="F335" s="84" t="s">
        <v>202</v>
      </c>
      <c r="G335" s="85" t="s">
        <v>312</v>
      </c>
      <c r="H335" s="135" t="n">
        <v>1</v>
      </c>
      <c r="I335" s="85" t="n">
        <v>5</v>
      </c>
      <c r="J335" s="84" t="s">
        <v>113</v>
      </c>
      <c r="K335" s="85" t="s">
        <v>3</v>
      </c>
      <c r="L335" s="85" t="s">
        <v>722</v>
      </c>
      <c r="M335" s="136" t="s">
        <v>8</v>
      </c>
      <c r="N335" s="85" t="s">
        <v>326</v>
      </c>
      <c r="O335" s="86"/>
      <c r="P335" s="85" t="n">
        <v>36</v>
      </c>
      <c r="Q335" s="82" t="n">
        <v>46174</v>
      </c>
      <c r="R335" s="82" t="n">
        <v>46211</v>
      </c>
      <c r="S335" s="82" t="str">
        <f aca="false">+IF(R335&lt;=Q335,"NO","SI")</f>
        <v>SI</v>
      </c>
      <c r="T335" s="107" t="n">
        <f aca="false">+R335-Q335</f>
        <v>37</v>
      </c>
      <c r="U335" s="85"/>
      <c r="V335" s="85"/>
      <c r="W335" s="82"/>
    </row>
    <row r="336" customFormat="false" ht="28.5" hidden="false" customHeight="false" outlineLevel="0" collapsed="false">
      <c r="B336" s="70" t="s">
        <v>1</v>
      </c>
      <c r="C336" s="71" t="s">
        <v>752</v>
      </c>
      <c r="D336" s="38" t="s">
        <v>762</v>
      </c>
      <c r="E336" s="73" t="s">
        <v>712</v>
      </c>
      <c r="F336" s="137" t="s">
        <v>202</v>
      </c>
      <c r="G336" s="74" t="s">
        <v>312</v>
      </c>
      <c r="H336" s="40" t="n">
        <v>1</v>
      </c>
      <c r="I336" s="74" t="n">
        <v>5</v>
      </c>
      <c r="J336" s="73" t="s">
        <v>113</v>
      </c>
      <c r="K336" s="74" t="s">
        <v>3</v>
      </c>
      <c r="L336" s="74" t="s">
        <v>713</v>
      </c>
      <c r="M336" s="74" t="s">
        <v>11</v>
      </c>
      <c r="N336" s="74" t="s">
        <v>509</v>
      </c>
      <c r="O336" s="75"/>
      <c r="P336" s="74" t="n">
        <v>41</v>
      </c>
      <c r="Q336" s="71" t="n">
        <v>46192</v>
      </c>
      <c r="R336" s="71" t="n">
        <v>46211</v>
      </c>
      <c r="S336" s="71" t="str">
        <f aca="false">+IF(R336&lt;=Q336,"NO","SI")</f>
        <v>SI</v>
      </c>
      <c r="T336" s="78" t="n">
        <f aca="false">+R336-Q336</f>
        <v>19</v>
      </c>
      <c r="U336" s="74"/>
      <c r="V336" s="74"/>
      <c r="W336" s="71"/>
    </row>
    <row r="337" customFormat="false" ht="14.25" hidden="false" customHeight="false" outlineLevel="0" collapsed="false">
      <c r="B337" s="81" t="s">
        <v>1</v>
      </c>
      <c r="C337" s="82" t="s">
        <v>752</v>
      </c>
      <c r="D337" s="138" t="s">
        <v>763</v>
      </c>
      <c r="E337" s="84" t="s">
        <v>757</v>
      </c>
      <c r="F337" s="139" t="s">
        <v>202</v>
      </c>
      <c r="G337" s="85" t="s">
        <v>312</v>
      </c>
      <c r="H337" s="140" t="n">
        <v>1</v>
      </c>
      <c r="I337" s="85" t="n">
        <v>5</v>
      </c>
      <c r="J337" s="84" t="s">
        <v>113</v>
      </c>
      <c r="K337" s="85" t="s">
        <v>3</v>
      </c>
      <c r="L337" s="85" t="s">
        <v>722</v>
      </c>
      <c r="M337" s="136" t="s">
        <v>8</v>
      </c>
      <c r="N337" s="85" t="s">
        <v>326</v>
      </c>
      <c r="O337" s="86"/>
      <c r="P337" s="85" t="n">
        <v>36</v>
      </c>
      <c r="Q337" s="82" t="n">
        <v>46174</v>
      </c>
      <c r="R337" s="82" t="n">
        <v>46211</v>
      </c>
      <c r="S337" s="82" t="str">
        <f aca="false">+IF(R337&lt;=Q337,"NO","SI")</f>
        <v>SI</v>
      </c>
      <c r="T337" s="107" t="n">
        <f aca="false">+R337-Q337</f>
        <v>37</v>
      </c>
      <c r="U337" s="85"/>
      <c r="V337" s="85"/>
      <c r="W337" s="82"/>
    </row>
    <row r="338" customFormat="false" ht="14.25" hidden="false" customHeight="false" outlineLevel="0" collapsed="false">
      <c r="B338" s="81" t="s">
        <v>1</v>
      </c>
      <c r="C338" s="82" t="s">
        <v>752</v>
      </c>
      <c r="D338" s="138" t="s">
        <v>764</v>
      </c>
      <c r="E338" s="84" t="s">
        <v>759</v>
      </c>
      <c r="F338" s="139" t="s">
        <v>202</v>
      </c>
      <c r="G338" s="85" t="s">
        <v>312</v>
      </c>
      <c r="H338" s="140" t="n">
        <v>7</v>
      </c>
      <c r="I338" s="85" t="n">
        <v>5</v>
      </c>
      <c r="J338" s="84" t="s">
        <v>113</v>
      </c>
      <c r="K338" s="85" t="s">
        <v>3</v>
      </c>
      <c r="L338" s="85" t="s">
        <v>722</v>
      </c>
      <c r="M338" s="136" t="s">
        <v>8</v>
      </c>
      <c r="N338" s="85" t="s">
        <v>326</v>
      </c>
      <c r="O338" s="86"/>
      <c r="P338" s="85" t="n">
        <v>36</v>
      </c>
      <c r="Q338" s="82" t="n">
        <v>46174</v>
      </c>
      <c r="R338" s="82" t="n">
        <v>46211</v>
      </c>
      <c r="S338" s="82" t="str">
        <f aca="false">+IF(R338&lt;=Q338,"NO","SI")</f>
        <v>SI</v>
      </c>
      <c r="T338" s="107" t="n">
        <f aca="false">+R338-Q338</f>
        <v>37</v>
      </c>
      <c r="U338" s="85"/>
      <c r="V338" s="85"/>
      <c r="W338" s="82"/>
    </row>
    <row r="339" customFormat="false" ht="28.5" hidden="false" customHeight="false" outlineLevel="0" collapsed="false">
      <c r="B339" s="70" t="s">
        <v>1</v>
      </c>
      <c r="C339" s="37" t="s">
        <v>752</v>
      </c>
      <c r="D339" s="38" t="s">
        <v>765</v>
      </c>
      <c r="E339" s="73" t="s">
        <v>712</v>
      </c>
      <c r="F339" s="73" t="s">
        <v>67</v>
      </c>
      <c r="G339" s="74" t="s">
        <v>312</v>
      </c>
      <c r="H339" s="40" t="n">
        <v>1</v>
      </c>
      <c r="I339" s="40" t="n">
        <v>5</v>
      </c>
      <c r="J339" s="73" t="s">
        <v>113</v>
      </c>
      <c r="K339" s="74" t="s">
        <v>3</v>
      </c>
      <c r="L339" s="74" t="s">
        <v>713</v>
      </c>
      <c r="M339" s="74" t="s">
        <v>11</v>
      </c>
      <c r="N339" s="74" t="s">
        <v>509</v>
      </c>
      <c r="O339" s="75"/>
      <c r="P339" s="74" t="n">
        <v>41</v>
      </c>
      <c r="Q339" s="71" t="n">
        <v>46169</v>
      </c>
      <c r="R339" s="71" t="n">
        <v>46178</v>
      </c>
      <c r="S339" s="71" t="str">
        <f aca="false">+IF(R339&lt;=Q339,"NO","SI")</f>
        <v>SI</v>
      </c>
      <c r="T339" s="78" t="n">
        <f aca="false">+R339-Q339</f>
        <v>9</v>
      </c>
      <c r="U339" s="74"/>
      <c r="V339" s="74"/>
      <c r="W339" s="71"/>
    </row>
    <row r="340" customFormat="false" ht="14.25" hidden="false" customHeight="false" outlineLevel="0" collapsed="false">
      <c r="B340" s="81" t="s">
        <v>1</v>
      </c>
      <c r="C340" s="141" t="s">
        <v>752</v>
      </c>
      <c r="D340" s="138" t="s">
        <v>766</v>
      </c>
      <c r="E340" s="84" t="s">
        <v>757</v>
      </c>
      <c r="F340" s="84" t="s">
        <v>67</v>
      </c>
      <c r="G340" s="85" t="s">
        <v>312</v>
      </c>
      <c r="H340" s="140" t="n">
        <v>1</v>
      </c>
      <c r="I340" s="140" t="n">
        <v>5</v>
      </c>
      <c r="J340" s="84" t="s">
        <v>113</v>
      </c>
      <c r="K340" s="85" t="s">
        <v>3</v>
      </c>
      <c r="L340" s="85" t="s">
        <v>722</v>
      </c>
      <c r="M340" s="136" t="s">
        <v>8</v>
      </c>
      <c r="N340" s="85" t="s">
        <v>326</v>
      </c>
      <c r="O340" s="86"/>
      <c r="P340" s="85" t="n">
        <v>36</v>
      </c>
      <c r="Q340" s="82" t="n">
        <v>46174</v>
      </c>
      <c r="R340" s="82" t="n">
        <v>46185</v>
      </c>
      <c r="S340" s="82" t="str">
        <f aca="false">+IF(R340&lt;=Q340,"NO","SI")</f>
        <v>SI</v>
      </c>
      <c r="T340" s="107" t="n">
        <f aca="false">+R340-Q340</f>
        <v>11</v>
      </c>
      <c r="U340" s="85"/>
      <c r="V340" s="85"/>
      <c r="W340" s="82"/>
    </row>
    <row r="341" customFormat="false" ht="14.25" hidden="false" customHeight="false" outlineLevel="0" collapsed="false">
      <c r="B341" s="81" t="s">
        <v>1</v>
      </c>
      <c r="C341" s="141" t="s">
        <v>752</v>
      </c>
      <c r="D341" s="138" t="s">
        <v>767</v>
      </c>
      <c r="E341" s="84" t="s">
        <v>759</v>
      </c>
      <c r="F341" s="84" t="s">
        <v>67</v>
      </c>
      <c r="G341" s="85" t="s">
        <v>312</v>
      </c>
      <c r="H341" s="140" t="n">
        <v>5</v>
      </c>
      <c r="I341" s="140" t="n">
        <v>5</v>
      </c>
      <c r="J341" s="84" t="s">
        <v>113</v>
      </c>
      <c r="K341" s="85" t="s">
        <v>3</v>
      </c>
      <c r="L341" s="85" t="s">
        <v>722</v>
      </c>
      <c r="M341" s="136" t="s">
        <v>8</v>
      </c>
      <c r="N341" s="85" t="s">
        <v>326</v>
      </c>
      <c r="O341" s="86"/>
      <c r="P341" s="85" t="n">
        <v>36</v>
      </c>
      <c r="Q341" s="82" t="n">
        <v>46174</v>
      </c>
      <c r="R341" s="82" t="n">
        <v>46185</v>
      </c>
      <c r="S341" s="82" t="str">
        <f aca="false">+IF(R341&lt;=Q341,"NO","SI")</f>
        <v>SI</v>
      </c>
      <c r="T341" s="107" t="n">
        <f aca="false">+R341-Q341</f>
        <v>11</v>
      </c>
      <c r="U341" s="85"/>
      <c r="V341" s="85"/>
      <c r="W341" s="82"/>
    </row>
    <row r="342" customFormat="false" ht="28.5" hidden="false" customHeight="false" outlineLevel="0" collapsed="false">
      <c r="B342" s="70" t="s">
        <v>1</v>
      </c>
      <c r="C342" s="37" t="s">
        <v>752</v>
      </c>
      <c r="D342" s="38" t="s">
        <v>768</v>
      </c>
      <c r="E342" s="73" t="s">
        <v>712</v>
      </c>
      <c r="F342" s="73" t="s">
        <v>67</v>
      </c>
      <c r="G342" s="74" t="s">
        <v>312</v>
      </c>
      <c r="H342" s="40" t="n">
        <v>1</v>
      </c>
      <c r="I342" s="40" t="n">
        <v>5</v>
      </c>
      <c r="J342" s="73" t="s">
        <v>113</v>
      </c>
      <c r="K342" s="74" t="s">
        <v>3</v>
      </c>
      <c r="L342" s="74" t="s">
        <v>713</v>
      </c>
      <c r="M342" s="74" t="s">
        <v>11</v>
      </c>
      <c r="N342" s="74" t="s">
        <v>509</v>
      </c>
      <c r="O342" s="75"/>
      <c r="P342" s="74" t="n">
        <v>41</v>
      </c>
      <c r="Q342" s="71" t="n">
        <v>46169</v>
      </c>
      <c r="R342" s="71" t="n">
        <v>46178</v>
      </c>
      <c r="S342" s="71" t="str">
        <f aca="false">+IF(R342&lt;=Q342,"NO","SI")</f>
        <v>SI</v>
      </c>
      <c r="T342" s="78" t="n">
        <f aca="false">+R342-Q342</f>
        <v>9</v>
      </c>
      <c r="U342" s="74"/>
      <c r="V342" s="74"/>
      <c r="W342" s="71"/>
    </row>
    <row r="343" customFormat="false" ht="14.25" hidden="false" customHeight="false" outlineLevel="0" collapsed="false">
      <c r="B343" s="81" t="s">
        <v>1</v>
      </c>
      <c r="C343" s="141" t="s">
        <v>752</v>
      </c>
      <c r="D343" s="138" t="s">
        <v>769</v>
      </c>
      <c r="E343" s="84" t="s">
        <v>757</v>
      </c>
      <c r="F343" s="84" t="s">
        <v>67</v>
      </c>
      <c r="G343" s="85" t="s">
        <v>312</v>
      </c>
      <c r="H343" s="140" t="n">
        <v>1</v>
      </c>
      <c r="I343" s="140" t="n">
        <v>5</v>
      </c>
      <c r="J343" s="84" t="s">
        <v>113</v>
      </c>
      <c r="K343" s="85" t="s">
        <v>3</v>
      </c>
      <c r="L343" s="85" t="s">
        <v>722</v>
      </c>
      <c r="M343" s="136" t="s">
        <v>8</v>
      </c>
      <c r="N343" s="85" t="s">
        <v>326</v>
      </c>
      <c r="O343" s="86"/>
      <c r="P343" s="85" t="n">
        <v>36</v>
      </c>
      <c r="Q343" s="82" t="n">
        <v>46174</v>
      </c>
      <c r="R343" s="82" t="n">
        <v>46185</v>
      </c>
      <c r="S343" s="82" t="str">
        <f aca="false">+IF(R343&lt;=Q343,"NO","SI")</f>
        <v>SI</v>
      </c>
      <c r="T343" s="107" t="n">
        <f aca="false">+R343-Q343</f>
        <v>11</v>
      </c>
      <c r="U343" s="85"/>
      <c r="V343" s="85"/>
      <c r="W343" s="82"/>
    </row>
    <row r="344" customFormat="false" ht="14.25" hidden="false" customHeight="false" outlineLevel="0" collapsed="false">
      <c r="B344" s="81" t="s">
        <v>1</v>
      </c>
      <c r="C344" s="141" t="s">
        <v>752</v>
      </c>
      <c r="D344" s="138" t="s">
        <v>770</v>
      </c>
      <c r="E344" s="84" t="s">
        <v>759</v>
      </c>
      <c r="F344" s="84" t="s">
        <v>67</v>
      </c>
      <c r="G344" s="85" t="s">
        <v>312</v>
      </c>
      <c r="H344" s="140" t="n">
        <v>8</v>
      </c>
      <c r="I344" s="140" t="n">
        <v>5</v>
      </c>
      <c r="J344" s="84" t="s">
        <v>113</v>
      </c>
      <c r="K344" s="85" t="s">
        <v>3</v>
      </c>
      <c r="L344" s="85" t="s">
        <v>722</v>
      </c>
      <c r="M344" s="136" t="s">
        <v>8</v>
      </c>
      <c r="N344" s="85" t="s">
        <v>326</v>
      </c>
      <c r="O344" s="86"/>
      <c r="P344" s="85" t="n">
        <v>36</v>
      </c>
      <c r="Q344" s="82" t="n">
        <v>46174</v>
      </c>
      <c r="R344" s="82" t="n">
        <v>46185</v>
      </c>
      <c r="S344" s="82" t="str">
        <f aca="false">+IF(R344&lt;=Q344,"NO","SI")</f>
        <v>SI</v>
      </c>
      <c r="T344" s="107" t="n">
        <f aca="false">+R344-Q344</f>
        <v>11</v>
      </c>
      <c r="U344" s="85"/>
      <c r="V344" s="85"/>
      <c r="W344" s="82"/>
    </row>
    <row r="345" customFormat="false" ht="14.25" hidden="false" customHeight="false" outlineLevel="0" collapsed="false">
      <c r="B345" s="81" t="s">
        <v>1</v>
      </c>
      <c r="C345" s="141" t="s">
        <v>752</v>
      </c>
      <c r="D345" s="138" t="s">
        <v>771</v>
      </c>
      <c r="E345" s="84" t="s">
        <v>761</v>
      </c>
      <c r="F345" s="84" t="s">
        <v>67</v>
      </c>
      <c r="G345" s="85" t="s">
        <v>312</v>
      </c>
      <c r="H345" s="140" t="n">
        <v>1</v>
      </c>
      <c r="I345" s="140" t="n">
        <v>5</v>
      </c>
      <c r="J345" s="84" t="s">
        <v>113</v>
      </c>
      <c r="K345" s="85" t="s">
        <v>3</v>
      </c>
      <c r="L345" s="85" t="s">
        <v>722</v>
      </c>
      <c r="M345" s="136" t="s">
        <v>8</v>
      </c>
      <c r="N345" s="85" t="s">
        <v>326</v>
      </c>
      <c r="O345" s="86"/>
      <c r="P345" s="85" t="n">
        <v>36</v>
      </c>
      <c r="Q345" s="82" t="n">
        <v>46174</v>
      </c>
      <c r="R345" s="82" t="n">
        <v>46185</v>
      </c>
      <c r="S345" s="82" t="str">
        <f aca="false">+IF(R345&lt;=Q345,"NO","SI")</f>
        <v>SI</v>
      </c>
      <c r="T345" s="107" t="n">
        <f aca="false">+R345-Q345</f>
        <v>11</v>
      </c>
      <c r="U345" s="85"/>
      <c r="V345" s="85"/>
      <c r="W345" s="82"/>
    </row>
    <row r="346" customFormat="false" ht="28.5" hidden="false" customHeight="false" outlineLevel="0" collapsed="false">
      <c r="B346" s="70" t="s">
        <v>1</v>
      </c>
      <c r="C346" s="37" t="s">
        <v>752</v>
      </c>
      <c r="D346" s="38" t="s">
        <v>772</v>
      </c>
      <c r="E346" s="73" t="s">
        <v>712</v>
      </c>
      <c r="F346" s="73" t="s">
        <v>71</v>
      </c>
      <c r="G346" s="74" t="s">
        <v>312</v>
      </c>
      <c r="H346" s="40" t="n">
        <v>1</v>
      </c>
      <c r="I346" s="40" t="n">
        <v>5</v>
      </c>
      <c r="J346" s="73" t="s">
        <v>113</v>
      </c>
      <c r="K346" s="74" t="s">
        <v>3</v>
      </c>
      <c r="L346" s="74" t="s">
        <v>713</v>
      </c>
      <c r="M346" s="74" t="s">
        <v>11</v>
      </c>
      <c r="N346" s="74" t="s">
        <v>509</v>
      </c>
      <c r="O346" s="75"/>
      <c r="P346" s="74" t="n">
        <v>41</v>
      </c>
      <c r="Q346" s="71" t="n">
        <v>46169</v>
      </c>
      <c r="R346" s="71" t="n">
        <v>46174</v>
      </c>
      <c r="S346" s="71" t="str">
        <f aca="false">+IF(R346&lt;=Q346,"NO","SI")</f>
        <v>SI</v>
      </c>
      <c r="T346" s="78" t="n">
        <f aca="false">+R346-Q346</f>
        <v>5</v>
      </c>
      <c r="U346" s="74"/>
      <c r="V346" s="74"/>
      <c r="W346" s="71"/>
    </row>
    <row r="347" customFormat="false" ht="14.25" hidden="false" customHeight="false" outlineLevel="0" collapsed="false">
      <c r="B347" s="81" t="s">
        <v>1</v>
      </c>
      <c r="C347" s="141" t="s">
        <v>752</v>
      </c>
      <c r="D347" s="138" t="s">
        <v>773</v>
      </c>
      <c r="E347" s="84" t="s">
        <v>757</v>
      </c>
      <c r="F347" s="84" t="s">
        <v>71</v>
      </c>
      <c r="G347" s="85" t="s">
        <v>312</v>
      </c>
      <c r="H347" s="140" t="n">
        <v>1</v>
      </c>
      <c r="I347" s="140" t="n">
        <v>5</v>
      </c>
      <c r="J347" s="84" t="s">
        <v>113</v>
      </c>
      <c r="K347" s="85" t="s">
        <v>3</v>
      </c>
      <c r="L347" s="85" t="s">
        <v>722</v>
      </c>
      <c r="M347" s="136" t="s">
        <v>8</v>
      </c>
      <c r="N347" s="85" t="s">
        <v>326</v>
      </c>
      <c r="O347" s="86"/>
      <c r="P347" s="85" t="n">
        <v>36</v>
      </c>
      <c r="Q347" s="82" t="n">
        <v>46174</v>
      </c>
      <c r="R347" s="82" t="n">
        <v>46189</v>
      </c>
      <c r="S347" s="82" t="str">
        <f aca="false">+IF(R347&lt;=Q347,"NO","SI")</f>
        <v>SI</v>
      </c>
      <c r="T347" s="107" t="n">
        <f aca="false">+R347-Q347</f>
        <v>15</v>
      </c>
      <c r="U347" s="85"/>
      <c r="V347" s="85"/>
      <c r="W347" s="82"/>
    </row>
    <row r="348" customFormat="false" ht="14.25" hidden="false" customHeight="false" outlineLevel="0" collapsed="false">
      <c r="B348" s="81" t="s">
        <v>1</v>
      </c>
      <c r="C348" s="141" t="s">
        <v>752</v>
      </c>
      <c r="D348" s="138" t="s">
        <v>774</v>
      </c>
      <c r="E348" s="84" t="s">
        <v>759</v>
      </c>
      <c r="F348" s="84" t="s">
        <v>71</v>
      </c>
      <c r="G348" s="85" t="s">
        <v>312</v>
      </c>
      <c r="H348" s="140" t="n">
        <v>8</v>
      </c>
      <c r="I348" s="140" t="n">
        <v>5</v>
      </c>
      <c r="J348" s="84" t="s">
        <v>113</v>
      </c>
      <c r="K348" s="85" t="s">
        <v>3</v>
      </c>
      <c r="L348" s="85" t="s">
        <v>722</v>
      </c>
      <c r="M348" s="136" t="s">
        <v>8</v>
      </c>
      <c r="N348" s="85" t="s">
        <v>326</v>
      </c>
      <c r="O348" s="86"/>
      <c r="P348" s="85" t="n">
        <v>36</v>
      </c>
      <c r="Q348" s="82" t="n">
        <v>46174</v>
      </c>
      <c r="R348" s="82" t="n">
        <v>46189</v>
      </c>
      <c r="S348" s="82" t="str">
        <f aca="false">+IF(R348&lt;=Q348,"NO","SI")</f>
        <v>SI</v>
      </c>
      <c r="T348" s="107" t="n">
        <f aca="false">+R348-Q348</f>
        <v>15</v>
      </c>
      <c r="U348" s="85"/>
      <c r="V348" s="85"/>
      <c r="W348" s="82"/>
    </row>
    <row r="349" customFormat="false" ht="28.5" hidden="false" customHeight="false" outlineLevel="0" collapsed="false">
      <c r="B349" s="70" t="s">
        <v>1</v>
      </c>
      <c r="C349" s="37" t="s">
        <v>752</v>
      </c>
      <c r="D349" s="38" t="s">
        <v>775</v>
      </c>
      <c r="E349" s="73" t="s">
        <v>712</v>
      </c>
      <c r="F349" s="73" t="s">
        <v>280</v>
      </c>
      <c r="G349" s="74" t="s">
        <v>312</v>
      </c>
      <c r="H349" s="40" t="n">
        <v>1</v>
      </c>
      <c r="I349" s="40" t="n">
        <v>5</v>
      </c>
      <c r="J349" s="73" t="s">
        <v>113</v>
      </c>
      <c r="K349" s="74" t="s">
        <v>3</v>
      </c>
      <c r="L349" s="74" t="s">
        <v>713</v>
      </c>
      <c r="M349" s="74" t="s">
        <v>11</v>
      </c>
      <c r="N349" s="74" t="s">
        <v>509</v>
      </c>
      <c r="O349" s="75"/>
      <c r="P349" s="74" t="n">
        <v>42</v>
      </c>
      <c r="Q349" s="71" t="n">
        <v>46192</v>
      </c>
      <c r="R349" s="74" t="s">
        <v>776</v>
      </c>
      <c r="S349" s="74" t="str">
        <f aca="false">+IF(R349&lt;=Q349,"NO","SI")</f>
        <v>SI</v>
      </c>
      <c r="T349" s="78" t="e">
        <f aca="false">+R349-Q349</f>
        <v>#VALUE!</v>
      </c>
      <c r="U349" s="74"/>
      <c r="V349" s="74"/>
      <c r="W349" s="74"/>
    </row>
    <row r="350" customFormat="false" ht="14.25" hidden="false" customHeight="false" outlineLevel="0" collapsed="false">
      <c r="B350" s="81" t="s">
        <v>1</v>
      </c>
      <c r="C350" s="141" t="s">
        <v>752</v>
      </c>
      <c r="D350" s="138" t="s">
        <v>777</v>
      </c>
      <c r="E350" s="84" t="s">
        <v>757</v>
      </c>
      <c r="F350" s="84" t="s">
        <v>280</v>
      </c>
      <c r="G350" s="85" t="s">
        <v>312</v>
      </c>
      <c r="H350" s="140" t="n">
        <v>1</v>
      </c>
      <c r="I350" s="140" t="n">
        <v>5</v>
      </c>
      <c r="J350" s="84" t="s">
        <v>113</v>
      </c>
      <c r="K350" s="85" t="s">
        <v>3</v>
      </c>
      <c r="L350" s="85" t="s">
        <v>722</v>
      </c>
      <c r="M350" s="136" t="s">
        <v>8</v>
      </c>
      <c r="N350" s="85" t="s">
        <v>326</v>
      </c>
      <c r="O350" s="86"/>
      <c r="P350" s="85" t="n">
        <v>38</v>
      </c>
      <c r="Q350" s="82" t="n">
        <v>46174</v>
      </c>
      <c r="R350" s="85" t="s">
        <v>776</v>
      </c>
      <c r="S350" s="85" t="str">
        <f aca="false">+IF(R350&lt;=Q350,"NO","SI")</f>
        <v>SI</v>
      </c>
      <c r="T350" s="107" t="e">
        <f aca="false">+R350-Q350</f>
        <v>#VALUE!</v>
      </c>
      <c r="U350" s="85"/>
      <c r="V350" s="85"/>
      <c r="W350" s="85"/>
    </row>
    <row r="351" customFormat="false" ht="28.5" hidden="false" customHeight="false" outlineLevel="0" collapsed="false">
      <c r="B351" s="70" t="s">
        <v>1</v>
      </c>
      <c r="C351" s="37" t="s">
        <v>752</v>
      </c>
      <c r="D351" s="38" t="s">
        <v>778</v>
      </c>
      <c r="E351" s="73" t="s">
        <v>712</v>
      </c>
      <c r="F351" s="73" t="s">
        <v>779</v>
      </c>
      <c r="G351" s="74" t="s">
        <v>312</v>
      </c>
      <c r="H351" s="40" t="n">
        <v>1</v>
      </c>
      <c r="I351" s="40" t="n">
        <v>5</v>
      </c>
      <c r="J351" s="73" t="s">
        <v>113</v>
      </c>
      <c r="K351" s="74" t="s">
        <v>3</v>
      </c>
      <c r="L351" s="74" t="s">
        <v>713</v>
      </c>
      <c r="M351" s="74" t="s">
        <v>11</v>
      </c>
      <c r="N351" s="74" t="s">
        <v>509</v>
      </c>
      <c r="O351" s="75"/>
      <c r="P351" s="74" t="n">
        <v>42</v>
      </c>
      <c r="Q351" s="71" t="n">
        <v>46192</v>
      </c>
      <c r="R351" s="71" t="n">
        <v>46196</v>
      </c>
      <c r="S351" s="71" t="str">
        <f aca="false">+IF(R351&lt;=Q351,"NO","SI")</f>
        <v>SI</v>
      </c>
      <c r="T351" s="78" t="n">
        <f aca="false">+R351-Q351</f>
        <v>4</v>
      </c>
      <c r="U351" s="74"/>
      <c r="V351" s="74"/>
      <c r="W351" s="71"/>
    </row>
    <row r="352" customFormat="false" ht="14.25" hidden="false" customHeight="false" outlineLevel="0" collapsed="false">
      <c r="B352" s="81" t="s">
        <v>1</v>
      </c>
      <c r="C352" s="141" t="s">
        <v>752</v>
      </c>
      <c r="D352" s="138" t="s">
        <v>780</v>
      </c>
      <c r="E352" s="84" t="s">
        <v>757</v>
      </c>
      <c r="F352" s="84" t="s">
        <v>779</v>
      </c>
      <c r="G352" s="85" t="s">
        <v>312</v>
      </c>
      <c r="H352" s="140" t="n">
        <v>1</v>
      </c>
      <c r="I352" s="140" t="n">
        <v>5</v>
      </c>
      <c r="J352" s="84" t="s">
        <v>113</v>
      </c>
      <c r="K352" s="85" t="s">
        <v>3</v>
      </c>
      <c r="L352" s="85" t="s">
        <v>722</v>
      </c>
      <c r="M352" s="136" t="s">
        <v>8</v>
      </c>
      <c r="N352" s="85" t="s">
        <v>509</v>
      </c>
      <c r="O352" s="86"/>
      <c r="P352" s="85" t="n">
        <v>38</v>
      </c>
      <c r="Q352" s="82" t="n">
        <v>46174</v>
      </c>
      <c r="R352" s="82" t="n">
        <v>46189</v>
      </c>
      <c r="S352" s="82" t="str">
        <f aca="false">+IF(R352&lt;=Q352,"NO","SI")</f>
        <v>SI</v>
      </c>
      <c r="T352" s="107" t="n">
        <f aca="false">+R352-Q352</f>
        <v>15</v>
      </c>
      <c r="U352" s="85"/>
      <c r="V352" s="85"/>
      <c r="W352" s="82"/>
    </row>
    <row r="353" customFormat="false" ht="12" hidden="false" customHeight="true" outlineLevel="0" collapsed="false">
      <c r="B353" s="81" t="s">
        <v>1</v>
      </c>
      <c r="C353" s="82" t="s">
        <v>781</v>
      </c>
      <c r="D353" s="83" t="s">
        <v>782</v>
      </c>
      <c r="E353" s="84" t="s">
        <v>783</v>
      </c>
      <c r="F353" s="84" t="s">
        <v>202</v>
      </c>
      <c r="G353" s="85" t="s">
        <v>312</v>
      </c>
      <c r="H353" s="85" t="n">
        <v>1</v>
      </c>
      <c r="I353" s="85" t="n">
        <v>5</v>
      </c>
      <c r="J353" s="84" t="s">
        <v>113</v>
      </c>
      <c r="K353" s="85" t="s">
        <v>3</v>
      </c>
      <c r="L353" s="85" t="s">
        <v>784</v>
      </c>
      <c r="M353" s="142" t="s">
        <v>8</v>
      </c>
      <c r="N353" s="85" t="s">
        <v>326</v>
      </c>
      <c r="O353" s="86"/>
      <c r="P353" s="85" t="n">
        <v>34</v>
      </c>
      <c r="Q353" s="82" t="n">
        <v>46139</v>
      </c>
      <c r="R353" s="82" t="n">
        <v>46171</v>
      </c>
      <c r="S353" s="82" t="str">
        <f aca="false">+IF(R353&lt;=Q353,"NO","SI")</f>
        <v>SI</v>
      </c>
      <c r="T353" s="107" t="n">
        <f aca="false">+R353-Q353</f>
        <v>32</v>
      </c>
      <c r="U353" s="85"/>
      <c r="V353" s="85"/>
      <c r="W353" s="82"/>
    </row>
    <row r="354" customFormat="false" ht="14.25" hidden="false" customHeight="false" outlineLevel="0" collapsed="false">
      <c r="B354" s="81" t="s">
        <v>1</v>
      </c>
      <c r="C354" s="82" t="s">
        <v>781</v>
      </c>
      <c r="D354" s="83" t="s">
        <v>782</v>
      </c>
      <c r="E354" s="84" t="s">
        <v>785</v>
      </c>
      <c r="F354" s="84" t="s">
        <v>202</v>
      </c>
      <c r="G354" s="85" t="s">
        <v>312</v>
      </c>
      <c r="H354" s="85" t="n">
        <v>1</v>
      </c>
      <c r="I354" s="85" t="n">
        <v>5</v>
      </c>
      <c r="J354" s="84" t="s">
        <v>113</v>
      </c>
      <c r="K354" s="85" t="s">
        <v>3</v>
      </c>
      <c r="L354" s="85" t="s">
        <v>784</v>
      </c>
      <c r="M354" s="131" t="s">
        <v>8</v>
      </c>
      <c r="N354" s="85" t="s">
        <v>326</v>
      </c>
      <c r="O354" s="86"/>
      <c r="P354" s="85" t="n">
        <v>34</v>
      </c>
      <c r="Q354" s="82" t="n">
        <v>46139</v>
      </c>
      <c r="R354" s="82" t="n">
        <v>46171</v>
      </c>
      <c r="S354" s="82" t="str">
        <f aca="false">+IF(R354&lt;=Q354,"NO","SI")</f>
        <v>SI</v>
      </c>
      <c r="T354" s="107" t="n">
        <f aca="false">+R354-Q354</f>
        <v>32</v>
      </c>
      <c r="U354" s="85"/>
      <c r="V354" s="85"/>
      <c r="W354" s="82"/>
    </row>
    <row r="355" customFormat="false" ht="14.25" hidden="false" customHeight="false" outlineLevel="0" collapsed="false">
      <c r="B355" s="81" t="s">
        <v>1</v>
      </c>
      <c r="C355" s="82" t="s">
        <v>781</v>
      </c>
      <c r="D355" s="83" t="s">
        <v>782</v>
      </c>
      <c r="E355" s="84" t="s">
        <v>786</v>
      </c>
      <c r="F355" s="84" t="s">
        <v>202</v>
      </c>
      <c r="G355" s="85" t="s">
        <v>312</v>
      </c>
      <c r="H355" s="85" t="n">
        <v>2</v>
      </c>
      <c r="I355" s="85" t="n">
        <v>5</v>
      </c>
      <c r="J355" s="84" t="s">
        <v>113</v>
      </c>
      <c r="K355" s="85" t="s">
        <v>3</v>
      </c>
      <c r="L355" s="85" t="s">
        <v>784</v>
      </c>
      <c r="M355" s="131" t="s">
        <v>8</v>
      </c>
      <c r="N355" s="85" t="s">
        <v>326</v>
      </c>
      <c r="O355" s="86"/>
      <c r="P355" s="85" t="n">
        <v>34</v>
      </c>
      <c r="Q355" s="82" t="n">
        <v>46139</v>
      </c>
      <c r="R355" s="82" t="n">
        <v>46171</v>
      </c>
      <c r="S355" s="82" t="str">
        <f aca="false">+IF(R355&lt;=Q355,"NO","SI")</f>
        <v>SI</v>
      </c>
      <c r="T355" s="107" t="n">
        <f aca="false">+R355-Q355</f>
        <v>32</v>
      </c>
      <c r="U355" s="85"/>
      <c r="V355" s="85"/>
      <c r="W355" s="82"/>
    </row>
    <row r="356" customFormat="false" ht="14.25" hidden="false" customHeight="false" outlineLevel="0" collapsed="false">
      <c r="B356" s="81" t="s">
        <v>1</v>
      </c>
      <c r="C356" s="82" t="s">
        <v>781</v>
      </c>
      <c r="D356" s="83" t="s">
        <v>782</v>
      </c>
      <c r="E356" s="84" t="s">
        <v>787</v>
      </c>
      <c r="F356" s="84" t="s">
        <v>202</v>
      </c>
      <c r="G356" s="85" t="s">
        <v>312</v>
      </c>
      <c r="H356" s="85" t="n">
        <v>2</v>
      </c>
      <c r="I356" s="85" t="n">
        <v>5</v>
      </c>
      <c r="J356" s="84" t="s">
        <v>113</v>
      </c>
      <c r="K356" s="85" t="s">
        <v>3</v>
      </c>
      <c r="L356" s="85" t="s">
        <v>784</v>
      </c>
      <c r="M356" s="131" t="s">
        <v>8</v>
      </c>
      <c r="N356" s="85" t="s">
        <v>326</v>
      </c>
      <c r="O356" s="86"/>
      <c r="P356" s="85" t="n">
        <v>34</v>
      </c>
      <c r="Q356" s="82" t="n">
        <v>46139</v>
      </c>
      <c r="R356" s="82" t="n">
        <v>46171</v>
      </c>
      <c r="S356" s="82" t="str">
        <f aca="false">+IF(R356&lt;=Q356,"NO","SI")</f>
        <v>SI</v>
      </c>
      <c r="T356" s="107" t="n">
        <f aca="false">+R356-Q356</f>
        <v>32</v>
      </c>
      <c r="U356" s="85"/>
      <c r="V356" s="85"/>
      <c r="W356" s="82"/>
    </row>
    <row r="357" customFormat="false" ht="14.25" hidden="false" customHeight="false" outlineLevel="0" collapsed="false">
      <c r="B357" s="81" t="s">
        <v>1</v>
      </c>
      <c r="C357" s="82" t="s">
        <v>781</v>
      </c>
      <c r="D357" s="83" t="s">
        <v>788</v>
      </c>
      <c r="E357" s="84" t="s">
        <v>789</v>
      </c>
      <c r="F357" s="84" t="s">
        <v>163</v>
      </c>
      <c r="G357" s="85" t="s">
        <v>312</v>
      </c>
      <c r="H357" s="85" t="n">
        <v>1</v>
      </c>
      <c r="I357" s="85" t="n">
        <v>5</v>
      </c>
      <c r="J357" s="84" t="s">
        <v>160</v>
      </c>
      <c r="K357" s="85" t="s">
        <v>3</v>
      </c>
      <c r="L357" s="85" t="s">
        <v>784</v>
      </c>
      <c r="M357" s="131" t="s">
        <v>8</v>
      </c>
      <c r="N357" s="85" t="s">
        <v>326</v>
      </c>
      <c r="O357" s="86"/>
      <c r="P357" s="85" t="n">
        <v>34</v>
      </c>
      <c r="Q357" s="82" t="n">
        <v>46139</v>
      </c>
      <c r="R357" s="85" t="s">
        <v>776</v>
      </c>
      <c r="S357" s="85" t="str">
        <f aca="false">+IF(R357&lt;=Q357,"NO","SI")</f>
        <v>SI</v>
      </c>
      <c r="T357" s="107" t="e">
        <f aca="false">+R357-Q357</f>
        <v>#VALUE!</v>
      </c>
      <c r="U357" s="85"/>
      <c r="V357" s="85"/>
      <c r="W357" s="85"/>
    </row>
    <row r="358" customFormat="false" ht="14.25" hidden="false" customHeight="false" outlineLevel="0" collapsed="false">
      <c r="B358" s="81" t="s">
        <v>1</v>
      </c>
      <c r="C358" s="82" t="s">
        <v>781</v>
      </c>
      <c r="D358" s="83" t="s">
        <v>790</v>
      </c>
      <c r="E358" s="84" t="s">
        <v>791</v>
      </c>
      <c r="F358" s="84" t="s">
        <v>82</v>
      </c>
      <c r="G358" s="85" t="s">
        <v>312</v>
      </c>
      <c r="H358" s="85" t="n">
        <v>2</v>
      </c>
      <c r="I358" s="85" t="n">
        <v>5</v>
      </c>
      <c r="J358" s="84" t="s">
        <v>77</v>
      </c>
      <c r="K358" s="85" t="s">
        <v>3</v>
      </c>
      <c r="L358" s="85" t="s">
        <v>784</v>
      </c>
      <c r="M358" s="131" t="s">
        <v>8</v>
      </c>
      <c r="N358" s="85" t="s">
        <v>326</v>
      </c>
      <c r="O358" s="86"/>
      <c r="P358" s="85" t="n">
        <v>34</v>
      </c>
      <c r="Q358" s="82" t="n">
        <v>46167</v>
      </c>
      <c r="R358" s="82" t="n">
        <v>46177</v>
      </c>
      <c r="S358" s="82" t="str">
        <f aca="false">+IF(R358&lt;=Q358,"NO","SI")</f>
        <v>SI</v>
      </c>
      <c r="T358" s="107" t="n">
        <f aca="false">+R358-Q358</f>
        <v>10</v>
      </c>
      <c r="U358" s="85"/>
      <c r="V358" s="85"/>
      <c r="W358" s="82"/>
    </row>
    <row r="359" customFormat="false" ht="14.25" hidden="false" customHeight="false" outlineLevel="0" collapsed="false">
      <c r="B359" s="81" t="s">
        <v>1</v>
      </c>
      <c r="C359" s="82" t="s">
        <v>781</v>
      </c>
      <c r="D359" s="83" t="s">
        <v>792</v>
      </c>
      <c r="E359" s="84" t="s">
        <v>793</v>
      </c>
      <c r="F359" s="84" t="s">
        <v>67</v>
      </c>
      <c r="G359" s="85" t="s">
        <v>312</v>
      </c>
      <c r="H359" s="85" t="n">
        <v>14</v>
      </c>
      <c r="I359" s="85" t="n">
        <v>5</v>
      </c>
      <c r="J359" s="84" t="s">
        <v>40</v>
      </c>
      <c r="K359" s="85" t="s">
        <v>3</v>
      </c>
      <c r="L359" s="85" t="s">
        <v>784</v>
      </c>
      <c r="M359" s="131" t="s">
        <v>8</v>
      </c>
      <c r="N359" s="85" t="s">
        <v>326</v>
      </c>
      <c r="O359" s="86"/>
      <c r="P359" s="85" t="n">
        <v>34</v>
      </c>
      <c r="Q359" s="82" t="n">
        <v>46167</v>
      </c>
      <c r="R359" s="82" t="n">
        <v>46177</v>
      </c>
      <c r="S359" s="82" t="str">
        <f aca="false">+IF(R359&lt;=Q359,"NO","SI")</f>
        <v>SI</v>
      </c>
      <c r="T359" s="107" t="n">
        <f aca="false">+R359-Q359</f>
        <v>10</v>
      </c>
      <c r="U359" s="85"/>
      <c r="V359" s="85"/>
      <c r="W359" s="82"/>
    </row>
    <row r="360" customFormat="false" ht="14.25" hidden="false" customHeight="false" outlineLevel="0" collapsed="false">
      <c r="B360" s="81" t="s">
        <v>1</v>
      </c>
      <c r="C360" s="82" t="s">
        <v>781</v>
      </c>
      <c r="D360" s="83" t="s">
        <v>794</v>
      </c>
      <c r="E360" s="84" t="s">
        <v>795</v>
      </c>
      <c r="F360" s="84" t="s">
        <v>202</v>
      </c>
      <c r="G360" s="85" t="s">
        <v>312</v>
      </c>
      <c r="H360" s="85" t="n">
        <v>232</v>
      </c>
      <c r="I360" s="85" t="n">
        <v>5</v>
      </c>
      <c r="J360" s="84" t="s">
        <v>113</v>
      </c>
      <c r="K360" s="85" t="s">
        <v>3</v>
      </c>
      <c r="L360" s="85" t="s">
        <v>784</v>
      </c>
      <c r="M360" s="131" t="s">
        <v>8</v>
      </c>
      <c r="N360" s="85" t="s">
        <v>326</v>
      </c>
      <c r="O360" s="86"/>
      <c r="P360" s="85" t="n">
        <v>34</v>
      </c>
      <c r="Q360" s="82" t="n">
        <v>46139</v>
      </c>
      <c r="R360" s="82" t="n">
        <v>46171</v>
      </c>
      <c r="S360" s="82" t="str">
        <f aca="false">+IF(R360&lt;=Q360,"NO","SI")</f>
        <v>SI</v>
      </c>
      <c r="T360" s="107" t="n">
        <f aca="false">+R360-Q360</f>
        <v>32</v>
      </c>
      <c r="U360" s="85"/>
      <c r="V360" s="85"/>
      <c r="W360" s="82"/>
    </row>
    <row r="361" customFormat="false" ht="28.5" hidden="false" customHeight="false" outlineLevel="0" collapsed="false">
      <c r="B361" s="81" t="s">
        <v>1</v>
      </c>
      <c r="C361" s="82" t="s">
        <v>781</v>
      </c>
      <c r="D361" s="83" t="s">
        <v>796</v>
      </c>
      <c r="E361" s="84" t="s">
        <v>797</v>
      </c>
      <c r="F361" s="84" t="s">
        <v>798</v>
      </c>
      <c r="G361" s="85" t="s">
        <v>312</v>
      </c>
      <c r="H361" s="85" t="n">
        <v>24</v>
      </c>
      <c r="I361" s="85" t="n">
        <v>5</v>
      </c>
      <c r="J361" s="84" t="s">
        <v>77</v>
      </c>
      <c r="K361" s="85" t="s">
        <v>3</v>
      </c>
      <c r="L361" s="85" t="s">
        <v>784</v>
      </c>
      <c r="M361" s="132" t="s">
        <v>9</v>
      </c>
      <c r="N361" s="85" t="s">
        <v>509</v>
      </c>
      <c r="O361" s="86"/>
      <c r="P361" s="85" t="n">
        <v>34</v>
      </c>
      <c r="Q361" s="82" t="n">
        <v>46167</v>
      </c>
      <c r="R361" s="82" t="n">
        <v>46185</v>
      </c>
      <c r="S361" s="82" t="str">
        <f aca="false">+IF(R361&lt;=Q361,"NO","SI")</f>
        <v>SI</v>
      </c>
      <c r="T361" s="107" t="n">
        <f aca="false">+R361-Q361</f>
        <v>18</v>
      </c>
      <c r="U361" s="85"/>
      <c r="V361" s="85"/>
      <c r="W361" s="82"/>
    </row>
    <row r="362" customFormat="false" ht="28.5" hidden="false" customHeight="false" outlineLevel="0" collapsed="false">
      <c r="B362" s="81" t="s">
        <v>1</v>
      </c>
      <c r="C362" s="82" t="s">
        <v>781</v>
      </c>
      <c r="D362" s="83" t="s">
        <v>799</v>
      </c>
      <c r="E362" s="84" t="s">
        <v>800</v>
      </c>
      <c r="F362" s="84" t="s">
        <v>798</v>
      </c>
      <c r="G362" s="85" t="s">
        <v>312</v>
      </c>
      <c r="H362" s="85" t="n">
        <v>24</v>
      </c>
      <c r="I362" s="85" t="n">
        <v>5</v>
      </c>
      <c r="J362" s="84" t="s">
        <v>77</v>
      </c>
      <c r="K362" s="85" t="s">
        <v>3</v>
      </c>
      <c r="L362" s="85" t="s">
        <v>784</v>
      </c>
      <c r="M362" s="132" t="s">
        <v>9</v>
      </c>
      <c r="N362" s="85" t="s">
        <v>509</v>
      </c>
      <c r="O362" s="86"/>
      <c r="P362" s="85" t="n">
        <v>34</v>
      </c>
      <c r="Q362" s="82" t="n">
        <v>46167</v>
      </c>
      <c r="R362" s="82" t="n">
        <v>46185</v>
      </c>
      <c r="S362" s="82" t="str">
        <f aca="false">+IF(R362&lt;=Q362,"NO","SI")</f>
        <v>SI</v>
      </c>
      <c r="T362" s="107" t="n">
        <f aca="false">+R362-Q362</f>
        <v>18</v>
      </c>
      <c r="U362" s="85"/>
      <c r="V362" s="85"/>
      <c r="W362" s="82"/>
    </row>
    <row r="363" customFormat="false" ht="14.25" hidden="false" customHeight="false" outlineLevel="0" collapsed="false">
      <c r="B363" s="81" t="s">
        <v>1</v>
      </c>
      <c r="C363" s="82" t="s">
        <v>781</v>
      </c>
      <c r="D363" s="83" t="s">
        <v>801</v>
      </c>
      <c r="E363" s="84" t="s">
        <v>802</v>
      </c>
      <c r="F363" s="84" t="s">
        <v>202</v>
      </c>
      <c r="G363" s="85" t="s">
        <v>312</v>
      </c>
      <c r="H363" s="85" t="n">
        <v>6</v>
      </c>
      <c r="I363" s="85" t="n">
        <v>5</v>
      </c>
      <c r="J363" s="84" t="s">
        <v>113</v>
      </c>
      <c r="K363" s="85" t="s">
        <v>3</v>
      </c>
      <c r="L363" s="85" t="s">
        <v>784</v>
      </c>
      <c r="M363" s="131" t="s">
        <v>8</v>
      </c>
      <c r="N363" s="85" t="s">
        <v>326</v>
      </c>
      <c r="O363" s="86"/>
      <c r="P363" s="85" t="n">
        <v>34</v>
      </c>
      <c r="Q363" s="82" t="n">
        <v>46139</v>
      </c>
      <c r="R363" s="82" t="n">
        <v>46171</v>
      </c>
      <c r="S363" s="82" t="str">
        <f aca="false">+IF(R363&lt;=Q363,"NO","SI")</f>
        <v>SI</v>
      </c>
      <c r="T363" s="107" t="n">
        <f aca="false">+R363-Q363</f>
        <v>32</v>
      </c>
      <c r="U363" s="85"/>
      <c r="V363" s="85"/>
      <c r="W363" s="82"/>
    </row>
    <row r="364" customFormat="false" ht="14.25" hidden="false" customHeight="false" outlineLevel="0" collapsed="false">
      <c r="B364" s="81" t="s">
        <v>1</v>
      </c>
      <c r="C364" s="82" t="s">
        <v>781</v>
      </c>
      <c r="D364" s="83" t="s">
        <v>792</v>
      </c>
      <c r="E364" s="84" t="s">
        <v>803</v>
      </c>
      <c r="F364" s="84" t="s">
        <v>67</v>
      </c>
      <c r="G364" s="85" t="s">
        <v>312</v>
      </c>
      <c r="H364" s="85" t="n">
        <v>16</v>
      </c>
      <c r="I364" s="85" t="n">
        <v>5</v>
      </c>
      <c r="J364" s="84" t="s">
        <v>40</v>
      </c>
      <c r="K364" s="85" t="s">
        <v>3</v>
      </c>
      <c r="L364" s="85" t="s">
        <v>784</v>
      </c>
      <c r="M364" s="131" t="s">
        <v>8</v>
      </c>
      <c r="N364" s="85" t="s">
        <v>326</v>
      </c>
      <c r="O364" s="86"/>
      <c r="P364" s="85" t="n">
        <v>34</v>
      </c>
      <c r="Q364" s="82" t="n">
        <v>46167</v>
      </c>
      <c r="R364" s="82" t="n">
        <v>46177</v>
      </c>
      <c r="S364" s="82" t="str">
        <f aca="false">+IF(R364&lt;=Q364,"NO","SI")</f>
        <v>SI</v>
      </c>
      <c r="T364" s="107" t="n">
        <f aca="false">+R364-Q364</f>
        <v>10</v>
      </c>
      <c r="U364" s="85"/>
      <c r="V364" s="85"/>
      <c r="W364" s="82"/>
    </row>
    <row r="365" customFormat="false" ht="14.25" hidden="false" customHeight="false" outlineLevel="0" collapsed="false">
      <c r="B365" s="81" t="s">
        <v>1</v>
      </c>
      <c r="C365" s="82" t="s">
        <v>781</v>
      </c>
      <c r="D365" s="83" t="s">
        <v>804</v>
      </c>
      <c r="E365" s="84" t="s">
        <v>805</v>
      </c>
      <c r="F365" s="84" t="s">
        <v>806</v>
      </c>
      <c r="G365" s="85" t="s">
        <v>312</v>
      </c>
      <c r="H365" s="85" t="n">
        <v>29</v>
      </c>
      <c r="I365" s="85" t="n">
        <v>5</v>
      </c>
      <c r="J365" s="84" t="s">
        <v>77</v>
      </c>
      <c r="K365" s="85" t="s">
        <v>3</v>
      </c>
      <c r="L365" s="85" t="s">
        <v>784</v>
      </c>
      <c r="M365" s="131" t="s">
        <v>8</v>
      </c>
      <c r="N365" s="85" t="s">
        <v>326</v>
      </c>
      <c r="O365" s="86"/>
      <c r="P365" s="85" t="n">
        <v>34</v>
      </c>
      <c r="Q365" s="82" t="n">
        <v>46139</v>
      </c>
      <c r="R365" s="82" t="n">
        <v>46146</v>
      </c>
      <c r="S365" s="82" t="str">
        <f aca="false">+IF(R365&lt;=Q365,"NO","SI")</f>
        <v>SI</v>
      </c>
      <c r="T365" s="107" t="n">
        <f aca="false">+R365-Q365</f>
        <v>7</v>
      </c>
      <c r="U365" s="85"/>
      <c r="V365" s="85"/>
      <c r="W365" s="82"/>
    </row>
    <row r="366" customFormat="false" ht="14.25" hidden="false" customHeight="false" outlineLevel="0" collapsed="false">
      <c r="B366" s="81" t="s">
        <v>1</v>
      </c>
      <c r="C366" s="82" t="s">
        <v>781</v>
      </c>
      <c r="D366" s="83" t="s">
        <v>807</v>
      </c>
      <c r="E366" s="84" t="s">
        <v>808</v>
      </c>
      <c r="F366" s="84" t="s">
        <v>806</v>
      </c>
      <c r="G366" s="85" t="s">
        <v>312</v>
      </c>
      <c r="H366" s="85" t="n">
        <v>32</v>
      </c>
      <c r="I366" s="85" t="n">
        <v>5</v>
      </c>
      <c r="J366" s="84" t="s">
        <v>77</v>
      </c>
      <c r="K366" s="85" t="s">
        <v>3</v>
      </c>
      <c r="L366" s="85" t="s">
        <v>784</v>
      </c>
      <c r="M366" s="131" t="s">
        <v>8</v>
      </c>
      <c r="N366" s="85" t="s">
        <v>326</v>
      </c>
      <c r="O366" s="86"/>
      <c r="P366" s="85" t="n">
        <v>34</v>
      </c>
      <c r="Q366" s="82" t="n">
        <v>46139</v>
      </c>
      <c r="R366" s="82" t="n">
        <v>46146</v>
      </c>
      <c r="S366" s="82" t="str">
        <f aca="false">+IF(R366&lt;=Q366,"NO","SI")</f>
        <v>SI</v>
      </c>
      <c r="T366" s="107" t="n">
        <f aca="false">+R366-Q366</f>
        <v>7</v>
      </c>
      <c r="U366" s="85"/>
      <c r="V366" s="85"/>
      <c r="W366" s="82"/>
    </row>
    <row r="367" customFormat="false" ht="14.25" hidden="false" customHeight="false" outlineLevel="0" collapsed="false">
      <c r="B367" s="81" t="s">
        <v>1</v>
      </c>
      <c r="C367" s="82" t="s">
        <v>781</v>
      </c>
      <c r="D367" s="83" t="s">
        <v>809</v>
      </c>
      <c r="E367" s="84" t="s">
        <v>810</v>
      </c>
      <c r="F367" s="84" t="s">
        <v>148</v>
      </c>
      <c r="G367" s="85" t="s">
        <v>312</v>
      </c>
      <c r="H367" s="85" t="n">
        <v>5</v>
      </c>
      <c r="I367" s="85" t="n">
        <v>5</v>
      </c>
      <c r="J367" s="84" t="s">
        <v>141</v>
      </c>
      <c r="K367" s="85" t="s">
        <v>3</v>
      </c>
      <c r="L367" s="85" t="s">
        <v>784</v>
      </c>
      <c r="M367" s="131" t="s">
        <v>8</v>
      </c>
      <c r="N367" s="85" t="s">
        <v>326</v>
      </c>
      <c r="O367" s="86"/>
      <c r="P367" s="85" t="n">
        <v>34</v>
      </c>
      <c r="Q367" s="82" t="n">
        <v>46139</v>
      </c>
      <c r="R367" s="85" t="s">
        <v>776</v>
      </c>
      <c r="S367" s="85" t="str">
        <f aca="false">+IF(R367&lt;=Q367,"NO","SI")</f>
        <v>SI</v>
      </c>
      <c r="T367" s="107" t="e">
        <f aca="false">+R367-Q367</f>
        <v>#VALUE!</v>
      </c>
      <c r="U367" s="85"/>
      <c r="V367" s="85"/>
      <c r="W367" s="85"/>
    </row>
    <row r="368" customFormat="false" ht="14.25" hidden="false" customHeight="false" outlineLevel="0" collapsed="false">
      <c r="B368" s="81" t="s">
        <v>1</v>
      </c>
      <c r="C368" s="82" t="s">
        <v>781</v>
      </c>
      <c r="D368" s="83" t="s">
        <v>811</v>
      </c>
      <c r="E368" s="84" t="s">
        <v>812</v>
      </c>
      <c r="F368" s="84" t="s">
        <v>202</v>
      </c>
      <c r="G368" s="85" t="s">
        <v>312</v>
      </c>
      <c r="H368" s="85" t="n">
        <v>210</v>
      </c>
      <c r="I368" s="85" t="n">
        <v>5</v>
      </c>
      <c r="J368" s="84" t="s">
        <v>113</v>
      </c>
      <c r="K368" s="85" t="s">
        <v>3</v>
      </c>
      <c r="L368" s="85" t="s">
        <v>784</v>
      </c>
      <c r="M368" s="131" t="s">
        <v>8</v>
      </c>
      <c r="N368" s="85" t="s">
        <v>326</v>
      </c>
      <c r="O368" s="86"/>
      <c r="P368" s="85" t="n">
        <v>34</v>
      </c>
      <c r="Q368" s="82" t="n">
        <v>46139</v>
      </c>
      <c r="R368" s="82" t="n">
        <v>46171</v>
      </c>
      <c r="S368" s="82" t="str">
        <f aca="false">+IF(R368&lt;=Q368,"NO","SI")</f>
        <v>SI</v>
      </c>
      <c r="T368" s="107" t="n">
        <f aca="false">+R368-Q368</f>
        <v>32</v>
      </c>
      <c r="U368" s="85"/>
      <c r="V368" s="85"/>
      <c r="W368" s="82"/>
    </row>
    <row r="369" customFormat="false" ht="14.25" hidden="false" customHeight="false" outlineLevel="0" collapsed="false">
      <c r="B369" s="81" t="s">
        <v>1</v>
      </c>
      <c r="C369" s="82" t="s">
        <v>781</v>
      </c>
      <c r="D369" s="83" t="s">
        <v>813</v>
      </c>
      <c r="E369" s="84" t="s">
        <v>814</v>
      </c>
      <c r="F369" s="84" t="s">
        <v>202</v>
      </c>
      <c r="G369" s="85" t="s">
        <v>312</v>
      </c>
      <c r="H369" s="85" t="n">
        <v>31</v>
      </c>
      <c r="I369" s="85" t="n">
        <v>5</v>
      </c>
      <c r="J369" s="84" t="s">
        <v>113</v>
      </c>
      <c r="K369" s="85" t="s">
        <v>3</v>
      </c>
      <c r="L369" s="85" t="s">
        <v>784</v>
      </c>
      <c r="M369" s="131" t="s">
        <v>8</v>
      </c>
      <c r="N369" s="85" t="s">
        <v>326</v>
      </c>
      <c r="O369" s="86"/>
      <c r="P369" s="85" t="n">
        <v>34</v>
      </c>
      <c r="Q369" s="82" t="n">
        <v>46139</v>
      </c>
      <c r="R369" s="82" t="n">
        <v>46171</v>
      </c>
      <c r="S369" s="82" t="str">
        <f aca="false">+IF(R369&lt;=Q369,"NO","SI")</f>
        <v>SI</v>
      </c>
      <c r="T369" s="107" t="n">
        <f aca="false">+R369-Q369</f>
        <v>32</v>
      </c>
      <c r="U369" s="85"/>
      <c r="V369" s="85"/>
      <c r="W369" s="82"/>
    </row>
    <row r="370" customFormat="false" ht="14.25" hidden="false" customHeight="false" outlineLevel="0" collapsed="false">
      <c r="B370" s="81" t="s">
        <v>1</v>
      </c>
      <c r="C370" s="82" t="s">
        <v>781</v>
      </c>
      <c r="D370" s="83" t="s">
        <v>815</v>
      </c>
      <c r="E370" s="84" t="s">
        <v>816</v>
      </c>
      <c r="F370" s="84" t="s">
        <v>817</v>
      </c>
      <c r="G370" s="85" t="s">
        <v>312</v>
      </c>
      <c r="H370" s="85" t="n">
        <v>42</v>
      </c>
      <c r="I370" s="85" t="n">
        <v>5</v>
      </c>
      <c r="J370" s="84" t="s">
        <v>53</v>
      </c>
      <c r="K370" s="85" t="s">
        <v>3</v>
      </c>
      <c r="L370" s="85" t="s">
        <v>784</v>
      </c>
      <c r="M370" s="131" t="s">
        <v>8</v>
      </c>
      <c r="N370" s="85" t="s">
        <v>326</v>
      </c>
      <c r="O370" s="86"/>
      <c r="P370" s="85" t="n">
        <v>34</v>
      </c>
      <c r="Q370" s="82" t="n">
        <v>46139</v>
      </c>
      <c r="R370" s="82" t="n">
        <v>46148</v>
      </c>
      <c r="S370" s="82" t="str">
        <f aca="false">+IF(R370&lt;=Q370,"NO","SI")</f>
        <v>SI</v>
      </c>
      <c r="T370" s="107" t="n">
        <f aca="false">+R370-Q370</f>
        <v>9</v>
      </c>
      <c r="U370" s="85"/>
      <c r="V370" s="85"/>
      <c r="W370" s="82"/>
    </row>
    <row r="371" customFormat="false" ht="14.25" hidden="false" customHeight="false" outlineLevel="0" collapsed="false">
      <c r="B371" s="81" t="s">
        <v>1</v>
      </c>
      <c r="C371" s="82" t="s">
        <v>781</v>
      </c>
      <c r="D371" s="83" t="s">
        <v>818</v>
      </c>
      <c r="E371" s="84" t="s">
        <v>819</v>
      </c>
      <c r="F371" s="84" t="s">
        <v>202</v>
      </c>
      <c r="G371" s="85" t="s">
        <v>312</v>
      </c>
      <c r="H371" s="85" t="n">
        <v>65</v>
      </c>
      <c r="I371" s="85" t="n">
        <v>5</v>
      </c>
      <c r="J371" s="84" t="s">
        <v>113</v>
      </c>
      <c r="K371" s="85" t="s">
        <v>3</v>
      </c>
      <c r="L371" s="85" t="s">
        <v>784</v>
      </c>
      <c r="M371" s="131" t="s">
        <v>8</v>
      </c>
      <c r="N371" s="85" t="s">
        <v>326</v>
      </c>
      <c r="O371" s="86"/>
      <c r="P371" s="85" t="n">
        <v>34</v>
      </c>
      <c r="Q371" s="82" t="n">
        <v>46139</v>
      </c>
      <c r="R371" s="82" t="n">
        <v>46171</v>
      </c>
      <c r="S371" s="82" t="str">
        <f aca="false">+IF(R371&lt;=Q371,"NO","SI")</f>
        <v>SI</v>
      </c>
      <c r="T371" s="107" t="n">
        <f aca="false">+R371-Q371</f>
        <v>32</v>
      </c>
      <c r="U371" s="85"/>
      <c r="V371" s="85"/>
      <c r="W371" s="82"/>
    </row>
    <row r="372" customFormat="false" ht="14.25" hidden="false" customHeight="false" outlineLevel="0" collapsed="false">
      <c r="B372" s="81" t="s">
        <v>1</v>
      </c>
      <c r="C372" s="82" t="s">
        <v>781</v>
      </c>
      <c r="D372" s="83" t="s">
        <v>820</v>
      </c>
      <c r="E372" s="84" t="s">
        <v>821</v>
      </c>
      <c r="F372" s="84" t="s">
        <v>82</v>
      </c>
      <c r="G372" s="85" t="s">
        <v>312</v>
      </c>
      <c r="H372" s="85" t="n">
        <v>44</v>
      </c>
      <c r="I372" s="85" t="n">
        <v>5</v>
      </c>
      <c r="J372" s="84" t="s">
        <v>77</v>
      </c>
      <c r="K372" s="85" t="s">
        <v>3</v>
      </c>
      <c r="L372" s="85" t="s">
        <v>784</v>
      </c>
      <c r="M372" s="131" t="s">
        <v>8</v>
      </c>
      <c r="N372" s="85" t="s">
        <v>326</v>
      </c>
      <c r="O372" s="86"/>
      <c r="P372" s="85" t="n">
        <v>34</v>
      </c>
      <c r="Q372" s="82" t="n">
        <v>46139</v>
      </c>
      <c r="R372" s="82" t="n">
        <v>46157</v>
      </c>
      <c r="S372" s="82" t="str">
        <f aca="false">+IF(R372&lt;=Q372,"NO","SI")</f>
        <v>SI</v>
      </c>
      <c r="T372" s="107" t="n">
        <f aca="false">+R372-Q372</f>
        <v>18</v>
      </c>
      <c r="U372" s="85"/>
      <c r="V372" s="85"/>
      <c r="W372" s="82"/>
    </row>
    <row r="373" customFormat="false" ht="14.25" hidden="false" customHeight="false" outlineLevel="0" collapsed="false">
      <c r="B373" s="81" t="s">
        <v>1</v>
      </c>
      <c r="C373" s="82" t="s">
        <v>781</v>
      </c>
      <c r="D373" s="83" t="s">
        <v>822</v>
      </c>
      <c r="E373" s="84" t="s">
        <v>823</v>
      </c>
      <c r="F373" s="84" t="s">
        <v>824</v>
      </c>
      <c r="G373" s="85" t="s">
        <v>312</v>
      </c>
      <c r="H373" s="85" t="n">
        <v>10</v>
      </c>
      <c r="I373" s="85" t="n">
        <v>5</v>
      </c>
      <c r="J373" s="84" t="s">
        <v>77</v>
      </c>
      <c r="K373" s="85" t="s">
        <v>3</v>
      </c>
      <c r="L373" s="85" t="s">
        <v>784</v>
      </c>
      <c r="M373" s="131" t="s">
        <v>8</v>
      </c>
      <c r="N373" s="85" t="s">
        <v>326</v>
      </c>
      <c r="O373" s="86"/>
      <c r="P373" s="85" t="n">
        <v>34</v>
      </c>
      <c r="Q373" s="82" t="n">
        <v>46167</v>
      </c>
      <c r="R373" s="82" t="n">
        <v>46177</v>
      </c>
      <c r="S373" s="82" t="str">
        <f aca="false">+IF(R373&lt;=Q373,"NO","SI")</f>
        <v>SI</v>
      </c>
      <c r="T373" s="107" t="n">
        <f aca="false">+R373-Q373</f>
        <v>10</v>
      </c>
      <c r="U373" s="85"/>
      <c r="V373" s="85"/>
      <c r="W373" s="82"/>
    </row>
    <row r="374" customFormat="false" ht="14.25" hidden="false" customHeight="false" outlineLevel="0" collapsed="false">
      <c r="B374" s="81" t="s">
        <v>1</v>
      </c>
      <c r="C374" s="82" t="s">
        <v>781</v>
      </c>
      <c r="D374" s="83" t="s">
        <v>825</v>
      </c>
      <c r="E374" s="84" t="s">
        <v>826</v>
      </c>
      <c r="F374" s="84" t="s">
        <v>264</v>
      </c>
      <c r="G374" s="85" t="s">
        <v>312</v>
      </c>
      <c r="H374" s="85" t="n">
        <v>10</v>
      </c>
      <c r="I374" s="85" t="n">
        <v>5</v>
      </c>
      <c r="J374" s="84" t="s">
        <v>261</v>
      </c>
      <c r="K374" s="85" t="s">
        <v>3</v>
      </c>
      <c r="L374" s="85" t="s">
        <v>784</v>
      </c>
      <c r="M374" s="131" t="s">
        <v>8</v>
      </c>
      <c r="N374" s="85" t="s">
        <v>326</v>
      </c>
      <c r="O374" s="86"/>
      <c r="P374" s="85" t="n">
        <v>34</v>
      </c>
      <c r="Q374" s="82" t="n">
        <v>46139</v>
      </c>
      <c r="R374" s="82" t="n">
        <v>46169</v>
      </c>
      <c r="S374" s="82" t="str">
        <f aca="false">+IF(R374&lt;=Q374,"NO","SI")</f>
        <v>SI</v>
      </c>
      <c r="T374" s="107" t="n">
        <f aca="false">+R374-Q374</f>
        <v>30</v>
      </c>
      <c r="U374" s="85"/>
      <c r="V374" s="85"/>
      <c r="W374" s="82"/>
    </row>
    <row r="375" customFormat="false" ht="14.25" hidden="false" customHeight="false" outlineLevel="0" collapsed="false">
      <c r="B375" s="81" t="s">
        <v>1</v>
      </c>
      <c r="C375" s="82" t="s">
        <v>781</v>
      </c>
      <c r="D375" s="83" t="s">
        <v>827</v>
      </c>
      <c r="E375" s="84" t="s">
        <v>828</v>
      </c>
      <c r="F375" s="84" t="s">
        <v>148</v>
      </c>
      <c r="G375" s="85" t="s">
        <v>312</v>
      </c>
      <c r="H375" s="85" t="n">
        <v>5</v>
      </c>
      <c r="I375" s="85" t="n">
        <v>5</v>
      </c>
      <c r="J375" s="84" t="s">
        <v>141</v>
      </c>
      <c r="K375" s="85" t="s">
        <v>3</v>
      </c>
      <c r="L375" s="85" t="s">
        <v>784</v>
      </c>
      <c r="M375" s="131" t="s">
        <v>8</v>
      </c>
      <c r="N375" s="85" t="s">
        <v>326</v>
      </c>
      <c r="O375" s="86"/>
      <c r="P375" s="85" t="n">
        <v>34</v>
      </c>
      <c r="Q375" s="82" t="n">
        <v>46139</v>
      </c>
      <c r="R375" s="85" t="s">
        <v>776</v>
      </c>
      <c r="S375" s="85" t="str">
        <f aca="false">+IF(R375&lt;=Q375,"NO","SI")</f>
        <v>SI</v>
      </c>
      <c r="T375" s="107" t="e">
        <f aca="false">+R375-Q375</f>
        <v>#VALUE!</v>
      </c>
      <c r="U375" s="85"/>
      <c r="V375" s="85"/>
      <c r="W375" s="85"/>
    </row>
    <row r="376" customFormat="false" ht="14.25" hidden="false" customHeight="false" outlineLevel="0" collapsed="false">
      <c r="B376" s="81" t="s">
        <v>1</v>
      </c>
      <c r="C376" s="82" t="s">
        <v>781</v>
      </c>
      <c r="D376" s="83" t="s">
        <v>818</v>
      </c>
      <c r="E376" s="84" t="s">
        <v>829</v>
      </c>
      <c r="F376" s="84" t="s">
        <v>202</v>
      </c>
      <c r="G376" s="85" t="n">
        <v>4</v>
      </c>
      <c r="H376" s="85" t="n">
        <v>2135</v>
      </c>
      <c r="I376" s="85" t="n">
        <v>5</v>
      </c>
      <c r="J376" s="84" t="s">
        <v>113</v>
      </c>
      <c r="K376" s="85" t="s">
        <v>3</v>
      </c>
      <c r="L376" s="85" t="s">
        <v>830</v>
      </c>
      <c r="M376" s="131" t="s">
        <v>8</v>
      </c>
      <c r="N376" s="85" t="s">
        <v>326</v>
      </c>
      <c r="O376" s="86" t="n">
        <v>46120</v>
      </c>
      <c r="P376" s="85" t="n">
        <v>34</v>
      </c>
      <c r="Q376" s="82" t="n">
        <v>46133</v>
      </c>
      <c r="R376" s="82" t="n">
        <v>46157</v>
      </c>
      <c r="S376" s="82" t="str">
        <f aca="false">+IF(R376&lt;=Q376,"NO","SI")</f>
        <v>SI</v>
      </c>
      <c r="T376" s="107" t="n">
        <f aca="false">+R376-Q376</f>
        <v>24</v>
      </c>
      <c r="U376" s="85"/>
      <c r="V376" s="85"/>
      <c r="W376" s="82"/>
    </row>
    <row r="377" customFormat="false" ht="14.25" hidden="false" customHeight="false" outlineLevel="0" collapsed="false">
      <c r="B377" s="81" t="s">
        <v>1</v>
      </c>
      <c r="C377" s="82" t="s">
        <v>781</v>
      </c>
      <c r="D377" s="83" t="s">
        <v>794</v>
      </c>
      <c r="E377" s="84" t="s">
        <v>831</v>
      </c>
      <c r="F377" s="84" t="s">
        <v>202</v>
      </c>
      <c r="G377" s="85" t="s">
        <v>832</v>
      </c>
      <c r="H377" s="85" t="n">
        <v>7015</v>
      </c>
      <c r="I377" s="85" t="n">
        <v>5</v>
      </c>
      <c r="J377" s="84" t="s">
        <v>113</v>
      </c>
      <c r="K377" s="85" t="s">
        <v>3</v>
      </c>
      <c r="L377" s="85" t="s">
        <v>830</v>
      </c>
      <c r="M377" s="131" t="s">
        <v>8</v>
      </c>
      <c r="N377" s="85" t="s">
        <v>326</v>
      </c>
      <c r="O377" s="86" t="n">
        <v>46120</v>
      </c>
      <c r="P377" s="85" t="n">
        <v>34</v>
      </c>
      <c r="Q377" s="82" t="n">
        <v>46133</v>
      </c>
      <c r="R377" s="82" t="n">
        <v>46157</v>
      </c>
      <c r="S377" s="82" t="str">
        <f aca="false">+IF(R377&lt;=Q377,"NO","SI")</f>
        <v>SI</v>
      </c>
      <c r="T377" s="107" t="n">
        <f aca="false">+R377-Q377</f>
        <v>24</v>
      </c>
      <c r="U377" s="85"/>
      <c r="V377" s="85"/>
      <c r="W377" s="82"/>
    </row>
    <row r="378" customFormat="false" ht="28.5" hidden="false" customHeight="false" outlineLevel="0" collapsed="false">
      <c r="B378" s="81" t="s">
        <v>1</v>
      </c>
      <c r="C378" s="82" t="s">
        <v>781</v>
      </c>
      <c r="D378" s="83" t="s">
        <v>790</v>
      </c>
      <c r="E378" s="84" t="s">
        <v>833</v>
      </c>
      <c r="F378" s="84" t="s">
        <v>82</v>
      </c>
      <c r="G378" s="85" t="s">
        <v>832</v>
      </c>
      <c r="H378" s="85" t="n">
        <v>1000</v>
      </c>
      <c r="I378" s="85" t="n">
        <v>5</v>
      </c>
      <c r="J378" s="84" t="s">
        <v>77</v>
      </c>
      <c r="K378" s="85" t="s">
        <v>3</v>
      </c>
      <c r="L378" s="85" t="s">
        <v>834</v>
      </c>
      <c r="M378" s="131" t="s">
        <v>8</v>
      </c>
      <c r="N378" s="85" t="s">
        <v>326</v>
      </c>
      <c r="O378" s="86" t="n">
        <v>46120</v>
      </c>
      <c r="P378" s="85" t="n">
        <v>34</v>
      </c>
      <c r="Q378" s="82" t="n">
        <v>46120</v>
      </c>
      <c r="R378" s="82" t="n">
        <v>46157</v>
      </c>
      <c r="S378" s="82" t="str">
        <f aca="false">+IF(R378&lt;=Q378,"NO","SI")</f>
        <v>SI</v>
      </c>
      <c r="T378" s="107" t="n">
        <f aca="false">+R378-Q378</f>
        <v>37</v>
      </c>
      <c r="U378" s="85"/>
      <c r="V378" s="85"/>
      <c r="W378" s="82"/>
    </row>
  </sheetData>
  <autoFilter ref="B3:W378">
    <filterColumn colId="9">
      <filters blank="1">
        <filter val="General Contractor"/>
      </filters>
    </filterColumn>
  </autoFilter>
  <conditionalFormatting sqref="C276:D293">
    <cfRule type="expression" priority="2" aboveAverage="0" equalAverage="0" bottom="0" percent="0" rank="0" text="" dxfId="18">
      <formula>LEN(TRIM(C276))=0</formula>
    </cfRule>
  </conditionalFormatting>
  <conditionalFormatting sqref="D1:D1048576">
    <cfRule type="duplicateValues" priority="3" aboveAverage="0" equalAverage="0" bottom="0" percent="0" rank="0" text="" dxfId="19"/>
  </conditionalFormatting>
  <conditionalFormatting sqref="K1:K1048576">
    <cfRule type="cellIs" priority="4" operator="equal" aboveAverage="0" equalAverage="0" bottom="0" percent="0" rank="0" text="" dxfId="20">
      <formula>"Odata"</formula>
    </cfRule>
  </conditionalFormatting>
  <conditionalFormatting sqref="L101:N107 P129 P139:P140 M144:N214 P144:P308 L202:N213 M216:N217 M221:N228 L241:N243 L267:N270 L272:N274 L276:N293 L302:N378 N320:N1048576 P320:P1048576 M379:N1048576">
    <cfRule type="cellIs" priority="5" operator="equal" aboveAverage="0" equalAverage="0" bottom="0" percent="0" rank="0" text="" dxfId="21">
      <formula>"En sitio"</formula>
    </cfRule>
  </conditionalFormatting>
  <conditionalFormatting sqref="L215:N220">
    <cfRule type="cellIs" priority="6" operator="equal" aboveAverage="0" equalAverage="0" bottom="0" percent="0" rank="0" text="" dxfId="22">
      <formula>"En sitio"</formula>
    </cfRule>
  </conditionalFormatting>
  <conditionalFormatting sqref="L222:N237">
    <cfRule type="cellIs" priority="7" operator="equal" aboveAverage="0" equalAverage="0" bottom="0" percent="0" rank="0" text="" dxfId="23">
      <formula>"En sitio"</formula>
    </cfRule>
  </conditionalFormatting>
  <conditionalFormatting sqref="L252:N265">
    <cfRule type="cellIs" priority="8" operator="equal" aboveAverage="0" equalAverage="0" bottom="0" percent="0" rank="0" text="" dxfId="24">
      <formula>"En sitio"</formula>
    </cfRule>
  </conditionalFormatting>
  <conditionalFormatting sqref="N109:N128">
    <cfRule type="cellIs" priority="9" operator="equal" aboveAverage="0" equalAverage="0" bottom="0" percent="0" rank="0" text="" dxfId="25">
      <formula>"En sitio"</formula>
    </cfRule>
  </conditionalFormatting>
  <conditionalFormatting sqref="P1:P108 M1:N140 L129:N129 M238:N319 L245:N249">
    <cfRule type="cellIs" priority="10" operator="equal" aboveAverage="0" equalAverage="0" bottom="0" percent="0" rank="0" text="" dxfId="26">
      <formula>"En sitio"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77"/>
  <sheetViews>
    <sheetView showFormulas="false" showGridLines="true" showRowColHeaders="true" showZeros="true" rightToLeft="false" tabSelected="false" showOutlineSymbols="true" defaultGridColor="true" view="normal" topLeftCell="C37" colorId="64" zoomScale="58" zoomScaleNormal="58" zoomScalePageLayoutView="100" workbookViewId="0">
      <selection pane="topLeft" activeCell="E24" activeCellId="0" sqref="E24"/>
    </sheetView>
  </sheetViews>
  <sheetFormatPr defaultColWidth="10.66796875" defaultRowHeight="14.25" zeroHeight="false" outlineLevelRow="0" outlineLevelCol="0"/>
  <cols>
    <col collapsed="false" customWidth="true" hidden="false" outlineLevel="0" max="4" min="4" style="0" width="83.89"/>
    <col collapsed="false" customWidth="true" hidden="false" outlineLevel="0" max="5" min="5" style="0" width="58.34"/>
    <col collapsed="false" customWidth="true" hidden="false" outlineLevel="0" max="6" min="6" style="0" width="25.11"/>
    <col collapsed="false" customWidth="true" hidden="false" outlineLevel="0" max="9" min="9" style="0" width="13.33"/>
  </cols>
  <sheetData>
    <row r="1" customFormat="false" ht="41.25" hidden="false" customHeight="false" outlineLevel="0" collapsed="false">
      <c r="B1" s="26" t="s">
        <v>0</v>
      </c>
      <c r="C1" s="44" t="s">
        <v>288</v>
      </c>
      <c r="D1" s="44" t="s">
        <v>289</v>
      </c>
      <c r="E1" s="45" t="s">
        <v>290</v>
      </c>
      <c r="F1" s="143" t="s">
        <v>835</v>
      </c>
      <c r="G1" s="144" t="s">
        <v>836</v>
      </c>
      <c r="H1" s="144" t="s">
        <v>837</v>
      </c>
      <c r="I1" s="144" t="s">
        <v>838</v>
      </c>
      <c r="J1" s="49" t="s">
        <v>296</v>
      </c>
    </row>
    <row r="2" customFormat="false" ht="14.25" hidden="false" customHeight="false" outlineLevel="0" collapsed="false">
      <c r="B2" s="145"/>
      <c r="C2" s="146" t="s">
        <v>700</v>
      </c>
      <c r="D2" s="147"/>
      <c r="E2" s="148"/>
      <c r="F2" s="149" t="s">
        <v>839</v>
      </c>
      <c r="G2" s="150" t="s">
        <v>839</v>
      </c>
      <c r="H2" s="150" t="s">
        <v>839</v>
      </c>
      <c r="I2" s="151" t="s">
        <v>839</v>
      </c>
    </row>
    <row r="3" customFormat="false" ht="14.25" hidden="false" customHeight="false" outlineLevel="0" collapsed="false">
      <c r="B3" s="152" t="n">
        <v>4</v>
      </c>
      <c r="C3" s="153" t="s">
        <v>700</v>
      </c>
      <c r="D3" s="154" t="s">
        <v>731</v>
      </c>
      <c r="E3" s="155" t="s">
        <v>728</v>
      </c>
      <c r="F3" s="156" t="s">
        <v>9</v>
      </c>
      <c r="G3" s="157" t="n">
        <v>35</v>
      </c>
      <c r="H3" s="157" t="s">
        <v>840</v>
      </c>
      <c r="I3" s="158" t="s">
        <v>839</v>
      </c>
    </row>
    <row r="4" customFormat="false" ht="14.25" hidden="false" customHeight="false" outlineLevel="0" collapsed="false">
      <c r="B4" s="152" t="n">
        <v>5</v>
      </c>
      <c r="C4" s="153" t="s">
        <v>700</v>
      </c>
      <c r="D4" s="154" t="s">
        <v>731</v>
      </c>
      <c r="E4" s="155" t="s">
        <v>841</v>
      </c>
      <c r="F4" s="156" t="s">
        <v>9</v>
      </c>
      <c r="G4" s="157" t="n">
        <v>35</v>
      </c>
      <c r="H4" s="157" t="s">
        <v>840</v>
      </c>
      <c r="I4" s="158" t="s">
        <v>839</v>
      </c>
    </row>
    <row r="5" customFormat="false" ht="14.25" hidden="false" customHeight="false" outlineLevel="0" collapsed="false">
      <c r="B5" s="152" t="n">
        <v>8</v>
      </c>
      <c r="C5" s="153" t="s">
        <v>700</v>
      </c>
      <c r="D5" s="154" t="s">
        <v>731</v>
      </c>
      <c r="E5" s="155" t="s">
        <v>842</v>
      </c>
      <c r="F5" s="156" t="s">
        <v>9</v>
      </c>
      <c r="G5" s="157" t="n">
        <v>35</v>
      </c>
      <c r="H5" s="157" t="s">
        <v>840</v>
      </c>
      <c r="I5" s="158" t="s">
        <v>839</v>
      </c>
    </row>
    <row r="6" customFormat="false" ht="14.25" hidden="false" customHeight="false" outlineLevel="0" collapsed="false">
      <c r="B6" s="152" t="n">
        <v>9</v>
      </c>
      <c r="C6" s="153" t="s">
        <v>700</v>
      </c>
      <c r="D6" s="154" t="s">
        <v>731</v>
      </c>
      <c r="E6" s="155" t="s">
        <v>843</v>
      </c>
      <c r="F6" s="156" t="s">
        <v>9</v>
      </c>
      <c r="G6" s="157" t="n">
        <v>35</v>
      </c>
      <c r="H6" s="157" t="s">
        <v>840</v>
      </c>
      <c r="I6" s="158" t="s">
        <v>839</v>
      </c>
    </row>
    <row r="7" customFormat="false" ht="14.25" hidden="false" customHeight="false" outlineLevel="0" collapsed="false">
      <c r="B7" s="152" t="n">
        <v>10</v>
      </c>
      <c r="C7" s="153" t="s">
        <v>700</v>
      </c>
      <c r="D7" s="154" t="s">
        <v>517</v>
      </c>
      <c r="E7" s="2" t="s">
        <v>844</v>
      </c>
      <c r="F7" s="156" t="s">
        <v>9</v>
      </c>
      <c r="G7" s="157" t="n">
        <v>35</v>
      </c>
      <c r="H7" s="157" t="s">
        <v>840</v>
      </c>
      <c r="I7" s="158" t="s">
        <v>839</v>
      </c>
    </row>
    <row r="8" customFormat="false" ht="14.25" hidden="false" customHeight="false" outlineLevel="0" collapsed="false">
      <c r="B8" s="152" t="n">
        <v>11</v>
      </c>
      <c r="C8" s="153" t="s">
        <v>700</v>
      </c>
      <c r="D8" s="154" t="s">
        <v>731</v>
      </c>
      <c r="E8" s="2" t="s">
        <v>845</v>
      </c>
      <c r="F8" s="156" t="s">
        <v>9</v>
      </c>
      <c r="G8" s="157" t="n">
        <v>35</v>
      </c>
      <c r="H8" s="157" t="s">
        <v>840</v>
      </c>
      <c r="I8" s="158" t="s">
        <v>839</v>
      </c>
    </row>
    <row r="9" customFormat="false" ht="14.25" hidden="false" customHeight="false" outlineLevel="0" collapsed="false">
      <c r="B9" s="152" t="n">
        <v>12</v>
      </c>
      <c r="C9" s="153" t="s">
        <v>700</v>
      </c>
      <c r="D9" s="154" t="s">
        <v>731</v>
      </c>
      <c r="E9" s="2" t="s">
        <v>846</v>
      </c>
      <c r="F9" s="156" t="s">
        <v>9</v>
      </c>
      <c r="G9" s="157" t="n">
        <v>35</v>
      </c>
      <c r="H9" s="157" t="s">
        <v>840</v>
      </c>
      <c r="I9" s="158" t="s">
        <v>839</v>
      </c>
    </row>
    <row r="10" customFormat="false" ht="14.25" hidden="false" customHeight="false" outlineLevel="0" collapsed="false">
      <c r="B10" s="159" t="n">
        <v>13</v>
      </c>
      <c r="C10" s="160" t="s">
        <v>700</v>
      </c>
      <c r="D10" s="161" t="s">
        <v>731</v>
      </c>
      <c r="E10" s="162" t="s">
        <v>847</v>
      </c>
      <c r="F10" s="163" t="s">
        <v>9</v>
      </c>
      <c r="G10" s="164" t="n">
        <v>35</v>
      </c>
      <c r="H10" s="164" t="s">
        <v>840</v>
      </c>
      <c r="I10" s="165" t="s">
        <v>839</v>
      </c>
    </row>
    <row r="11" customFormat="false" ht="14.25" hidden="false" customHeight="false" outlineLevel="0" collapsed="false">
      <c r="B11" s="166"/>
      <c r="C11" s="167" t="s">
        <v>848</v>
      </c>
      <c r="D11" s="167"/>
      <c r="E11" s="167"/>
      <c r="F11" s="149" t="s">
        <v>839</v>
      </c>
      <c r="G11" s="150" t="s">
        <v>839</v>
      </c>
      <c r="H11" s="150" t="s">
        <v>839</v>
      </c>
      <c r="I11" s="151" t="s">
        <v>839</v>
      </c>
    </row>
    <row r="12" customFormat="false" ht="14.25" hidden="false" customHeight="false" outlineLevel="0" collapsed="false">
      <c r="B12" s="152" t="n">
        <v>1</v>
      </c>
      <c r="C12" s="168" t="s">
        <v>848</v>
      </c>
      <c r="D12" s="168" t="s">
        <v>849</v>
      </c>
      <c r="E12" s="155" t="s">
        <v>850</v>
      </c>
      <c r="F12" s="156" t="s">
        <v>11</v>
      </c>
      <c r="G12" s="157" t="n">
        <v>36</v>
      </c>
      <c r="H12" s="157" t="s">
        <v>840</v>
      </c>
      <c r="I12" s="158" t="s">
        <v>851</v>
      </c>
    </row>
    <row r="13" customFormat="false" ht="14.25" hidden="false" customHeight="false" outlineLevel="0" collapsed="false">
      <c r="B13" s="152" t="n">
        <v>2</v>
      </c>
      <c r="C13" s="168" t="s">
        <v>848</v>
      </c>
      <c r="D13" s="168" t="s">
        <v>849</v>
      </c>
      <c r="E13" s="155" t="s">
        <v>852</v>
      </c>
      <c r="F13" s="156" t="s">
        <v>11</v>
      </c>
      <c r="G13" s="157" t="n">
        <v>36</v>
      </c>
      <c r="H13" s="157" t="s">
        <v>840</v>
      </c>
      <c r="I13" s="158" t="s">
        <v>839</v>
      </c>
    </row>
    <row r="14" customFormat="false" ht="14.25" hidden="false" customHeight="false" outlineLevel="0" collapsed="false">
      <c r="B14" s="152" t="n">
        <v>3</v>
      </c>
      <c r="C14" s="168" t="s">
        <v>848</v>
      </c>
      <c r="D14" s="168" t="s">
        <v>853</v>
      </c>
      <c r="E14" s="155" t="s">
        <v>854</v>
      </c>
      <c r="F14" s="156" t="s">
        <v>9</v>
      </c>
      <c r="G14" s="157" t="n">
        <v>36</v>
      </c>
      <c r="H14" s="157" t="s">
        <v>840</v>
      </c>
      <c r="I14" s="158" t="s">
        <v>839</v>
      </c>
    </row>
    <row r="15" customFormat="false" ht="14.25" hidden="false" customHeight="false" outlineLevel="0" collapsed="false">
      <c r="B15" s="152" t="n">
        <v>4</v>
      </c>
      <c r="C15" s="168" t="s">
        <v>848</v>
      </c>
      <c r="D15" s="168" t="s">
        <v>855</v>
      </c>
      <c r="E15" s="155" t="s">
        <v>856</v>
      </c>
      <c r="F15" s="156" t="s">
        <v>9</v>
      </c>
      <c r="G15" s="157" t="n">
        <v>36</v>
      </c>
      <c r="H15" s="157" t="s">
        <v>840</v>
      </c>
      <c r="I15" s="158" t="s">
        <v>839</v>
      </c>
    </row>
    <row r="16" customFormat="false" ht="14.25" hidden="false" customHeight="false" outlineLevel="0" collapsed="false">
      <c r="B16" s="152" t="n">
        <v>5</v>
      </c>
      <c r="C16" s="168" t="s">
        <v>848</v>
      </c>
      <c r="D16" s="168"/>
      <c r="E16" s="155" t="s">
        <v>857</v>
      </c>
      <c r="F16" s="156" t="s">
        <v>9</v>
      </c>
      <c r="G16" s="157" t="s">
        <v>839</v>
      </c>
      <c r="H16" s="157" t="s">
        <v>839</v>
      </c>
      <c r="I16" s="158" t="s">
        <v>839</v>
      </c>
    </row>
    <row r="17" customFormat="false" ht="14.25" hidden="false" customHeight="false" outlineLevel="0" collapsed="false">
      <c r="B17" s="152" t="n">
        <v>6</v>
      </c>
      <c r="C17" s="168" t="s">
        <v>848</v>
      </c>
      <c r="D17" s="168"/>
      <c r="E17" s="155" t="s">
        <v>858</v>
      </c>
      <c r="F17" s="156" t="s">
        <v>9</v>
      </c>
      <c r="G17" s="157" t="s">
        <v>839</v>
      </c>
      <c r="H17" s="157" t="s">
        <v>839</v>
      </c>
      <c r="I17" s="158" t="s">
        <v>839</v>
      </c>
    </row>
    <row r="18" customFormat="false" ht="14.25" hidden="false" customHeight="false" outlineLevel="0" collapsed="false">
      <c r="B18" s="152" t="n">
        <v>7</v>
      </c>
      <c r="C18" s="168" t="s">
        <v>848</v>
      </c>
      <c r="D18" s="168"/>
      <c r="E18" s="155" t="s">
        <v>859</v>
      </c>
      <c r="F18" s="156" t="s">
        <v>9</v>
      </c>
      <c r="G18" s="157" t="s">
        <v>839</v>
      </c>
      <c r="H18" s="157" t="s">
        <v>839</v>
      </c>
      <c r="I18" s="158" t="s">
        <v>839</v>
      </c>
    </row>
    <row r="19" customFormat="false" ht="14.25" hidden="false" customHeight="false" outlineLevel="0" collapsed="false">
      <c r="B19" s="152" t="n">
        <v>8</v>
      </c>
      <c r="C19" s="168" t="s">
        <v>848</v>
      </c>
      <c r="D19" s="168"/>
      <c r="E19" s="155" t="s">
        <v>860</v>
      </c>
      <c r="F19" s="156" t="s">
        <v>9</v>
      </c>
      <c r="G19" s="157" t="s">
        <v>839</v>
      </c>
      <c r="H19" s="157" t="s">
        <v>839</v>
      </c>
      <c r="I19" s="158" t="s">
        <v>839</v>
      </c>
    </row>
    <row r="20" customFormat="false" ht="14.25" hidden="false" customHeight="false" outlineLevel="0" collapsed="false">
      <c r="B20" s="159" t="n">
        <v>9</v>
      </c>
      <c r="C20" s="169" t="s">
        <v>848</v>
      </c>
      <c r="D20" s="169" t="s">
        <v>853</v>
      </c>
      <c r="E20" s="170" t="s">
        <v>845</v>
      </c>
      <c r="F20" s="163" t="s">
        <v>9</v>
      </c>
      <c r="G20" s="164" t="n">
        <v>36</v>
      </c>
      <c r="H20" s="164" t="s">
        <v>840</v>
      </c>
      <c r="I20" s="165" t="s">
        <v>839</v>
      </c>
      <c r="J20" s="0" t="s">
        <v>326</v>
      </c>
    </row>
    <row r="21" customFormat="false" ht="14.25" hidden="false" customHeight="false" outlineLevel="0" collapsed="false">
      <c r="B21" s="167"/>
      <c r="C21" s="167" t="s">
        <v>861</v>
      </c>
      <c r="D21" s="167"/>
      <c r="E21" s="167"/>
      <c r="F21" s="149" t="s">
        <v>839</v>
      </c>
      <c r="G21" s="150" t="s">
        <v>839</v>
      </c>
      <c r="H21" s="150" t="s">
        <v>839</v>
      </c>
      <c r="I21" s="151" t="s">
        <v>839</v>
      </c>
    </row>
    <row r="22" customFormat="false" ht="14.25" hidden="false" customHeight="false" outlineLevel="0" collapsed="false">
      <c r="B22" s="171" t="n">
        <v>1</v>
      </c>
      <c r="C22" s="168" t="s">
        <v>861</v>
      </c>
      <c r="D22" s="168" t="s">
        <v>862</v>
      </c>
      <c r="E22" s="155" t="s">
        <v>863</v>
      </c>
      <c r="F22" s="156" t="s">
        <v>11</v>
      </c>
      <c r="G22" s="157" t="n">
        <v>37</v>
      </c>
      <c r="H22" s="157" t="s">
        <v>840</v>
      </c>
      <c r="I22" s="158" t="s">
        <v>851</v>
      </c>
      <c r="J22" s="0" t="s">
        <v>326</v>
      </c>
    </row>
    <row r="23" customFormat="false" ht="14.25" hidden="false" customHeight="false" outlineLevel="0" collapsed="false">
      <c r="B23" s="171" t="n">
        <v>2</v>
      </c>
      <c r="C23" s="168" t="s">
        <v>861</v>
      </c>
      <c r="D23" s="168" t="s">
        <v>864</v>
      </c>
      <c r="E23" s="155" t="s">
        <v>865</v>
      </c>
      <c r="F23" s="156" t="s">
        <v>11</v>
      </c>
      <c r="G23" s="157" t="n">
        <v>37</v>
      </c>
      <c r="H23" s="157" t="s">
        <v>840</v>
      </c>
      <c r="I23" s="158" t="s">
        <v>851</v>
      </c>
      <c r="J23" s="0" t="s">
        <v>326</v>
      </c>
    </row>
    <row r="24" customFormat="false" ht="14.25" hidden="false" customHeight="false" outlineLevel="0" collapsed="false">
      <c r="B24" s="171" t="n">
        <v>3</v>
      </c>
      <c r="C24" s="168" t="s">
        <v>861</v>
      </c>
      <c r="D24" s="168" t="s">
        <v>866</v>
      </c>
      <c r="E24" s="155" t="s">
        <v>867</v>
      </c>
      <c r="F24" s="156" t="s">
        <v>11</v>
      </c>
      <c r="G24" s="157" t="n">
        <v>37</v>
      </c>
      <c r="H24" s="157" t="s">
        <v>840</v>
      </c>
      <c r="I24" s="158" t="s">
        <v>851</v>
      </c>
      <c r="J24" s="0" t="s">
        <v>326</v>
      </c>
    </row>
    <row r="25" customFormat="false" ht="14.25" hidden="false" customHeight="false" outlineLevel="0" collapsed="false">
      <c r="B25" s="171" t="n">
        <v>4</v>
      </c>
      <c r="C25" s="168" t="s">
        <v>861</v>
      </c>
      <c r="D25" s="168" t="s">
        <v>866</v>
      </c>
      <c r="E25" s="155" t="s">
        <v>868</v>
      </c>
      <c r="F25" s="156" t="s">
        <v>11</v>
      </c>
      <c r="G25" s="157" t="n">
        <v>37</v>
      </c>
      <c r="H25" s="157" t="s">
        <v>840</v>
      </c>
      <c r="I25" s="158" t="s">
        <v>851</v>
      </c>
      <c r="J25" s="0" t="s">
        <v>326</v>
      </c>
    </row>
    <row r="26" customFormat="false" ht="14.25" hidden="false" customHeight="false" outlineLevel="0" collapsed="false">
      <c r="B26" s="171" t="n">
        <v>5</v>
      </c>
      <c r="C26" s="168" t="s">
        <v>861</v>
      </c>
      <c r="D26" s="168" t="s">
        <v>869</v>
      </c>
      <c r="E26" s="155" t="s">
        <v>870</v>
      </c>
      <c r="F26" s="156" t="s">
        <v>11</v>
      </c>
      <c r="G26" s="157" t="n">
        <v>37</v>
      </c>
      <c r="H26" s="157" t="s">
        <v>840</v>
      </c>
      <c r="I26" s="158" t="s">
        <v>851</v>
      </c>
      <c r="J26" s="0" t="s">
        <v>326</v>
      </c>
    </row>
    <row r="27" customFormat="false" ht="14.25" hidden="false" customHeight="false" outlineLevel="0" collapsed="false">
      <c r="B27" s="171" t="n">
        <v>6</v>
      </c>
      <c r="C27" s="168" t="s">
        <v>861</v>
      </c>
      <c r="D27" s="168" t="s">
        <v>866</v>
      </c>
      <c r="E27" s="155" t="s">
        <v>871</v>
      </c>
      <c r="F27" s="163" t="s">
        <v>11</v>
      </c>
      <c r="G27" s="164" t="n">
        <v>37</v>
      </c>
      <c r="H27" s="164" t="s">
        <v>840</v>
      </c>
      <c r="I27" s="165" t="s">
        <v>851</v>
      </c>
      <c r="J27" s="0" t="s">
        <v>326</v>
      </c>
    </row>
    <row r="28" customFormat="false" ht="14.25" hidden="false" customHeight="false" outlineLevel="0" collapsed="false">
      <c r="B28" s="167"/>
      <c r="C28" s="167" t="s">
        <v>781</v>
      </c>
      <c r="D28" s="167"/>
      <c r="E28" s="167"/>
      <c r="F28" s="149" t="s">
        <v>839</v>
      </c>
      <c r="G28" s="150" t="s">
        <v>839</v>
      </c>
      <c r="H28" s="150" t="s">
        <v>839</v>
      </c>
      <c r="I28" s="151" t="s">
        <v>839</v>
      </c>
    </row>
    <row r="29" customFormat="false" ht="14.25" hidden="false" customHeight="false" outlineLevel="0" collapsed="false">
      <c r="B29" s="171" t="n">
        <v>1</v>
      </c>
      <c r="C29" s="168" t="s">
        <v>781</v>
      </c>
      <c r="D29" s="168" t="s">
        <v>782</v>
      </c>
      <c r="E29" s="155" t="s">
        <v>783</v>
      </c>
      <c r="F29" s="156" t="s">
        <v>11</v>
      </c>
      <c r="G29" s="157" t="n">
        <v>34</v>
      </c>
      <c r="H29" s="157" t="s">
        <v>840</v>
      </c>
      <c r="I29" s="158" t="s">
        <v>839</v>
      </c>
    </row>
    <row r="30" customFormat="false" ht="14.25" hidden="false" customHeight="false" outlineLevel="0" collapsed="false">
      <c r="B30" s="171" t="n">
        <v>2</v>
      </c>
      <c r="C30" s="168" t="s">
        <v>781</v>
      </c>
      <c r="D30" s="168" t="s">
        <v>782</v>
      </c>
      <c r="E30" s="155" t="s">
        <v>785</v>
      </c>
      <c r="F30" s="156" t="s">
        <v>11</v>
      </c>
      <c r="G30" s="157" t="n">
        <v>34</v>
      </c>
      <c r="H30" s="157" t="s">
        <v>840</v>
      </c>
      <c r="I30" s="158" t="s">
        <v>839</v>
      </c>
    </row>
    <row r="31" customFormat="false" ht="14.25" hidden="false" customHeight="false" outlineLevel="0" collapsed="false">
      <c r="B31" s="171" t="n">
        <v>3</v>
      </c>
      <c r="C31" s="168" t="s">
        <v>781</v>
      </c>
      <c r="D31" s="168" t="s">
        <v>782</v>
      </c>
      <c r="E31" s="2" t="s">
        <v>786</v>
      </c>
      <c r="F31" s="156" t="s">
        <v>11</v>
      </c>
      <c r="G31" s="157" t="n">
        <v>34</v>
      </c>
      <c r="H31" s="157" t="s">
        <v>840</v>
      </c>
      <c r="I31" s="158" t="s">
        <v>839</v>
      </c>
    </row>
    <row r="32" customFormat="false" ht="14.25" hidden="false" customHeight="false" outlineLevel="0" collapsed="false">
      <c r="B32" s="171" t="n">
        <v>4</v>
      </c>
      <c r="C32" s="168" t="s">
        <v>781</v>
      </c>
      <c r="D32" s="168" t="s">
        <v>782</v>
      </c>
      <c r="E32" s="2" t="s">
        <v>787</v>
      </c>
      <c r="F32" s="156" t="s">
        <v>11</v>
      </c>
      <c r="G32" s="157" t="n">
        <v>34</v>
      </c>
      <c r="H32" s="157" t="s">
        <v>840</v>
      </c>
      <c r="I32" s="158" t="s">
        <v>839</v>
      </c>
    </row>
    <row r="33" customFormat="false" ht="14.25" hidden="false" customHeight="false" outlineLevel="0" collapsed="false">
      <c r="B33" s="171" t="n">
        <v>5</v>
      </c>
      <c r="C33" s="168" t="s">
        <v>781</v>
      </c>
      <c r="D33" s="168" t="s">
        <v>788</v>
      </c>
      <c r="E33" s="2" t="s">
        <v>789</v>
      </c>
      <c r="F33" s="156" t="s">
        <v>11</v>
      </c>
      <c r="G33" s="157" t="n">
        <v>34</v>
      </c>
      <c r="H33" s="157" t="s">
        <v>840</v>
      </c>
      <c r="I33" s="158" t="s">
        <v>839</v>
      </c>
    </row>
    <row r="34" customFormat="false" ht="14.25" hidden="false" customHeight="false" outlineLevel="0" collapsed="false">
      <c r="B34" s="171" t="n">
        <v>6</v>
      </c>
      <c r="C34" s="168" t="s">
        <v>781</v>
      </c>
      <c r="D34" s="168" t="s">
        <v>790</v>
      </c>
      <c r="E34" s="2" t="s">
        <v>791</v>
      </c>
      <c r="F34" s="156" t="s">
        <v>11</v>
      </c>
      <c r="G34" s="157" t="n">
        <v>34</v>
      </c>
      <c r="H34" s="157" t="s">
        <v>840</v>
      </c>
      <c r="I34" s="158" t="s">
        <v>839</v>
      </c>
    </row>
    <row r="35" customFormat="false" ht="14.25" hidden="false" customHeight="false" outlineLevel="0" collapsed="false">
      <c r="B35" s="171" t="n">
        <v>7</v>
      </c>
      <c r="C35" s="168" t="s">
        <v>781</v>
      </c>
      <c r="D35" s="168" t="s">
        <v>792</v>
      </c>
      <c r="E35" s="2" t="s">
        <v>793</v>
      </c>
      <c r="F35" s="156" t="s">
        <v>11</v>
      </c>
      <c r="G35" s="157" t="n">
        <v>34</v>
      </c>
      <c r="H35" s="157" t="s">
        <v>840</v>
      </c>
      <c r="I35" s="158" t="s">
        <v>839</v>
      </c>
    </row>
    <row r="36" customFormat="false" ht="14.25" hidden="false" customHeight="false" outlineLevel="0" collapsed="false">
      <c r="B36" s="171" t="n">
        <v>8</v>
      </c>
      <c r="C36" s="168" t="s">
        <v>781</v>
      </c>
      <c r="D36" s="168" t="s">
        <v>794</v>
      </c>
      <c r="E36" s="2" t="s">
        <v>795</v>
      </c>
      <c r="F36" s="156" t="s">
        <v>11</v>
      </c>
      <c r="G36" s="157" t="n">
        <v>34</v>
      </c>
      <c r="H36" s="157" t="s">
        <v>840</v>
      </c>
      <c r="I36" s="158" t="s">
        <v>839</v>
      </c>
    </row>
    <row r="37" customFormat="false" ht="14.25" hidden="false" customHeight="false" outlineLevel="0" collapsed="false">
      <c r="B37" s="171" t="n">
        <v>9</v>
      </c>
      <c r="C37" s="168" t="s">
        <v>781</v>
      </c>
      <c r="D37" s="168" t="s">
        <v>796</v>
      </c>
      <c r="E37" s="2" t="s">
        <v>797</v>
      </c>
      <c r="F37" s="156" t="s">
        <v>9</v>
      </c>
      <c r="G37" s="157" t="n">
        <v>34</v>
      </c>
      <c r="H37" s="157" t="s">
        <v>840</v>
      </c>
      <c r="I37" s="158" t="s">
        <v>839</v>
      </c>
    </row>
    <row r="38" customFormat="false" ht="14.25" hidden="false" customHeight="false" outlineLevel="0" collapsed="false">
      <c r="B38" s="171" t="n">
        <v>10</v>
      </c>
      <c r="C38" s="168" t="s">
        <v>781</v>
      </c>
      <c r="D38" s="168" t="s">
        <v>799</v>
      </c>
      <c r="E38" s="2" t="s">
        <v>800</v>
      </c>
      <c r="F38" s="156" t="s">
        <v>9</v>
      </c>
      <c r="G38" s="157" t="n">
        <v>34</v>
      </c>
      <c r="H38" s="157" t="s">
        <v>840</v>
      </c>
      <c r="I38" s="158" t="s">
        <v>839</v>
      </c>
    </row>
    <row r="39" customFormat="false" ht="14.25" hidden="false" customHeight="false" outlineLevel="0" collapsed="false">
      <c r="B39" s="171" t="n">
        <v>11</v>
      </c>
      <c r="C39" s="168" t="s">
        <v>781</v>
      </c>
      <c r="D39" s="168" t="s">
        <v>801</v>
      </c>
      <c r="E39" s="2" t="s">
        <v>802</v>
      </c>
      <c r="F39" s="156" t="s">
        <v>11</v>
      </c>
      <c r="G39" s="157" t="n">
        <v>34</v>
      </c>
      <c r="H39" s="157" t="s">
        <v>840</v>
      </c>
      <c r="I39" s="158" t="s">
        <v>839</v>
      </c>
    </row>
    <row r="40" customFormat="false" ht="14.25" hidden="false" customHeight="false" outlineLevel="0" collapsed="false">
      <c r="B40" s="171" t="n">
        <v>12</v>
      </c>
      <c r="C40" s="168" t="s">
        <v>781</v>
      </c>
      <c r="D40" s="168" t="s">
        <v>792</v>
      </c>
      <c r="E40" s="2" t="s">
        <v>803</v>
      </c>
      <c r="F40" s="156" t="s">
        <v>11</v>
      </c>
      <c r="G40" s="157" t="n">
        <v>34</v>
      </c>
      <c r="H40" s="157" t="s">
        <v>840</v>
      </c>
      <c r="I40" s="158" t="s">
        <v>839</v>
      </c>
    </row>
    <row r="41" customFormat="false" ht="14.25" hidden="false" customHeight="false" outlineLevel="0" collapsed="false">
      <c r="B41" s="171" t="n">
        <v>13</v>
      </c>
      <c r="C41" s="168" t="s">
        <v>781</v>
      </c>
      <c r="D41" s="168" t="s">
        <v>804</v>
      </c>
      <c r="E41" s="2" t="s">
        <v>805</v>
      </c>
      <c r="F41" s="156" t="s">
        <v>11</v>
      </c>
      <c r="G41" s="157" t="n">
        <v>34</v>
      </c>
      <c r="H41" s="157" t="s">
        <v>840</v>
      </c>
      <c r="I41" s="158" t="s">
        <v>839</v>
      </c>
    </row>
    <row r="42" customFormat="false" ht="14.25" hidden="false" customHeight="false" outlineLevel="0" collapsed="false">
      <c r="B42" s="171" t="n">
        <v>14</v>
      </c>
      <c r="C42" s="168" t="s">
        <v>781</v>
      </c>
      <c r="D42" s="168" t="s">
        <v>807</v>
      </c>
      <c r="E42" s="2" t="s">
        <v>808</v>
      </c>
      <c r="F42" s="156" t="s">
        <v>11</v>
      </c>
      <c r="G42" s="157" t="n">
        <v>34</v>
      </c>
      <c r="H42" s="157" t="s">
        <v>840</v>
      </c>
      <c r="I42" s="158" t="s">
        <v>839</v>
      </c>
    </row>
    <row r="43" customFormat="false" ht="14.25" hidden="false" customHeight="false" outlineLevel="0" collapsed="false">
      <c r="B43" s="171" t="n">
        <v>15</v>
      </c>
      <c r="C43" s="168" t="s">
        <v>781</v>
      </c>
      <c r="D43" s="168" t="s">
        <v>809</v>
      </c>
      <c r="E43" s="2" t="s">
        <v>810</v>
      </c>
      <c r="F43" s="156" t="s">
        <v>11</v>
      </c>
      <c r="G43" s="157" t="n">
        <v>34</v>
      </c>
      <c r="H43" s="157" t="s">
        <v>840</v>
      </c>
      <c r="I43" s="158" t="s">
        <v>839</v>
      </c>
    </row>
    <row r="44" customFormat="false" ht="14.25" hidden="false" customHeight="false" outlineLevel="0" collapsed="false">
      <c r="B44" s="171" t="n">
        <v>16</v>
      </c>
      <c r="C44" s="168" t="s">
        <v>781</v>
      </c>
      <c r="D44" s="168" t="s">
        <v>811</v>
      </c>
      <c r="E44" s="2" t="s">
        <v>812</v>
      </c>
      <c r="F44" s="156" t="s">
        <v>11</v>
      </c>
      <c r="G44" s="157" t="n">
        <v>34</v>
      </c>
      <c r="H44" s="157" t="s">
        <v>840</v>
      </c>
      <c r="I44" s="158" t="s">
        <v>839</v>
      </c>
    </row>
    <row r="45" customFormat="false" ht="14.25" hidden="false" customHeight="false" outlineLevel="0" collapsed="false">
      <c r="B45" s="171" t="n">
        <v>17</v>
      </c>
      <c r="C45" s="168" t="s">
        <v>781</v>
      </c>
      <c r="D45" s="168" t="s">
        <v>813</v>
      </c>
      <c r="E45" s="2" t="s">
        <v>814</v>
      </c>
      <c r="F45" s="156" t="s">
        <v>11</v>
      </c>
      <c r="G45" s="157" t="n">
        <v>34</v>
      </c>
      <c r="H45" s="157" t="s">
        <v>840</v>
      </c>
      <c r="I45" s="158" t="s">
        <v>839</v>
      </c>
    </row>
    <row r="46" customFormat="false" ht="14.25" hidden="false" customHeight="false" outlineLevel="0" collapsed="false">
      <c r="B46" s="171" t="n">
        <v>18</v>
      </c>
      <c r="C46" s="168" t="s">
        <v>781</v>
      </c>
      <c r="D46" s="168" t="s">
        <v>815</v>
      </c>
      <c r="E46" s="2" t="s">
        <v>816</v>
      </c>
      <c r="F46" s="156" t="s">
        <v>11</v>
      </c>
      <c r="G46" s="157" t="n">
        <v>34</v>
      </c>
      <c r="H46" s="157" t="s">
        <v>840</v>
      </c>
      <c r="I46" s="158" t="s">
        <v>839</v>
      </c>
    </row>
    <row r="47" customFormat="false" ht="14.25" hidden="false" customHeight="false" outlineLevel="0" collapsed="false">
      <c r="B47" s="171" t="n">
        <v>19</v>
      </c>
      <c r="C47" s="168" t="s">
        <v>781</v>
      </c>
      <c r="D47" s="168" t="s">
        <v>818</v>
      </c>
      <c r="E47" s="2" t="s">
        <v>819</v>
      </c>
      <c r="F47" s="156" t="s">
        <v>11</v>
      </c>
      <c r="G47" s="157" t="n">
        <v>34</v>
      </c>
      <c r="H47" s="157" t="s">
        <v>840</v>
      </c>
      <c r="I47" s="158" t="s">
        <v>839</v>
      </c>
    </row>
    <row r="48" customFormat="false" ht="14.25" hidden="false" customHeight="false" outlineLevel="0" collapsed="false">
      <c r="B48" s="171" t="n">
        <v>20</v>
      </c>
      <c r="C48" s="168" t="s">
        <v>781</v>
      </c>
      <c r="D48" s="168" t="s">
        <v>820</v>
      </c>
      <c r="E48" s="2" t="s">
        <v>821</v>
      </c>
      <c r="F48" s="156" t="s">
        <v>11</v>
      </c>
      <c r="G48" s="157" t="n">
        <v>34</v>
      </c>
      <c r="H48" s="157" t="s">
        <v>840</v>
      </c>
      <c r="I48" s="158" t="s">
        <v>839</v>
      </c>
    </row>
    <row r="49" customFormat="false" ht="14.25" hidden="false" customHeight="false" outlineLevel="0" collapsed="false">
      <c r="B49" s="171" t="n">
        <v>21</v>
      </c>
      <c r="C49" s="168" t="s">
        <v>781</v>
      </c>
      <c r="D49" s="168" t="s">
        <v>822</v>
      </c>
      <c r="E49" s="2" t="s">
        <v>823</v>
      </c>
      <c r="F49" s="156" t="s">
        <v>11</v>
      </c>
      <c r="G49" s="157" t="n">
        <v>34</v>
      </c>
      <c r="H49" s="157" t="s">
        <v>840</v>
      </c>
      <c r="I49" s="158" t="s">
        <v>839</v>
      </c>
    </row>
    <row r="50" customFormat="false" ht="14.25" hidden="false" customHeight="false" outlineLevel="0" collapsed="false">
      <c r="B50" s="171" t="n">
        <v>22</v>
      </c>
      <c r="C50" s="168" t="s">
        <v>781</v>
      </c>
      <c r="D50" s="168" t="s">
        <v>825</v>
      </c>
      <c r="E50" s="2" t="s">
        <v>826</v>
      </c>
      <c r="F50" s="156" t="s">
        <v>11</v>
      </c>
      <c r="G50" s="157" t="n">
        <v>34</v>
      </c>
      <c r="H50" s="157" t="s">
        <v>840</v>
      </c>
      <c r="I50" s="158" t="s">
        <v>839</v>
      </c>
    </row>
    <row r="51" customFormat="false" ht="14.25" hidden="false" customHeight="false" outlineLevel="0" collapsed="false">
      <c r="B51" s="171" t="n">
        <v>23</v>
      </c>
      <c r="C51" s="168" t="s">
        <v>781</v>
      </c>
      <c r="D51" s="168" t="s">
        <v>827</v>
      </c>
      <c r="E51" s="2" t="s">
        <v>828</v>
      </c>
      <c r="F51" s="156" t="s">
        <v>11</v>
      </c>
      <c r="G51" s="157" t="n">
        <v>34</v>
      </c>
      <c r="H51" s="157" t="s">
        <v>840</v>
      </c>
      <c r="I51" s="158" t="s">
        <v>839</v>
      </c>
    </row>
    <row r="52" customFormat="false" ht="14.25" hidden="false" customHeight="false" outlineLevel="0" collapsed="false">
      <c r="B52" s="171" t="n">
        <v>24</v>
      </c>
      <c r="C52" s="168" t="s">
        <v>781</v>
      </c>
      <c r="D52" s="168" t="s">
        <v>818</v>
      </c>
      <c r="E52" s="2" t="s">
        <v>829</v>
      </c>
      <c r="F52" s="156" t="s">
        <v>11</v>
      </c>
      <c r="G52" s="157" t="n">
        <v>34</v>
      </c>
      <c r="H52" s="157" t="s">
        <v>840</v>
      </c>
      <c r="I52" s="158" t="s">
        <v>839</v>
      </c>
    </row>
    <row r="53" customFormat="false" ht="14.25" hidden="false" customHeight="false" outlineLevel="0" collapsed="false">
      <c r="B53" s="171" t="n">
        <v>25</v>
      </c>
      <c r="C53" s="168" t="s">
        <v>781</v>
      </c>
      <c r="D53" s="168" t="s">
        <v>794</v>
      </c>
      <c r="E53" s="2" t="s">
        <v>831</v>
      </c>
      <c r="F53" s="156" t="s">
        <v>11</v>
      </c>
      <c r="G53" s="157" t="n">
        <v>34</v>
      </c>
      <c r="H53" s="157" t="s">
        <v>840</v>
      </c>
      <c r="I53" s="158" t="s">
        <v>839</v>
      </c>
    </row>
    <row r="54" customFormat="false" ht="14.25" hidden="false" customHeight="false" outlineLevel="0" collapsed="false">
      <c r="B54" s="171" t="n">
        <v>26</v>
      </c>
      <c r="C54" s="168" t="s">
        <v>781</v>
      </c>
      <c r="D54" s="168" t="s">
        <v>790</v>
      </c>
      <c r="E54" s="2" t="s">
        <v>833</v>
      </c>
      <c r="F54" s="163" t="s">
        <v>11</v>
      </c>
      <c r="G54" s="164" t="n">
        <v>34</v>
      </c>
      <c r="H54" s="164" t="s">
        <v>840</v>
      </c>
      <c r="I54" s="165" t="s">
        <v>839</v>
      </c>
    </row>
    <row r="55" customFormat="false" ht="14.25" hidden="false" customHeight="false" outlineLevel="0" collapsed="false">
      <c r="B55" s="167"/>
      <c r="C55" s="167" t="s">
        <v>872</v>
      </c>
      <c r="D55" s="167"/>
      <c r="E55" s="167"/>
      <c r="F55" s="149" t="s">
        <v>839</v>
      </c>
      <c r="G55" s="150" t="s">
        <v>839</v>
      </c>
      <c r="H55" s="150" t="s">
        <v>839</v>
      </c>
      <c r="I55" s="151" t="s">
        <v>839</v>
      </c>
    </row>
    <row r="56" customFormat="false" ht="14.25" hidden="false" customHeight="false" outlineLevel="0" collapsed="false">
      <c r="B56" s="172" t="n">
        <v>1</v>
      </c>
      <c r="C56" s="173" t="s">
        <v>700</v>
      </c>
      <c r="D56" s="174" t="s">
        <v>775</v>
      </c>
      <c r="E56" s="175" t="s">
        <v>850</v>
      </c>
      <c r="F56" s="156" t="s">
        <v>11</v>
      </c>
      <c r="G56" s="157" t="n">
        <v>38</v>
      </c>
      <c r="H56" s="157" t="s">
        <v>840</v>
      </c>
      <c r="I56" s="158" t="s">
        <v>851</v>
      </c>
    </row>
    <row r="57" customFormat="false" ht="14.25" hidden="false" customHeight="false" outlineLevel="0" collapsed="false">
      <c r="B57" s="172" t="n">
        <v>2</v>
      </c>
      <c r="C57" s="173" t="s">
        <v>700</v>
      </c>
      <c r="D57" s="174" t="s">
        <v>775</v>
      </c>
      <c r="E57" s="176" t="s">
        <v>845</v>
      </c>
      <c r="F57" s="163" t="s">
        <v>9</v>
      </c>
      <c r="G57" s="164" t="n">
        <v>38</v>
      </c>
      <c r="H57" s="164" t="s">
        <v>840</v>
      </c>
      <c r="I57" s="165" t="s">
        <v>839</v>
      </c>
    </row>
    <row r="58" customFormat="false" ht="14.25" hidden="false" customHeight="false" outlineLevel="0" collapsed="false">
      <c r="B58" s="167"/>
      <c r="C58" s="167" t="s">
        <v>873</v>
      </c>
      <c r="D58" s="167"/>
      <c r="E58" s="167"/>
      <c r="F58" s="149" t="s">
        <v>839</v>
      </c>
      <c r="G58" s="150" t="s">
        <v>839</v>
      </c>
      <c r="H58" s="150" t="s">
        <v>839</v>
      </c>
      <c r="I58" s="151" t="s">
        <v>839</v>
      </c>
    </row>
    <row r="59" customFormat="false" ht="14.25" hidden="false" customHeight="false" outlineLevel="0" collapsed="false">
      <c r="B59" s="171" t="n">
        <v>1</v>
      </c>
      <c r="C59" s="168" t="s">
        <v>873</v>
      </c>
      <c r="D59" s="168" t="s">
        <v>744</v>
      </c>
      <c r="E59" s="155" t="s">
        <v>874</v>
      </c>
      <c r="F59" s="156" t="s">
        <v>11</v>
      </c>
      <c r="G59" s="157" t="n">
        <v>39</v>
      </c>
      <c r="H59" s="157" t="s">
        <v>840</v>
      </c>
      <c r="I59" s="177" t="n">
        <v>46329</v>
      </c>
    </row>
    <row r="60" customFormat="false" ht="14.25" hidden="false" customHeight="false" outlineLevel="0" collapsed="false">
      <c r="B60" s="171" t="n">
        <v>2</v>
      </c>
      <c r="C60" s="168" t="s">
        <v>873</v>
      </c>
      <c r="D60" s="168" t="s">
        <v>744</v>
      </c>
      <c r="E60" s="155" t="s">
        <v>875</v>
      </c>
      <c r="F60" s="156" t="s">
        <v>11</v>
      </c>
      <c r="G60" s="157" t="n">
        <v>39</v>
      </c>
      <c r="H60" s="157" t="s">
        <v>840</v>
      </c>
      <c r="I60" s="177" t="n">
        <v>46329</v>
      </c>
    </row>
    <row r="61" customFormat="false" ht="14.25" hidden="false" customHeight="false" outlineLevel="0" collapsed="false">
      <c r="B61" s="171" t="n">
        <v>3</v>
      </c>
      <c r="C61" s="168" t="s">
        <v>873</v>
      </c>
      <c r="D61" s="168" t="s">
        <v>744</v>
      </c>
      <c r="E61" s="2" t="s">
        <v>876</v>
      </c>
      <c r="F61" s="156" t="s">
        <v>11</v>
      </c>
      <c r="G61" s="157" t="n">
        <v>39</v>
      </c>
      <c r="H61" s="157" t="s">
        <v>840</v>
      </c>
      <c r="I61" s="177" t="n">
        <v>46329</v>
      </c>
    </row>
    <row r="62" customFormat="false" ht="14.25" hidden="false" customHeight="false" outlineLevel="0" collapsed="false">
      <c r="B62" s="171" t="n">
        <v>4</v>
      </c>
      <c r="C62" s="168" t="s">
        <v>873</v>
      </c>
      <c r="D62" s="168" t="s">
        <v>744</v>
      </c>
      <c r="E62" s="2" t="s">
        <v>877</v>
      </c>
      <c r="F62" s="156" t="s">
        <v>11</v>
      </c>
      <c r="G62" s="157" t="n">
        <v>39</v>
      </c>
      <c r="H62" s="157" t="s">
        <v>840</v>
      </c>
      <c r="I62" s="177" t="n">
        <v>46329</v>
      </c>
    </row>
    <row r="63" customFormat="false" ht="14.25" hidden="false" customHeight="false" outlineLevel="0" collapsed="false">
      <c r="B63" s="171" t="n">
        <v>5</v>
      </c>
      <c r="C63" s="168" t="s">
        <v>873</v>
      </c>
      <c r="D63" s="168" t="s">
        <v>744</v>
      </c>
      <c r="E63" s="2" t="s">
        <v>878</v>
      </c>
      <c r="F63" s="156" t="s">
        <v>11</v>
      </c>
      <c r="G63" s="157" t="n">
        <v>39</v>
      </c>
      <c r="H63" s="157" t="s">
        <v>840</v>
      </c>
      <c r="I63" s="177" t="n">
        <v>46329</v>
      </c>
    </row>
    <row r="64" customFormat="false" ht="14.25" hidden="false" customHeight="false" outlineLevel="0" collapsed="false">
      <c r="B64" s="171" t="n">
        <v>6</v>
      </c>
      <c r="C64" s="168" t="s">
        <v>873</v>
      </c>
      <c r="D64" s="168" t="s">
        <v>744</v>
      </c>
      <c r="E64" s="2" t="s">
        <v>879</v>
      </c>
      <c r="F64" s="156" t="s">
        <v>11</v>
      </c>
      <c r="G64" s="157" t="n">
        <v>39</v>
      </c>
      <c r="H64" s="157" t="s">
        <v>840</v>
      </c>
      <c r="I64" s="177" t="n">
        <v>46329</v>
      </c>
    </row>
    <row r="65" customFormat="false" ht="14.25" hidden="false" customHeight="false" outlineLevel="0" collapsed="false">
      <c r="B65" s="171" t="n">
        <v>7</v>
      </c>
      <c r="C65" s="168" t="s">
        <v>873</v>
      </c>
      <c r="D65" s="168" t="s">
        <v>744</v>
      </c>
      <c r="E65" s="2" t="s">
        <v>880</v>
      </c>
      <c r="F65" s="156" t="s">
        <v>11</v>
      </c>
      <c r="G65" s="157" t="n">
        <v>39</v>
      </c>
      <c r="H65" s="157" t="s">
        <v>840</v>
      </c>
      <c r="I65" s="177" t="n">
        <v>46329</v>
      </c>
    </row>
    <row r="66" customFormat="false" ht="14.25" hidden="false" customHeight="false" outlineLevel="0" collapsed="false">
      <c r="B66" s="171" t="n">
        <v>8</v>
      </c>
      <c r="C66" s="168" t="s">
        <v>873</v>
      </c>
      <c r="D66" s="168" t="s">
        <v>881</v>
      </c>
      <c r="E66" s="2" t="s">
        <v>882</v>
      </c>
      <c r="F66" s="156" t="s">
        <v>11</v>
      </c>
      <c r="G66" s="157" t="n">
        <v>39</v>
      </c>
      <c r="H66" s="157" t="s">
        <v>840</v>
      </c>
      <c r="I66" s="177" t="n">
        <v>46329</v>
      </c>
    </row>
    <row r="67" customFormat="false" ht="14.25" hidden="false" customHeight="false" outlineLevel="0" collapsed="false">
      <c r="B67" s="171" t="n">
        <v>9</v>
      </c>
      <c r="C67" s="168" t="s">
        <v>873</v>
      </c>
      <c r="D67" s="168" t="s">
        <v>744</v>
      </c>
      <c r="E67" s="2" t="s">
        <v>883</v>
      </c>
      <c r="F67" s="156" t="s">
        <v>11</v>
      </c>
      <c r="G67" s="157" t="n">
        <v>39</v>
      </c>
      <c r="H67" s="157" t="s">
        <v>840</v>
      </c>
      <c r="I67" s="177" t="n">
        <v>46329</v>
      </c>
    </row>
    <row r="68" customFormat="false" ht="14.25" hidden="false" customHeight="false" outlineLevel="0" collapsed="false">
      <c r="B68" s="171" t="n">
        <v>10</v>
      </c>
      <c r="C68" s="168" t="s">
        <v>873</v>
      </c>
      <c r="D68" s="168" t="s">
        <v>744</v>
      </c>
      <c r="E68" s="2" t="s">
        <v>884</v>
      </c>
      <c r="F68" s="156" t="s">
        <v>11</v>
      </c>
      <c r="G68" s="157" t="n">
        <v>39</v>
      </c>
      <c r="H68" s="157" t="s">
        <v>840</v>
      </c>
      <c r="I68" s="177" t="n">
        <v>46329</v>
      </c>
    </row>
    <row r="69" customFormat="false" ht="14.25" hidden="false" customHeight="false" outlineLevel="0" collapsed="false">
      <c r="B69" s="171" t="n">
        <v>11</v>
      </c>
      <c r="C69" s="168" t="s">
        <v>873</v>
      </c>
      <c r="D69" s="168" t="s">
        <v>744</v>
      </c>
      <c r="E69" s="2" t="s">
        <v>885</v>
      </c>
      <c r="F69" s="156" t="s">
        <v>11</v>
      </c>
      <c r="G69" s="157" t="n">
        <v>39</v>
      </c>
      <c r="H69" s="157" t="s">
        <v>840</v>
      </c>
      <c r="I69" s="177" t="n">
        <v>46329</v>
      </c>
    </row>
    <row r="70" customFormat="false" ht="14.25" hidden="false" customHeight="false" outlineLevel="0" collapsed="false">
      <c r="B70" s="171" t="n">
        <v>12</v>
      </c>
      <c r="C70" s="168" t="s">
        <v>873</v>
      </c>
      <c r="D70" s="168" t="s">
        <v>744</v>
      </c>
      <c r="E70" s="2" t="s">
        <v>886</v>
      </c>
      <c r="F70" s="156" t="s">
        <v>11</v>
      </c>
      <c r="G70" s="157" t="n">
        <v>39</v>
      </c>
      <c r="H70" s="157" t="s">
        <v>840</v>
      </c>
      <c r="I70" s="177" t="n">
        <v>46329</v>
      </c>
    </row>
    <row r="71" customFormat="false" ht="14.25" hidden="false" customHeight="false" outlineLevel="0" collapsed="false">
      <c r="B71" s="171" t="n">
        <v>13</v>
      </c>
      <c r="C71" s="168" t="s">
        <v>873</v>
      </c>
      <c r="D71" s="168" t="s">
        <v>744</v>
      </c>
      <c r="E71" s="2" t="s">
        <v>887</v>
      </c>
      <c r="F71" s="156" t="s">
        <v>11</v>
      </c>
      <c r="G71" s="157" t="n">
        <v>39</v>
      </c>
      <c r="H71" s="157" t="s">
        <v>840</v>
      </c>
      <c r="I71" s="177" t="n">
        <v>46329</v>
      </c>
    </row>
    <row r="72" customFormat="false" ht="14.25" hidden="false" customHeight="false" outlineLevel="0" collapsed="false">
      <c r="B72" s="171" t="n">
        <v>14</v>
      </c>
      <c r="C72" s="168" t="s">
        <v>873</v>
      </c>
      <c r="D72" s="168" t="s">
        <v>744</v>
      </c>
      <c r="E72" s="2" t="s">
        <v>888</v>
      </c>
      <c r="F72" s="156" t="s">
        <v>11</v>
      </c>
      <c r="G72" s="157" t="n">
        <v>39</v>
      </c>
      <c r="H72" s="157" t="s">
        <v>840</v>
      </c>
      <c r="I72" s="177" t="n">
        <v>46329</v>
      </c>
    </row>
    <row r="73" customFormat="false" ht="14.25" hidden="false" customHeight="false" outlineLevel="0" collapsed="false">
      <c r="B73" s="171" t="n">
        <v>15</v>
      </c>
      <c r="C73" s="168" t="s">
        <v>873</v>
      </c>
      <c r="D73" s="168" t="s">
        <v>744</v>
      </c>
      <c r="E73" s="2" t="s">
        <v>889</v>
      </c>
      <c r="F73" s="156" t="s">
        <v>11</v>
      </c>
      <c r="G73" s="157" t="n">
        <v>39</v>
      </c>
      <c r="H73" s="157" t="s">
        <v>840</v>
      </c>
      <c r="I73" s="177" t="n">
        <v>46329</v>
      </c>
    </row>
    <row r="74" customFormat="false" ht="14.25" hidden="false" customHeight="false" outlineLevel="0" collapsed="false">
      <c r="B74" s="171" t="n">
        <v>16</v>
      </c>
      <c r="C74" s="168" t="s">
        <v>873</v>
      </c>
      <c r="D74" s="168" t="s">
        <v>881</v>
      </c>
      <c r="E74" s="2" t="s">
        <v>890</v>
      </c>
      <c r="F74" s="156" t="s">
        <v>11</v>
      </c>
      <c r="G74" s="157" t="n">
        <v>39</v>
      </c>
      <c r="H74" s="157" t="s">
        <v>840</v>
      </c>
      <c r="I74" s="177" t="n">
        <v>46329</v>
      </c>
    </row>
    <row r="75" customFormat="false" ht="14.25" hidden="false" customHeight="false" outlineLevel="0" collapsed="false">
      <c r="B75" s="171" t="n">
        <v>17</v>
      </c>
      <c r="C75" s="168" t="s">
        <v>873</v>
      </c>
      <c r="D75" s="168" t="s">
        <v>881</v>
      </c>
      <c r="E75" s="2" t="s">
        <v>891</v>
      </c>
      <c r="F75" s="156" t="s">
        <v>11</v>
      </c>
      <c r="G75" s="157" t="n">
        <v>39</v>
      </c>
      <c r="H75" s="157" t="s">
        <v>840</v>
      </c>
      <c r="I75" s="177" t="n">
        <v>46329</v>
      </c>
    </row>
    <row r="76" customFormat="false" ht="14.25" hidden="false" customHeight="false" outlineLevel="0" collapsed="false">
      <c r="B76" s="171" t="n">
        <v>18</v>
      </c>
      <c r="C76" s="168" t="s">
        <v>873</v>
      </c>
      <c r="D76" s="168" t="s">
        <v>881</v>
      </c>
      <c r="E76" s="2" t="s">
        <v>892</v>
      </c>
      <c r="F76" s="156" t="s">
        <v>11</v>
      </c>
      <c r="G76" s="157" t="n">
        <v>39</v>
      </c>
      <c r="H76" s="157" t="s">
        <v>840</v>
      </c>
      <c r="I76" s="177" t="n">
        <v>46329</v>
      </c>
    </row>
    <row r="77" customFormat="false" ht="14.25" hidden="false" customHeight="false" outlineLevel="0" collapsed="false">
      <c r="B77" s="178" t="n">
        <v>19</v>
      </c>
      <c r="C77" s="168" t="s">
        <v>873</v>
      </c>
      <c r="D77" s="168" t="s">
        <v>881</v>
      </c>
      <c r="E77" s="2" t="s">
        <v>893</v>
      </c>
      <c r="F77" s="179" t="s">
        <v>11</v>
      </c>
      <c r="G77" s="180" t="n">
        <v>39</v>
      </c>
      <c r="H77" s="180" t="s">
        <v>840</v>
      </c>
      <c r="I77" s="181" t="n">
        <v>46329</v>
      </c>
    </row>
  </sheetData>
  <autoFilter ref="B1:E77"/>
  <conditionalFormatting sqref="D1">
    <cfRule type="duplicateValues" priority="2" aboveAverage="0" equalAverage="0" bottom="0" percent="0" rank="0" text="" dxfId="27"/>
  </conditionalFormatting>
  <conditionalFormatting sqref="J1">
    <cfRule type="cellIs" priority="3" operator="equal" aboveAverage="0" equalAverage="0" bottom="0" percent="0" rank="0" text="" dxfId="28">
      <formula>"En sitio"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b83d79-3f54-4cd2-83a7-8b04ed61dd48">
      <Terms xmlns="http://schemas.microsoft.com/office/infopath/2007/PartnerControls"/>
    </lcf76f155ced4ddcb4097134ff3c332f>
    <TaxCatchAll xmlns="cf752909-19a1-4027-9351-ac279437f2e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1D851B82D6504F97FE9747B6251760" ma:contentTypeVersion="15" ma:contentTypeDescription="Crear nuevo documento." ma:contentTypeScope="" ma:versionID="b5d042ac40e6955f3a806b89a5ef5e5b">
  <xsd:schema xmlns:xsd="http://www.w3.org/2001/XMLSchema" xmlns:xs="http://www.w3.org/2001/XMLSchema" xmlns:p="http://schemas.microsoft.com/office/2006/metadata/properties" xmlns:ns2="cab83d79-3f54-4cd2-83a7-8b04ed61dd48" xmlns:ns3="cf752909-19a1-4027-9351-ac279437f2ed" targetNamespace="http://schemas.microsoft.com/office/2006/metadata/properties" ma:root="true" ma:fieldsID="cfb29cb41232a4d1d3ebbaf2502f0222" ns2:_="" ns3:_="">
    <xsd:import namespace="cab83d79-3f54-4cd2-83a7-8b04ed61dd48"/>
    <xsd:import namespace="cf752909-19a1-4027-9351-ac279437f2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83d79-3f54-4cd2-83a7-8b04ed61dd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a54587ab-c626-45a4-8e4a-1dedf415e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52909-19a1-4027-9351-ac279437f2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b02f25e-34ad-45f0-8b5c-6d004c4772ac}" ma:internalName="TaxCatchAll" ma:showField="CatchAllData" ma:web="cf752909-19a1-4027-9351-ac279437f2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9F803B-C994-4ACD-87E6-2DFAE0BBC8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B4A368-0B73-4931-B270-B522180732C5}">
  <ds:schemaRefs>
    <ds:schemaRef ds:uri="http://schemas.microsoft.com/office/2006/metadata/properties"/>
    <ds:schemaRef ds:uri="http://schemas.microsoft.com/office/infopath/2007/PartnerControls"/>
    <ds:schemaRef ds:uri="cab83d79-3f54-4cd2-83a7-8b04ed61dd48"/>
    <ds:schemaRef ds:uri="cf752909-19a1-4027-9351-ac279437f2ed"/>
  </ds:schemaRefs>
</ds:datastoreItem>
</file>

<file path=customXml/itemProps3.xml><?xml version="1.0" encoding="utf-8"?>
<ds:datastoreItem xmlns:ds="http://schemas.openxmlformats.org/officeDocument/2006/customXml" ds:itemID="{CA60AA95-32E3-4D15-A0FA-4D3382209F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83d79-3f54-4cd2-83a7-8b04ed61dd48"/>
    <ds:schemaRef ds:uri="cf752909-19a1-4027-9351-ac279437f2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2011-04-27T13:51:08Z</dcterms:created>
  <dc:creator>Mauricio</dc:creator>
  <dc:description/>
  <dc:language>es-CL</dc:language>
  <cp:lastModifiedBy/>
  <dcterms:modified xsi:type="dcterms:W3CDTF">2026-04-12T17:50:44Z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0x0101007C1D851B82D6504F97FE9747B6251760</vt:lpwstr>
  </property>
  <property fmtid="{D5CDD505-2E9C-101B-9397-08002B2CF9AE}" pid="3" name="MediaServiceImageTags">
    <vt:lpwstr/>
  </property>
</Properties>
</file>