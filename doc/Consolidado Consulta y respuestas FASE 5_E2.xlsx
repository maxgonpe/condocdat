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Hoja6" sheetId="1" state="hidden" r:id="rId2"/>
    <sheet name="Tabla General" sheetId="2" state="visible" r:id="rId3"/>
  </sheets>
  <definedNames>
    <definedName function="false" hidden="false" name="SegmentaciónDeDatos_Especialidad" vbProcedure="false">#N/A</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<sst xmlns="http://schemas.openxmlformats.org/spreadsheetml/2006/main" count="2151" uniqueCount="883">
  <si>
    <t xml:space="preserve">Preguntas</t>
  </si>
  <si>
    <t xml:space="preserve">Respuestas</t>
  </si>
  <si>
    <t xml:space="preserve">Tecsa</t>
  </si>
  <si>
    <t xml:space="preserve">Propamat</t>
  </si>
  <si>
    <t xml:space="preserve">Fleischmann S. A.</t>
  </si>
  <si>
    <t xml:space="preserve">Global Data</t>
  </si>
  <si>
    <t xml:space="preserve">CS Energy</t>
  </si>
  <si>
    <t xml:space="preserve">GENERAL/ADM</t>
  </si>
  <si>
    <t xml:space="preserve">OOCC</t>
  </si>
  <si>
    <t xml:space="preserve">BMS</t>
  </si>
  <si>
    <t xml:space="preserve">SEGURIDAD</t>
  </si>
  <si>
    <t xml:space="preserve">TELECOM</t>
  </si>
  <si>
    <t xml:space="preserve">ELECTRICO</t>
  </si>
  <si>
    <t xml:space="preserve">HVAC</t>
  </si>
  <si>
    <t xml:space="preserve">PCI</t>
  </si>
  <si>
    <t xml:space="preserve">IIFF</t>
  </si>
  <si>
    <t xml:space="preserve">EHS</t>
  </si>
  <si>
    <t xml:space="preserve">COMISIONAMIENTO</t>
  </si>
  <si>
    <t xml:space="preserve">DETECCION</t>
  </si>
  <si>
    <t xml:space="preserve">Sitio: Odata ST01 EX05</t>
  </si>
  <si>
    <t xml:space="preserve">Proyecto: RFP ODATA -DC ST01 EX05 </t>
  </si>
  <si>
    <t xml:space="preserve">n°</t>
  </si>
  <si>
    <t xml:space="preserve">n° interno</t>
  </si>
  <si>
    <t xml:space="preserve">GC</t>
  </si>
  <si>
    <t xml:space="preserve">Tipo de Consulta</t>
  </si>
  <si>
    <t xml:space="preserve">Especialidad</t>
  </si>
  <si>
    <t xml:space="preserve">Pregunta</t>
  </si>
  <si>
    <t xml:space="preserve">Documento relacionado</t>
  </si>
  <si>
    <t xml:space="preserve">Respuesta</t>
  </si>
  <si>
    <t xml:space="preserve">Observación</t>
  </si>
  <si>
    <t xml:space="preserve">Respondido</t>
  </si>
  <si>
    <t xml:space="preserve">Columna1</t>
  </si>
  <si>
    <t xml:space="preserve">indicar que software o plataforma es la existente para sistema de CCTV y Control de Acceso</t>
  </si>
  <si>
    <t xml:space="preserve">Avigilion.</t>
  </si>
  <si>
    <t xml:space="preserve">Validar con Oscar Lopez</t>
  </si>
  <si>
    <t xml:space="preserve">BMS: Confirmar que la licencia requerida para la plataforma Ignition es la versión Pro </t>
  </si>
  <si>
    <t xml:space="preserve">Ignition, considerar licencia para Gateway principal y otra para Gateway de respaldo.</t>
  </si>
  <si>
    <t xml:space="preserve">Preguntar a Oscar Lopez de Odata</t>
  </si>
  <si>
    <t xml:space="preserve">SEGURIDAD ELECTRONICA: Favor mencionar modelo, marca, y versión del BMS actual.</t>
  </si>
  <si>
    <t xml:space="preserve">Securtity expert.</t>
  </si>
  <si>
    <t xml:space="preserve">Por favor indicar caída de presión para poder cotizar equipos fan-coils. </t>
  </si>
  <si>
    <t xml:space="preserve">No considerar fancoils.</t>
  </si>
  <si>
    <t xml:space="preserve">Por favor aclarar porque la ficha de equipos fancoils esta dentro de una carpeta que dice anulados.</t>
  </si>
  <si>
    <t xml:space="preserve">ODA-0004-CLI-HD-009</t>
  </si>
  <si>
    <t xml:space="preserve">Confirmar que los equipos CRAC son suministrados por Odata, ya que en pagina 23 de EE.TT. No se menciona. Sin embargo se entrega documento ODA-0004-CLI-RFQ-005 que confunde porque es el mismo documento para equipos: Chillers, deltacube, crah que son suministrados por Odata. Por favor aclarar</t>
  </si>
  <si>
    <t xml:space="preserve">RFP INSTALCIONES EX05_REV2, página 23</t>
  </si>
  <si>
    <t xml:space="preserve">Ver respuesta 83.</t>
  </si>
  <si>
    <t xml:space="preserve">Por favor indicar cuanto peso por m2 resiste la viga para poder calcular el soporte de cañerías y el soporte considerado puede perforar la viga?</t>
  </si>
  <si>
    <t xml:space="preserve">Ver Respuesta 448.</t>
  </si>
  <si>
    <t xml:space="preserve">Confirmar norma ASME B31.3  para soldadura por lo tanto no se requiere tintas penetrantes ni ensayos radiográficos</t>
  </si>
  <si>
    <t xml:space="preserve">ODA-0004-CLI-ET-009 </t>
  </si>
  <si>
    <t xml:space="preserve">Ver respuesta 473.</t>
  </si>
  <si>
    <t xml:space="preserve">Por favor confirmar que podemos trabajar bajo norma ASME B31.3 y no bajo norma AWSD 1.1 solicitada en documento. La norma solicitada se utiliza en el diseños de estructuras y no aplica para la especialidad de climatización que trabaja a baja presiones.</t>
  </si>
  <si>
    <t xml:space="preserve">Confirmamos que, para el alcance de climatización, corresponde la aplicación de la norma ASME B31.3 (Process Piping) .
No obstante, en relación con los soportes de tuberías y equipos, estos constituyen elementos de carácter estructural secundario, por lo que las soldaduras asociadas se encuentran reguladas por la norma AWS D1.1 – Structural Welding Code – Steel. 
En ambos casos el Proponente deberá presentar los dossier de Calidad de los suministros con sus respectivos ensayos, siendo obligatoria en todo caso la inspección certificada de las soldaduras.</t>
  </si>
  <si>
    <t xml:space="preserve">Indicar si la cantidad de equipos CRAC-FCU-BMS corresponden a 2 o 3 unidades (Planos figuran 2, fichas figuran 3 unidades)</t>
  </si>
  <si>
    <t xml:space="preserve">ODA-0004-CLI-PL-003</t>
  </si>
  <si>
    <t xml:space="preserve">Existen de ambas configuraciones.</t>
  </si>
  <si>
    <t xml:space="preserve">Se solicita confirmar la necesidad de demoler el tramo de banco de ductos señalado en el plano ODA-0004-TEL-PL-0004, tomando en cuenta que los pavimentos de hormigón en dicho sector están terminados.</t>
  </si>
  <si>
    <t xml:space="preserve">ODA-0004-TEL-PL-0004</t>
  </si>
  <si>
    <t xml:space="preserve">No, las partidas de ese plano ya están ejecutadas</t>
  </si>
  <si>
    <t xml:space="preserve">Se solicita entregar el plano de estructura de la parrilla nivel +497,4, indicado en listado de planos (ODA-0004-EST-PL-020). Se requiere para evaluar apropiadamente los soportes de las instalaciones y cielos falsos que deben colgarse de la misma</t>
  </si>
  <si>
    <t xml:space="preserve">ODA-0004-ARQ-PL-097</t>
  </si>
  <si>
    <t xml:space="preserve">Se adjunta.</t>
  </si>
  <si>
    <t xml:space="preserve">De acuerdo a lo señalado en el punto 5.10.2 de las EE.TT. Los revestimientos en ambas caras deben recubrir todos los elementos estructurales dejando una superficie lisa desde el NPT hasta el cielo o remate de encuentro superior. Se solicita confirmar que no se requieren pinturas sobre el nivel de cielo falso.</t>
  </si>
  <si>
    <t xml:space="preserve">ODA-0004-ARQ-ET-001
</t>
  </si>
  <si>
    <t xml:space="preserve">Si, se confirma solo para los recintos que tienen cielo falsos.</t>
  </si>
  <si>
    <t xml:space="preserve">Se solicita confirmar que los refuerzos en tabiques y ventanas se encuentran ejecutados, y que sólo se requiere verificar las medidas antes de mandar a fabricar. En caso contrario se requiere que nos entreguen los planos de estructuras correspondientes</t>
  </si>
  <si>
    <t xml:space="preserve">ODA-0004-ARQ-ET-001</t>
  </si>
  <si>
    <t xml:space="preserve">Ver respuesta 51.</t>
  </si>
  <si>
    <t xml:space="preserve">Se solicita confirmar que todas las estructuras que requieren protección al fuego mediante pintura intumescente ya están pintadas, incluyendo las escaleras de escape. De no ser así, se requiere la entrega de los planos de cálculo para hacer estudio de masividades  y poder estimar los espesores requeridos de acuerdo a lo señalado en el punto 6.7.3 de las EE.TT., o que se entreguen los esquemas de pintura a utilizar.</t>
  </si>
  <si>
    <t xml:space="preserve">No es alcance de este RFP la estructura principal y pintura intumescente.</t>
  </si>
  <si>
    <t xml:space="preserve">Confirmar que el 100% de racks  y PDU serán parte del suministro ODATA. ( Rack Principal y Rack de acceso)</t>
  </si>
  <si>
    <t xml:space="preserve">Odata proveerá los racks del proyecto, estos serán entregados sobre camión en obra. El proponente deberá realizar su desplazamiento horizontal y vertical hasta su punto de instalación, realizando los respectivos anclajes del mismo e instalando todos los dispositivos asociados al mismo.</t>
  </si>
  <si>
    <t xml:space="preserve">Confirmar que los equipos Access Point serán parte del suministro ODATA</t>
  </si>
  <si>
    <t xml:space="preserve">Si, se confirma.</t>
  </si>
  <si>
    <t xml:space="preserve">Se deberá considerar en esta etapa canalizaciones Fiber Runner.</t>
  </si>
  <si>
    <t xml:space="preserve">No forma parte del alcance de este RFP</t>
  </si>
  <si>
    <t xml:space="preserve">Se deberá considerar Estación de Monitoreo (Onyxworks) para sistema de detección de incendio o este es existente en etapa anterior </t>
  </si>
  <si>
    <t xml:space="preserve">Si, se debe considerar una Estacion de Monitoreo.</t>
  </si>
  <si>
    <t xml:space="preserve">Para la ejecución  de sistemas de Seguridad Electrónica se deberán considerar subcontrato aprobados por Odata, o  podremos utilizar mano de obra calificada y certificada propia del proponente.</t>
  </si>
  <si>
    <t xml:space="preserve">Pueden utilizar mano de obra calificada y certificada por el Proponente</t>
  </si>
  <si>
    <t xml:space="preserve">Favor confirmar marca y modelos de Cámaras de sistema Video Vigilancia</t>
  </si>
  <si>
    <t xml:space="preserve">Cámaras marca Pelco</t>
  </si>
  <si>
    <t xml:space="preserve">Según lo indicado en el RFP INSTALCIONES EX05_REV2 se solicita indica en ANEXO XIII  no indica el uso del edificio que se muestra en planta entre zona 2 Y ZONA 6. Esta zona estará disponible para su uso?</t>
  </si>
  <si>
    <t xml:space="preserve">5.1.1      ORGANIZACIÓN DE LA INSTALACIÓN DE FAENA, Anexo XIII_Esquema Instalación de Faenas</t>
  </si>
  <si>
    <t xml:space="preserve">Ver Respuesta 457</t>
  </si>
  <si>
    <t xml:space="preserve">Según lo indicado en el RFP INSTALCIONES EX05_REV2 se solicita indica en ANEXO XIII posibles ubicaciones para futuros contenedores. Se solicita indicar si las zonas junto a los estacionamientos, donde se ven materiales al suelo , estará despejada y disponible para uso.</t>
  </si>
  <si>
    <t xml:space="preserve">Si, se confirma lo indicado. No obstante, el PROPONENTE deberá presentar un Plan de Movilización e Instalaciones de Faena para su revisión y aprobación por parte de ODATA, como requisito previo al inicio de los trabajos.</t>
  </si>
  <si>
    <t xml:space="preserve">Según lo indicado en el RFP INSTALCIONES EX05_REV2 se solicita indica si la bodega Odata N° 3 del ANEXO XIII estará disponible para uso del proponente.</t>
  </si>
  <si>
    <t xml:space="preserve">No, es uso exclusivo de Odata </t>
  </si>
  <si>
    <t xml:space="preserve">Según lo indicado en el RFP INSTALCIONES EX05_REV2 se solicita indica capacidad para comedor, no indicado en el ANEXO XIII</t>
  </si>
  <si>
    <t xml:space="preserve">Son 6 módulos con capacidad para 30 personas cada uno.</t>
  </si>
  <si>
    <t xml:space="preserve">Según lo indicado en el RFP INSTALCIONES EX05_REV2 Se solicita indica la capacidad eléctrica del instalación de faena actual y disponibilidad de potencia para conexión de futuros contenedores.</t>
  </si>
  <si>
    <t xml:space="preserve">5.1.1      ORGANIZACIÓN DE LA INSTALACIÓN DE FAENA</t>
  </si>
  <si>
    <t xml:space="preserve">Empalme de 300 kVA</t>
  </si>
  <si>
    <t xml:space="preserve">En base a la respuesta N°55 Se solicita indicar el alcance del permiso de edificación actual si tienen incluidas las obras de este contrato y solo se debe modificar el constructor, favor compartir el permiso actual de construcción.</t>
  </si>
  <si>
    <t xml:space="preserve">Existe permiso de edificación para la ejecución de las obras de este contrato. </t>
  </si>
  <si>
    <t xml:space="preserve">Según lo indicado en el RFP INSTALCIONES EX05_REV2 se solicita indicar si los TAG de los equipos suministrados por el cliente, son del alcance del proveedor.</t>
  </si>
  <si>
    <t xml:space="preserve">4.6             TAG – Identificación de los equipos</t>
  </si>
  <si>
    <t xml:space="preserve">Son alcance del proveedor</t>
  </si>
  <si>
    <t xml:space="preserve">Según lo indicado en el RFP INSTALCIONES EX05_REV2 se solicita indicar si los TAG son solo en español.</t>
  </si>
  <si>
    <t xml:space="preserve">Si, solo en español</t>
  </si>
  <si>
    <t xml:space="preserve">Según lo indicado en el RFP INSTALCIONES EX05_REV2, De acuerdo a la respuesta N°63,64,65,66,68 .Se solicita aclarar que partidas requieren Ensayos de hormigón y acero estructural, Ensayos de compactación de suelos, Áreas sometidas a procesos de impermeabilización, en vista que las respuesta anteriores indican que esto no es parte del alcance y que está ejecutado.</t>
  </si>
  <si>
    <t xml:space="preserve">4.5             Control de calidad – Materiales y servicios</t>
  </si>
  <si>
    <t xml:space="preserve">De acuerdo a lo especificado y normativa nacional vigente para las partidas que se ejecutaran. </t>
  </si>
  <si>
    <t xml:space="preserve">Se solicita aclaración para dar cumplimiento al pto 4.3.8 RFP INSTALCIONES EX05_REV2 , el hito indicado en el Anexo III "Entrega final de ingeniería de
suportaciones" es de responsabilidad del proponente? , en caso de ser afirmativo, se requiere fecha de entrega de PLANOS y MODELO BIM IFC coordinado con la parrilla existente (alturas y ubicación) ya que hay instalaciones que chocan con vigas estructurales en el modelo entregado.</t>
  </si>
  <si>
    <t xml:space="preserve">ANEXO III_Programa de Construcción ST01 Fase 5-E2_revA, RFP INSTALCIONES EX05_REV2</t>
  </si>
  <si>
    <t xml:space="preserve">Es responsabilidad del Proponente, ver respuestas 23, 140, 236 y 241 .
Ver numerales 4.3.8, 5.4 y 5.5 del RFP</t>
  </si>
  <si>
    <t xml:space="preserve">Se solicita enviar memorias de cálculo de la parrilla metálica destinada a la suspensión de cielos e instalaciones, incluyendo la capacidad portante y límites de carga admisibles del sistema., que contenga Esquemas y planos de la parrilla metálica. 
criterios de diseño y normas de referencia utilizadas, cálculos de capacidad de carga y factores de seguridad considerados, recomendaciones para la configuración de la Soportación en función de los pesos previstos.</t>
  </si>
  <si>
    <t xml:space="preserve">4.3.8             Ingeniería y Suministro de Sistemas de Soportación de especialidades.</t>
  </si>
  <si>
    <t xml:space="preserve">Indicar si la Carta Gantt recibida como antecedente tiene días corridos o hábiles, además el calendario no contienen feriados.</t>
  </si>
  <si>
    <t xml:space="preserve">Debe ser utilizada para entender los plazos generales, la programación de la obra y la configuración de días trabajados feriados etc., es de exclusiva responsabilidad del proponente. </t>
  </si>
  <si>
    <t xml:space="preserve">La canalización de Fibra Óptica (Fiber Runner) se deberá considerar en esta etapa junto con las bajadas a cada Rack?</t>
  </si>
  <si>
    <t xml:space="preserve">No  </t>
  </si>
  <si>
    <t xml:space="preserve">Estación de Monitoreo (Onyxworks) Se deberá considerar para esta etapa o es existente en etapas anteriores?</t>
  </si>
  <si>
    <t xml:space="preserve">Se debe considerar</t>
  </si>
  <si>
    <t xml:space="preserve">Se solicita mode y marca de los sensores de movimiento, o equivalente técnico.</t>
  </si>
  <si>
    <t xml:space="preserve">El proveedor adjudicado deberá presentar la propuesta para este elemeto y esta deberá ser validada por Odata</t>
  </si>
  <si>
    <t xml:space="preserve">Se solicita indicar hasta que eje se debe considerar el suministro de los Pararrayos y el FLEJE DE ALUMINIO 25x8mm (1"x1/4") -  en el ed. General</t>
  </si>
  <si>
    <t xml:space="preserve">Solo lo indicado como Fase 5, eje CL.</t>
  </si>
  <si>
    <t xml:space="preserve">Se solicita indicar hasta que eje se debe considerar el alumbrado perimetral del ed. General</t>
  </si>
  <si>
    <t xml:space="preserve">El alcance del Alumbrado perimetral es hasta el eje CL.</t>
  </si>
  <si>
    <t xml:space="preserve">Se solicita confirmar si las bases de los poste de CCTV se encuentran aterrizadas, y con el cable de tierra para aterrizar el poste.</t>
  </si>
  <si>
    <t xml:space="preserve">Es alcance del Proponente.</t>
  </si>
  <si>
    <t xml:space="preserve">Se solicita confirmar si las bases de los poste de alumbrado se encuentran aterrizadas, y con el cable de tierra para aterrizar el poste.</t>
  </si>
  <si>
    <t xml:space="preserve">Se solicita confirmar si las cámaras Eléctricas se encuentra aterrizadas y barra con terminales.</t>
  </si>
  <si>
    <t xml:space="preserve">Se solicita confirmar si las cámaras Eléctricas se encuentra con la ferretería para el paso de los conductores.</t>
  </si>
  <si>
    <t xml:space="preserve">Se solicita confirmar si las Canastillo porta conductores de Electricidad serán Electro-galvanizadas, Galvanizadas en caliente o pintadas "indicar color", para las de interior como las de exterior</t>
  </si>
  <si>
    <t xml:space="preserve">Considerar galvanizados en caliente para exterior y electro-galvanizados para interior.</t>
  </si>
  <si>
    <t xml:space="preserve">Se solicita confirmar si las Bandejas porta conductores de Electricidad serán Electro-galvanizadas, Galvanizadas en caliente o pintadas "indicar color", para las de interior como las de exterior</t>
  </si>
  <si>
    <t xml:space="preserve">Considerar galvanizadas en caliente para exterior y electro-galvanizadas para interior.</t>
  </si>
  <si>
    <t xml:space="preserve">Se solicita confirmar si las Escalerillas porta conductores de Electricidad serán Electro-galvanizadas, Galvanizadas en caliente o pintadas "indicar color", para las de interior como las de exterior</t>
  </si>
  <si>
    <t xml:space="preserve">Se solicita la Ubicación de los XFMR-SDU-AUT-7.1 y XFMR-SDU-AUT-7.2</t>
  </si>
  <si>
    <t xml:space="preserve">Considerar en salas eléctricas 7.1 y 7.2 respectivamente.</t>
  </si>
  <si>
    <t xml:space="preserve">En la sala Eléctrica 7.R se proyectan tableros ATS-FL-8.1 y XFMR-FL-8.1, se solicita confirmar que corresponden a las 7.R</t>
  </si>
  <si>
    <t xml:space="preserve">Se confirma que tableros corresponden a sala eléctrica 7.R (ATS-FL-7.R y XFMR-FL-7.R).</t>
  </si>
  <si>
    <t xml:space="preserve">En la sala Eléctrica 7.2 se proyectan tableros T.D.A.F.-DP.FL-9.3, se solicita confirmar que corresponden a las 7.2</t>
  </si>
  <si>
    <t xml:space="preserve">Se confirma que tablero corresponde a sala eléctrica 7.2 (T.D.A.F.-DP.FL-7.2).</t>
  </si>
  <si>
    <t xml:space="preserve">En la sala Eléctrica 7.R se proyectan tableros T.D.A.F.-FL-LP-8.1 y T.D.A.F.-DP.FL-8.1, se solicita confirmar que corresponden a las 7.R</t>
  </si>
  <si>
    <t xml:space="preserve">Se confirma que tableros corresponden a sala eléctrica 7.R (T.D.A.F.-FL-LP-7.R  y T.D.A.F.-DP.FL-7.R).</t>
  </si>
  <si>
    <t xml:space="preserve">Se solicita enviar la Ubicación del tablero F5-T.D.F-FL-T.H.</t>
  </si>
  <si>
    <t xml:space="preserve">Considerar en patio de equipos.</t>
  </si>
  <si>
    <t xml:space="preserve">Se solicita indicar el largo del alimentador "Alimentación Celda MT Transformador XFMR-6.2/ MV Cell Power Supply Transformer XFMR-6.2" de media tensión que vienen desde las salas Eléctricas Existentes, ya que no se aprecian planos del recorrido completo para cubicar el largo.</t>
  </si>
  <si>
    <t xml:space="preserve">Se envía plano ODA-0003-ELE-PL-002.</t>
  </si>
  <si>
    <t xml:space="preserve">Se solicita indicar el largo del alimentador "Alimentación Switchgear N°2 / Power Supply Switchgear N°2" de media tensión que vienen desde las salas Eléctricas Existentes, ya que no se aprecian planos del recorrido completo para cubicar el largo.</t>
  </si>
  <si>
    <t xml:space="preserve">Revisar planta banco de ductos 02 de plano ODA-0004-ELE-PL-003.</t>
  </si>
  <si>
    <t xml:space="preserve">Se solicita especifica la sección del conductor desnudo que se debe considerar para aterrizar las bandejas, escalerilla y canastillo porta conductores de Telecom.?</t>
  </si>
  <si>
    <t xml:space="preserve">Considerar conductor de cobre desnudo de 4 AWG.</t>
  </si>
  <si>
    <t xml:space="preserve">Se solicita especifica la sección del conductor desnudo que se debe considerar para aterrizar las bandejas, escalerilla y canastillo porta conductores de electricidad.?</t>
  </si>
  <si>
    <t xml:space="preserve">Se solicita confirmar quien será el responsable del suministro del petróleo para las pruebas de comisionamineto, cuantos litros se debe considerar.</t>
  </si>
  <si>
    <t xml:space="preserve">Es responsabilidad del Proponente. Ver alcance del RFP.</t>
  </si>
  <si>
    <t xml:space="preserve">Se solicita confirmar quien será el responsable del suministro de los banco de carga para las pruebas de comisionamineto, cuanto tiempo de arriendo se debe considerar.</t>
  </si>
  <si>
    <t xml:space="preserve">Se solicita confirmar quien será el responsable del suministro y montaje de las bandejas tipo DLP que se proyectan en muebles y muros en el ed. Administrativo, de ser del GC se solicita enviar EETT o detalles técnicos para su valorización.</t>
  </si>
  <si>
    <t xml:space="preserve">ODA-0004-ELE-PL-051</t>
  </si>
  <si>
    <t xml:space="preserve">No forman parte del alcance de este RFP.</t>
  </si>
  <si>
    <t xml:space="preserve">En el documento "Consolidado Consulta y respuestas FASE 5_E2_r0", ítem n°19 se consulta por la Ubicación de los  Cargadores de Vehículos, pero en los planos que entregaron como respuesta no especifica la ubicación, se solicita enviar ubicación de estos cargadores.</t>
  </si>
  <si>
    <t xml:space="preserve">Ver respuesta 19.</t>
  </si>
  <si>
    <t xml:space="preserve">Se solicita envía documento "ODA-0004-ELE-LI-703" actualizado donde se proyecte el alimentador del tablero TDF-SDU-AUT-7.R.</t>
  </si>
  <si>
    <t xml:space="preserve">Ver Respuesta 295.</t>
  </si>
  <si>
    <t xml:space="preserve">Se solicita envía diagrama unilineal de la lamina "ODA-0004-ELE-PL-703" actualizado donde se proyecte el alimentador del tablero TDF-SDU-AUT-7.R.</t>
  </si>
  <si>
    <t xml:space="preserve">Se solicita confirmar, si Odata será el responsable del suministro y montaje de estos Tableros Principales: 
1.2.1 Distribución Principal T.D.F.-MSB-7.1
1.2.2 Distribución Principal T.D.F.-MSB-7.2
1.2.3 Distribución Principal T.D.F.-MSB-7.R
1.2.4 Distribución Principal T.D.F.-MSB-ADM.2
1.2.5 Tablero de distribución T.D.U.7.1-DP-UPS-7.1
1.2.6 Tablero de distribución T.D.U.7.2-DP-UPS-7.2
1.2.7 Tablero de distribución T.D.U.7.R-DP-UPS-7.R
1.2.8 Tablero de distribución T.D.U.ADM.2-DP-UPS-ADM.2
1.2.9 Tablero T.D.F.-QBM-7.1
1.2.10 Tablero T.D.F.-QBM-7.2
1.2.11 Tablero T.D.F.-QBM-7.R</t>
  </si>
  <si>
    <t xml:space="preserve">Según el documento "RFP INSTALCIONES EX05_REV2" los equipos suministrados por Odata Son:
o	RMU (Ring Main Unit),
o	Transformador XFMR,
o	Grupos Generadores,
o	Sistema UPS, Bancos de Baterías y Tableros de Paralelismo,
o	Conmutador STS (Static Transfer Switch),
o	Unidad PDU (Power Distribution Units),
o	LV Switchgear.
o	Equipos RPP
Pero en el Anexo  IX "ANEXO IX_Listado de Equipos Suministro Odata_rev2", no incluyeron:
oBancos de Baterías y Tableros de Paralelismo,
o	LV Switchgear.
o	Equipos RPP
Se solicita confirmar de forma clara cuales son los equipos que se suministrarán.</t>
  </si>
  <si>
    <t xml:space="preserve">ANEXO IX_Listado de Equipos Suministro Odata_rev2
RFP INSTALCIONES EX05_REV2</t>
  </si>
  <si>
    <t xml:space="preserve">Prevalece listado indicado en el RFP.</t>
  </si>
  <si>
    <t xml:space="preserve">En la Gestión de Interferencias e ISSUES es posible utilizar las nuevas herramientas que el ACC nos ofrece como BIM COLLABORATE PRO</t>
  </si>
  <si>
    <t xml:space="preserve">Es posible pero se acordara con posterioridad al cierre de la licitación. </t>
  </si>
  <si>
    <t xml:space="preserve">El entorno Común de datos indicado en el PEB de proyecto es BIM 360. Informar que éste año BIM 360 dejará de funcionar y tener soporte Autodesk. Confirmar si es posible migrar todo a Autodesk Construcción Cloud: ACC Docs, Model Coordination  y ACC BUILD</t>
  </si>
  <si>
    <t xml:space="preserve">La versión indicada en el PEB Plan de ejecución BIM de proyecto es revit 2022. confirmar si se puede actualizar todo a Revit 2025 o 2026</t>
  </si>
  <si>
    <t xml:space="preserve">No se puede ajustar </t>
  </si>
  <si>
    <t xml:space="preserve">Favor de entregar el Plan de Ejecución BIM para Obra?</t>
  </si>
  <si>
    <t xml:space="preserve">N/A</t>
  </si>
  <si>
    <t xml:space="preserve">Revisado el estado de coordinación de modelos se observan mejoras y oportunidades para minimizar o anular el impacto de la situación a actual de modelos. Para ello es necesario AJUSTAR TRAZADOS es por ello que necesitamos aclarar lo siguiente:</t>
  </si>
  <si>
    <t xml:space="preserve">Favor entregar Plano viales para posicionamiento de grúas y camiones o modelo topográfico y de pavimentación</t>
  </si>
  <si>
    <t xml:space="preserve">Utilizar planos de arquitectura adjuntos, las estrategias de grúas es exclusiva responsabilidad del proponente. </t>
  </si>
  <si>
    <t xml:space="preserve">Favor entregar modelo BIM Asbuilt de arquitectura y estructuras detalladas realmente construidas</t>
  </si>
  <si>
    <t xml:space="preserve">No se requiere y no forma parte de la licitación </t>
  </si>
  <si>
    <t xml:space="preserve">Favor entregar mecánica de suelo </t>
  </si>
  <si>
    <t xml:space="preserve">Favor entregar modelo BIM y estudio topográfico</t>
  </si>
  <si>
    <t xml:space="preserve">Se entrega Modelo BIM, Estudio Topografico No se requiere y no forman parte de la licitación. </t>
  </si>
  <si>
    <t xml:space="preserve">Favor entregar Estudio de inundación y cota mínima instalaciones</t>
  </si>
  <si>
    <t xml:space="preserve">No se requieren y no forman parte de la licitación. </t>
  </si>
  <si>
    <t xml:space="preserve">Se solicita entregar tamaño de estanque de inercia/termo acumulación de Chillers. Proyecto indica 2m3 siendo un volumen insuficiente para termo acumulación.</t>
  </si>
  <si>
    <t xml:space="preserve">Ver Respuesta 321.</t>
  </si>
  <si>
    <t xml:space="preserve">Confirmar si el piso Técnico debe considerar palmetas de alto flujo de aire, si es así, mencionar % del flujo de las palmetas.</t>
  </si>
  <si>
    <t xml:space="preserve">Ver Respuesta 345.</t>
  </si>
  <si>
    <t xml:space="preserve">Para las pruebas de análisis de red, Confirmar si se requiere alguna marca en especial  de instrumentos</t>
  </si>
  <si>
    <t xml:space="preserve">El contratista no deberá realizar analisis de red del suministro electrico.</t>
  </si>
  <si>
    <t xml:space="preserve">Se solicita entregar el ETAP  de la etapa anteriores</t>
  </si>
  <si>
    <t xml:space="preserve">Ver Respuesta 340.</t>
  </si>
  <si>
    <t xml:space="preserve">Se solicita apoyo técnico para el proceso de comisionamiento considerado por el Agente Comisionador. Confirmar si este apoyo técnico considera solo HH o debe incluir instrumentación necesaria</t>
  </si>
  <si>
    <t xml:space="preserve">Considerar Solo HH</t>
  </si>
  <si>
    <t xml:space="preserve">Confirmar que se debe considerar energía de respaldo como mitigación en el proceso de pruebas de comisionamiento</t>
  </si>
  <si>
    <t xml:space="preserve">No se debe considerar</t>
  </si>
  <si>
    <t xml:space="preserve">Confirmar que se utilizará una plataforma para el registro del proceso de comisionamiento</t>
  </si>
  <si>
    <t xml:space="preserve">Ver Respuesta 335.</t>
  </si>
  <si>
    <t xml:space="preserve">Favor de enviar plan de comisionamiento general</t>
  </si>
  <si>
    <t xml:space="preserve">Ver "ANEXO IV_ CUADRO DE HITOS FASE 5.2" y  Programa Referencial "Odata ST01 Fase 5-E2_revB"</t>
  </si>
  <si>
    <t xml:space="preserve">Se solicita fleje de cobre 25x8mm para aterramiento de tableros y equipos. Confirmar si se puede remplazar por cable de cobre desnudo 2/0</t>
  </si>
  <si>
    <t xml:space="preserve">Ofertar lo indicado en proyecto</t>
  </si>
  <si>
    <t xml:space="preserve">Para la continuación del ducto de barra de las etapas futuras de los Colos 8 y 9, se recomienda instalar un tablero seccionador para así no tener que cortar el suministro eléctrico y poder realizar las futuras instalaciones sin ningún problema.</t>
  </si>
  <si>
    <t xml:space="preserve">No se acoge recomendación</t>
  </si>
  <si>
    <t xml:space="preserve">Confirmar que se debe considerar dilatación sísmica para el recorrido de ducto barra</t>
  </si>
  <si>
    <t xml:space="preserve">Confirmar que el alimentador provisorio retirado en la Fase 3 se reutiliza</t>
  </si>
  <si>
    <t xml:space="preserve">No se reutilizará, se debe entregar a Odata</t>
  </si>
  <si>
    <t xml:space="preserve">Confirmar que los conectores CamLock para el proceso de comisionamiento son provistos por el proveedor de los Grupos Electrógenos</t>
  </si>
  <si>
    <t xml:space="preserve">Ver respuesta 327.</t>
  </si>
  <si>
    <t xml:space="preserve">Confirmar que las instalaciones actuales consideran la capacidad eléctrica para todas las etapas de ampliación</t>
  </si>
  <si>
    <t xml:space="preserve">Confirmar que el trabajo de conexionado de las RMU de MT se deberán realizar energizada</t>
  </si>
  <si>
    <t xml:space="preserve">No, se deberá coordinar con el equipo de operaciones el apagado de la RMU para realizar los trabajos en ella</t>
  </si>
  <si>
    <t xml:space="preserve">Confirmar que el calculo de iluminación considera la interferencia volumétrica de equipos dispuestos en el interior de las salas así como también de las canalizaciones aéreas</t>
  </si>
  <si>
    <t xml:space="preserve">Confirmar que es necesario contratar un seguro para los equipos provistos por los proveedores</t>
  </si>
  <si>
    <t xml:space="preserve">No, todo queda bajo el esquema de riesgo de construcción Odata que incluye como beneficiario al adjudicado. </t>
  </si>
  <si>
    <t xml:space="preserve">Una vez que los equipos son entregados por el proveedor, Confirmar que la garantía sigue vigente, una vez que los proveedores instalen sus equipos.</t>
  </si>
  <si>
    <t xml:space="preserve">Los equipos son posicionados, conectados, puestos en marcha y comisionados según el alcance de cada contrato, posterior a esto realizado y protocolizado de manera correcta aplican las garantías de acuerdo al alcance de cada contrato. </t>
  </si>
  <si>
    <t xml:space="preserve">Confirmar que los proveedores de los equipos suministraran bases y anclajes antisísmicos</t>
  </si>
  <si>
    <t xml:space="preserve">Remítase al alcance del RFP para cada equipo indicado.</t>
  </si>
  <si>
    <t xml:space="preserve">¿Se debe considerar sistema de detección de incendio para los Colos 8, 9, salas eléctricas 8.1, 8.2, 9.1, 9.2, corredores técnicos 8.1, 8.2, 9.1 y 9.2?</t>
  </si>
  <si>
    <t xml:space="preserve">¿Se debe considerar el suministro e instalación de los racks de comunicaciones y PDU Verticales?</t>
  </si>
  <si>
    <t xml:space="preserve">Se deben considerar en la Oferta</t>
  </si>
  <si>
    <t xml:space="preserve">¿Se debe considerar el suministro, instalación y configuración del equipamiento activo (Router, Firewall, Switch, Access Point?</t>
  </si>
  <si>
    <t xml:space="preserve">Odata suministrará y configurará. El Proponente deberá apoyar con la instalación y el aporte de todos los misceláneos para su puesta en servicio</t>
  </si>
  <si>
    <t xml:space="preserve">¿Se deben suministrar los servidores de grabación de 400TB para la grabación de video?</t>
  </si>
  <si>
    <t xml:space="preserve">Odata suministrará los servidores correspondiente, en donde el Proponente debe aportar todos los misceláneos y apoyar con su instalación</t>
  </si>
  <si>
    <t xml:space="preserve">¿Se puede utilizar módulos de entradas y salidas compatibles con la plataforma existente SecurityXpert para los tableros TIM?</t>
  </si>
  <si>
    <t xml:space="preserve">Si, se puede considerar.</t>
  </si>
  <si>
    <t xml:space="preserve"> ¿Se debe considerar enlaces redundantes para los tableros convertidores de medios de las cámaras exteriores?</t>
  </si>
  <si>
    <t xml:space="preserve">¿El tablero QA-AGREG-002 debe considerarse todo el equipamiento que salen en el documento ODA-0004-AUT-PL-0001?</t>
  </si>
  <si>
    <t xml:space="preserve">Solo Colo 7, sin embargo el tablero deberá estar adecuado para la integración de los dispositivos futuros</t>
  </si>
  <si>
    <t xml:space="preserve">¿Se debe considerar el suministro, instalación y configuración del sistema Tahuya (controladores y tablero)?</t>
  </si>
  <si>
    <t xml:space="preserve">Para video wall de la sala NOC ¿Se debe considerar Video Wall de 24 pantallas de la marca BARCO?</t>
  </si>
  <si>
    <t xml:space="preserve">Debe ser de 24 pantallas y la marca debe cumplir las EETT del proyecto</t>
  </si>
  <si>
    <t xml:space="preserve">¿Se debe considerar el cableado de los sensores de temperatura y humedad, sensores de temperatura ambiental, de presión diferencial, transmisores de temperatura, válvulas de presión y leak detectors del sistema Delta Cube?</t>
  </si>
  <si>
    <t xml:space="preserve">¿Se debe considerar mejoras a los servidores del Scada Ignition? o ¿Se debe considerar nuevos servidores para el Scada Ignition?</t>
  </si>
  <si>
    <t xml:space="preserve">Confirmar que el sistema de descargas atmosféricas (pararrayos), debe ser considerado de acuerdo al modelo de la etapa anterior (pararrayos activo), lo cual reemplazaría a lo proyectado en laminas de la presenta licitación.</t>
  </si>
  <si>
    <t xml:space="preserve">Si, se confirma pararrayos activo.</t>
  </si>
  <si>
    <t xml:space="preserve">De acuerdo a la respuesta 73 de las pasadas consultas "Respecto de los equipos o grupos Generadores, confirmar que para procesos de Start-Up, pruebas y comisionamiento, el suministro de Petróleo deberá ser considerado por Proveedor o cliente según corresponda." se indico que este ítem era parte del proponente, favor enviar la ficha técnica de los grupos, por cuanto tiempo se requerirán las pruebas y que tipo de pruebas.</t>
  </si>
  <si>
    <t xml:space="preserve">Ver respuesta 282.</t>
  </si>
  <si>
    <t xml:space="preserve">Favor indicar cuantos cargadores de vehículos serán requeridos en esta fase, debido a que en planos de arquitectura figuran 3 y en diagramas unilineales eléctricos figura 1 arranque.</t>
  </si>
  <si>
    <t xml:space="preserve">Ver Resppuesta 287.</t>
  </si>
  <si>
    <t xml:space="preserve">Declarar por parte de ODATA ,que las canaletas de ALL de todo el perimetral del edificio , están colocadas y selladas ,y que solo faltan el empalme de cubetas y bajadas de ALL de PVC  d = 160 mm ,según  planos </t>
  </si>
  <si>
    <t xml:space="preserve">Declarar por parte de ODATA   , si se fabrican  y se colocan las escaleras metálicas de SALIDA A EXTERIOR DESDE  SALAS ELECTRICAS ... EJE C1                                    plano ODA-004-ARQ-PL-45 y otros </t>
  </si>
  <si>
    <t xml:space="preserve">Considerar suministro e instalación de las 8 unidades ubicadas entre eje BK y CL.</t>
  </si>
  <si>
    <t xml:space="preserve">Declarar por parte de ODATA  que NO se pinta el piso del DATA HALL  Colo 7  , y se entrega tal cual como  se recibe en esta nueva etapa al inicio de los trabajos </t>
  </si>
  <si>
    <t xml:space="preserve">No se pinta y se debe entregar completamente limpio.</t>
  </si>
  <si>
    <t xml:space="preserve">los FAN WALL  , por el lado de los pasillos técnicos , deben considerar fuelle elástico de loneta ?, para impedir ingreso de polvo al interior DATA HALL </t>
  </si>
  <si>
    <t xml:space="preserve">Si, Los equipos quedan dentro del vano y requieren sello entre el vano del tabique y el equipo.</t>
  </si>
  <si>
    <t xml:space="preserve">En el primer detallado de consultas y respuestas , enviado por ODATA  ( R 54 ) indica que no se ejecutan las mallas metálicas de protección en los tabiques divisorios del DATA HALL N° 7 ,.la consulta es :  En relación a los vanos en la línea de tabique , que recibirán los equipos FAN WALL , estos  vanos  por el interior del DATA HALL,  llevaran  Malla Metálica enmarcada,  para protección de los mismos? </t>
  </si>
  <si>
    <t xml:space="preserve">Los tabiques de Mallas se ejecutan en etapa previa.
Los vanos para estos equipos No requieren mallas por el interior de la Sala de Datos.</t>
  </si>
  <si>
    <t xml:space="preserve">La red de agua potable que se traerá desde el MAP, que se ubica en el acceso principal de ODATA LAMPA , debe atravesar o pasar por varios recintos habilitados y funcionando a pleno , como se realizara este atravieso de cañerías aéreas ?, se podrá hacer en horario nocturno ?, se podrá utilizar equipo móvil elevador de tijeras o andamios con ruedas ? además,  el plano ODA-004-SAN-PL-016 , indica que la tubería será HDPE 75 MM  y que ira bajo losa , entonces eso significa que ira en entretecho ?  entre el bajo losa y cielo ? </t>
  </si>
  <si>
    <t xml:space="preserve">Ver respuesta 130.
Es responsabilidad del Proponente a la planificación de los trabajos y sus recursos asociados.
La Matriz indicada va adosada la fachada y bajo losa (Zócalo del edificio Existente). 
</t>
  </si>
  <si>
    <t xml:space="preserve">En planos,  ODA-004-SAN-PL-010  y ODA-004-SAN-PL-011, se indica y detalla EAPO  (destacado en color celeste ) se debe construir ?</t>
  </si>
  <si>
    <t xml:space="preserve">Ver respuesta 130.</t>
  </si>
  <si>
    <t xml:space="preserve">ELECTRICO: Se solicita aclarar si se requerirá de servicio de paramédico para proceso de conexionado definitivo y puesta en marcha. En tal caso, se solicita detallar claramente el estándar a considerar.</t>
  </si>
  <si>
    <t xml:space="preserve">Si, se confirma. Ver alcance en RFP.</t>
  </si>
  <si>
    <t xml:space="preserve">PLAZO: Se solicita aumento de plazo en 1 semana para la entrega de la oferta.</t>
  </si>
  <si>
    <t xml:space="preserve">Se evaluará.</t>
  </si>
  <si>
    <t xml:space="preserve">SEG: Confirmar que en la FASE 5 tiene como alcance las siguientes cámaras  y control de acceso:  CFB-GEN8-001, CA-TCG8-001, CMP-GEN8-001, CFB-GEN8-002, CA-TCG8-003, CFB-GEN8-003, CFB-GEN9-001, CFB-GEN9-002, CMP-GEN9-001, CFB-GEN9-003, CFB-GEN9-004, CFB-GEN9-005, CFB-GEN9-006, CFB-CR9.1-004, CFB-CR9.1-003, FB-CR9.1-002, CFB-CR9.1-001, 
 </t>
  </si>
  <si>
    <t xml:space="preserve">Considerar todo lo descrito como Fase 5 en la arquitectura de comunicación del proyecto</t>
  </si>
  <si>
    <t xml:space="preserve">SEG: ¿Es alcance de la especialidad Seguridad, considerar los patch core, jumper, cabecera de FO en Rack y Cabecera de FO en Tableros de CCTV?</t>
  </si>
  <si>
    <t xml:space="preserve">SEG: ¿La especialidad de Seguridad debe considerar los módulos SFP para la conexión de la fibra óptica en los media converts?</t>
  </si>
  <si>
    <t xml:space="preserve">SEG: ¿El sistema de Cámaras debe considerar Protección Sobre tensión?, ¿Se debe agregar al itemizado?</t>
  </si>
  <si>
    <t xml:space="preserve">Considerar lo indicado en proyecto</t>
  </si>
  <si>
    <t xml:space="preserve">SEG: El sistema de Seguridad debe considerar las workstation para los operadores, Monitores, Videowall para la sala NOC. Favor especificar cantidades.</t>
  </si>
  <si>
    <t xml:space="preserve">Considerar las cantidades descritas en la arquitectura de comunicación de BMS incluyendo las 16 pantallas indicadas como futuras</t>
  </si>
  <si>
    <t xml:space="preserve">BMS: En itemizado principal no aparece especificado Workstation, videowall, servidores. Sin embargo se mencionan en EETT. Favor aclarar.</t>
  </si>
  <si>
    <t xml:space="preserve">BMS: En listado de puntos BMS, aparecen puntos asociados a la Fase 6. confirmar si estos puntos se deben incluir o no son parte de esta etapa.</t>
  </si>
  <si>
    <t xml:space="preserve">Considerar solo para la Fase 5.</t>
  </si>
  <si>
    <t xml:space="preserve">BMS: Confirmar si se debe considerar la instrumentación proyectada en los Colos Colos 7,8 y 9. </t>
  </si>
  <si>
    <t xml:space="preserve">BMS: ¿ Es posible que la solución cuente solo con dos servidores los cuales incluyan bases de datos y licencia Ignition?</t>
  </si>
  <si>
    <t xml:space="preserve">NO. Considerar solo lo indicado en proyecto</t>
  </si>
  <si>
    <t xml:space="preserve">BMS: ¿ El tablero Fiber Glass será suministrado por BMS? </t>
  </si>
  <si>
    <t xml:space="preserve">Es suministro del Proponente</t>
  </si>
  <si>
    <t xml:space="preserve">BMS: ¿ El tablero Heat Tracer será suministrado por BMS?</t>
  </si>
  <si>
    <t xml:space="preserve">BMS: ¿ El controlador Tacuya JACE 8000 puede ser reemplazado por un controlador Autónomo de Schneider que integre protocolos Modbus y Bacnet?</t>
  </si>
  <si>
    <t xml:space="preserve">BMS: ¿ El controlador HEAT TRACER será Suministrado por la disciplina de HVAC (Bms solo lo integraría)?</t>
  </si>
  <si>
    <t xml:space="preserve">SOPORTES: ¿Existen Especificaciones Técnicas para Soportes de Instalaciones?, enviar</t>
  </si>
  <si>
    <t xml:space="preserve">El proyecto de suportación es referencial, ver alcance en RFP y respuesta 310.</t>
  </si>
  <si>
    <t xml:space="preserve">BIM: Por favor, facilitar modelo BIM Asbuilt de arquitectura y estructuras detalladas realmente construidas</t>
  </si>
  <si>
    <t xml:space="preserve">Ver respuesta 348</t>
  </si>
  <si>
    <t xml:space="preserve">MECANICA DE SUELO: Por favor, pueden facilitar mecánica de suelo</t>
  </si>
  <si>
    <t xml:space="preserve">No es alcance de este  RFP</t>
  </si>
  <si>
    <t xml:space="preserve">BIM: Por favor, facilitar modelo BIM y estudio topográfico</t>
  </si>
  <si>
    <t xml:space="preserve">Se adjunta modelo BIM</t>
  </si>
  <si>
    <t xml:space="preserve">ESTUDIO: Por favor, facilitar Estudio de inundación y cota mínima instalaciones</t>
  </si>
  <si>
    <t xml:space="preserve">HVAC: Se solicita verificación de tamaño de estanque de inercia/termo acumulación de Chillers. Proyecto indica 2m3 siendo un volumen insuficiente para termo acumulación.</t>
  </si>
  <si>
    <t xml:space="preserve">TODAS LAS ESPECIALIDADES: ¿El piso técnico debe considerar palmetas de alto flujo de aire?</t>
  </si>
  <si>
    <t xml:space="preserve">No Considerar</t>
  </si>
  <si>
    <t xml:space="preserve">TELECOMUNICACIONES: ¿Qué marcas se utilizan actualmente en los sistemas de Telecomunicaciones en cuanto a equipos?</t>
  </si>
  <si>
    <t xml:space="preserve">Comescope</t>
  </si>
  <si>
    <t xml:space="preserve">BMS: ¿Qué marcas se utilizan actualmente en los sistemas de BMS en cuanto a equipos?</t>
  </si>
  <si>
    <t xml:space="preserve">Principalmente dispositivos Schneider</t>
  </si>
  <si>
    <t xml:space="preserve">SEGURIDAD ELECTRONICA: ¿Qué marcas se utilizan actualmente en los sistemas de control de acceso y CCTV en cuanto a equipos?</t>
  </si>
  <si>
    <t xml:space="preserve">Cámaras Pelco, Lectoras HID, controladores Schneider</t>
  </si>
  <si>
    <t xml:space="preserve">ELECTRICO: Para las pruebas de análisis de red, ¿se requiere alguna marca en especial  de instrumentos?</t>
  </si>
  <si>
    <t xml:space="preserve">Para las pruebas de análisis de red no se requiere marca en especial</t>
  </si>
  <si>
    <t xml:space="preserve">ELECTRICO: ¿Es posible que nos puedan entregar el ETAP de simulación y análisis eléctrico del proyecto?</t>
  </si>
  <si>
    <t xml:space="preserve">No contamos con dicha información</t>
  </si>
  <si>
    <t xml:space="preserve">TODAS LAS ESPECIALIDADES: Se solicita apoyo técnico para el proceso de comisionamiento considerado por el Agente Comisionador. ¿Este apoyo técnico considera solo HH o debe incluir instrumentación necesaria?</t>
  </si>
  <si>
    <t xml:space="preserve">Los técnicos deberán considerar instrumentación necesaria para medición de voltaje, corriente, presencia de tensión y secuencia de fases</t>
  </si>
  <si>
    <t xml:space="preserve">TODAS LAS ESPECIALIDADES: ¿El “AGENTE COMISIONADOR” es alcance de ODATA?</t>
  </si>
  <si>
    <t xml:space="preserve">Si, es alcance de Odata.</t>
  </si>
  <si>
    <t xml:space="preserve">ELECTRICO: ¿Se debe considerar energía de respaldo como mitigación en el proceso de pruebas de comisionamiento ?</t>
  </si>
  <si>
    <t xml:space="preserve">No se requiere.</t>
  </si>
  <si>
    <t xml:space="preserve">TODAS LAS ESPECIALIDADES: ¿Existen documentos protocolizados para las actividades a desarrollar? Si es así ¿nos los pueden compartir?</t>
  </si>
  <si>
    <t xml:space="preserve">MONITOREO DEL DESEMPEÑO DE LA CALIDAD DE 
LA CONSTRUCCIÓN
CONSTRUCTION QUALITY PERFORMANCE 
MONITORING</t>
  </si>
  <si>
    <t xml:space="preserve">El Proponente debe adherirse a la Plataforma Cx Alloy. No existen formatos, el proponente debe utilizar sus protocolos, presentar y completar o modificar de ser solicitado. </t>
  </si>
  <si>
    <t xml:space="preserve">ELECTRICO: ¿Se utilizará una plataforma para el registro del proceso de comisionamiento?</t>
  </si>
  <si>
    <t xml:space="preserve">Para el Proyecto ST-01 se cuenta con una plataforma de gestión denominada CX Alloy, la cual integra y atiende de manera centralizada los ámbitos de Calidad, Seguridad, Puesta en Marcha y Comisionamiento.
Dicha plataforma constituye un requisito establecido por ODATA en materia de aseguramiento y control de procesos, permitiendo la trazabilidad, seguimiento y validación de cada etapa crítica del proyecto. En este sentido, el Proponente debe adherirse a esta metodología de gestión, asegurando el registro y cumplimiento de los lineamientos definidos en el marco contractual.</t>
  </si>
  <si>
    <t xml:space="preserve">ELECTRICO: ¿Se posee un plan de comisionamiento? Si es así ¿nos lo pueden compartir?</t>
  </si>
  <si>
    <t xml:space="preserve">Por el momento no contamos con dicho plan</t>
  </si>
  <si>
    <t xml:space="preserve">ELECTRICO: Se solicita fleje de cobre 25x8mm para aterramiento de tableros y equipos, ¿se puede remplazar por cable de cobre desnudo 2/0?</t>
  </si>
  <si>
    <t xml:space="preserve">ELECTRICO: ¿Se requiere realizar una nueva medición del sistema de malla de tierra una vez instalados todos los equipos?</t>
  </si>
  <si>
    <t xml:space="preserve">ELECTRICO: Para la continuación del ducto de barra de las etapas futuras de los Colos 8 y 9, se recomienda instalar un tablero seccionador para así no tener que cortar el suministro eléctrico y poder realizar las futuras instalaciones sin ningún problema.</t>
  </si>
  <si>
    <t xml:space="preserve">No se acoge la recomendación</t>
  </si>
  <si>
    <t xml:space="preserve">ELECTRICO: Los conductores para la alimentación de los equipos al interior de un Data Center (RIC N°11) deberán ser libres de halógeno, no propagante de la llama y autoextinguibles, en cumplimiento a lo indicado en el punto 5.5 del pliego técnico normativo RIC N°04, por lo cual se recomienda cable RZ1-K.</t>
  </si>
  <si>
    <t xml:space="preserve">Ofertar de acuerdo a lo especificado en el proyecto</t>
  </si>
  <si>
    <t xml:space="preserve">ELECTRICO: ¿Se debe considerar dilatación sísmica para el recorrido de ducto barra?</t>
  </si>
  <si>
    <t xml:space="preserve">Dependerá de la propuesta del Vendor de ducto de barra</t>
  </si>
  <si>
    <t xml:space="preserve">ELECTRICO: ¿El alimentador provisorio retirado en la Fase 3 se reutiliza?</t>
  </si>
  <si>
    <t xml:space="preserve">No se reutiliza, se entrega a Odata.</t>
  </si>
  <si>
    <t xml:space="preserve">ELECTRICO: ¿Los conectores CamLock para el proceso de comisionamiento son provistos por el proveedor de los Grupos electrógenos o deben ser suministrados de esta licitación?</t>
  </si>
  <si>
    <t xml:space="preserve">Deben ser suministrados por el Proponente</t>
  </si>
  <si>
    <t xml:space="preserve">ELECTRICO: ¿Las bajantes del sistema pararrayos se deben conectar a la malla de tierra existente o se debe realizar una malla de tierra independiente con caja de inspección y ecualizador de potencia por cada una de ellas? Si fuera la opción de la malla de tierra existente sin caja de registro, ¿existentes estos "chicotes" para conectarse a estos por termofusión?</t>
  </si>
  <si>
    <t xml:space="preserve">Se deberá conectar a la malla de tierra existente. Los chicotes son existentes</t>
  </si>
  <si>
    <t xml:space="preserve">TODAS LAS ESPECIALIDADES: Para las tareas de responsabilidad del Proveedor, ¿cuál es el alcance como “Facilitador” del Proponente en lo que respecta a carga, descarga, traslado y posicionamiento de equipos?</t>
  </si>
  <si>
    <t xml:space="preserve">El Proponente deberá proporcionar los accesos, vías de tránsito y espacios adecuados, así como ejecutar las adecuaciones necesarias que permitan de manera segura y eficiente las actividades de carga, descarga, traslado y posicionamiento de equipos.</t>
  </si>
  <si>
    <t xml:space="preserve">TODAS LAS ESPECIALIDADES: ¿Es necesario contratar un seguro para los equipos provistos por los proveedores?</t>
  </si>
  <si>
    <t xml:space="preserve">No es requisito. Ver respuesta 323.</t>
  </si>
  <si>
    <t xml:space="preserve">TODAS LAS ESPECIALIDADES: Una vez que los equipos son entregados por el proveedor, ¿La garantía sigue por parte del proveedor o constructora se tiene que hacer responsable de los equipos?</t>
  </si>
  <si>
    <t xml:space="preserve">El cuidado de todos los equipos e instalaciones es responsabilidad del Proponente hasta la entrega provisional de la obra.</t>
  </si>
  <si>
    <t xml:space="preserve">HVAC: En cuadro de válvulas de DELTACUBE se indica que algunos elementos serán provistos por el Proveedor quedando entre medio algunas válvulas a suministrar por el instalador de Clima. Por favor aclarar en detalle.</t>
  </si>
  <si>
    <t xml:space="preserve">Revisar lo indicado en el RFP para la partida de los Deltacube</t>
  </si>
  <si>
    <t xml:space="preserve">HVAC: Confirmar si el volumen de Estanques de Termoacumulación es de 2 M3</t>
  </si>
  <si>
    <t xml:space="preserve">SI, se confirma. Suministrar de acuerdo a lo indicado en proyecto.</t>
  </si>
  <si>
    <t xml:space="preserve">HVAC: Definir tipos de soportes requeridos. En Plano de detalle "ODA-0004-CLI-PL-020" y "ODA-0004-CLI-PL-022", se indican soportes tipo trapecio con hilo corrido y perfil ángulo con piolas para arriostre antisísmico</t>
  </si>
  <si>
    <t xml:space="preserve">TODAS LAS ESPECIALIDADES: ¿El Montaje Mecánico de los Equipos Suministrados por ODATA forma parte de la licitación?</t>
  </si>
  <si>
    <t xml:space="preserve">Si, Ver alcance del RFP para cada equipo.</t>
  </si>
  <si>
    <t xml:space="preserve">ADMINISTRATVA: ¿Es factible tener otra ronda de consultas?</t>
  </si>
  <si>
    <t xml:space="preserve">TODAS LAS ESPECIALIDADES: ¿Se debe considerar pruebas FAT para los equipos suministrados por las especialidades?</t>
  </si>
  <si>
    <t xml:space="preserve">Si. Ver respuesta 308 y 236.</t>
  </si>
  <si>
    <t xml:space="preserve">HVAC: ¿Es factible soldar en terreno el piping?</t>
  </si>
  <si>
    <t xml:space="preserve">Ver respuesta 308 y 236.</t>
  </si>
  <si>
    <t xml:space="preserve">HVAC: Para la totalidad de las válvulas, ¿se debe considerar con brida para 2 ½ inclusive hacia arriba y roscado de 2” hacia diámetros menores?</t>
  </si>
  <si>
    <t xml:space="preserve">Ver respuesta 308.</t>
  </si>
  <si>
    <t xml:space="preserve">TODAS LAS ESPECIALIDADES: ¿Quién es responsable de la ingeniería?, ¿se deben considerar HH para replanteo de ingeniería a nivel BIM?</t>
  </si>
  <si>
    <t xml:space="preserve">Ver respuesta 310.</t>
  </si>
  <si>
    <t xml:space="preserve">HVAC: ¿Es factible cambiar la marca de equipos nombrados en las RFP e ingeniería?, considerar equivalentes técnicos?</t>
  </si>
  <si>
    <t xml:space="preserve">HVAC: ¿Quién será el encargado de suministrar las menorías de cálculo previo a la construcción?</t>
  </si>
  <si>
    <t xml:space="preserve">HVAC: ¿Los planos son aptos para construcción; ¿es decir, es factible prefabricar con los planos enviados?</t>
  </si>
  <si>
    <t xml:space="preserve">HVAC: ¿Quién coordinará para que el proyecto no tenga interferencias?</t>
  </si>
  <si>
    <t xml:space="preserve">HVAC: ¿Es factible presentar ofertas por especialidad?, según RFP, se adjudicará la totalidad de las especialidades</t>
  </si>
  <si>
    <t xml:space="preserve">El RFP es por la totalidad de las obras indicadas.</t>
  </si>
  <si>
    <t xml:space="preserve">HVAC: ¿Es factible cambiar el tipo de uniones para los sistemas mecánicos?</t>
  </si>
  <si>
    <t xml:space="preserve">Si. Puede presentar propuesta para se validada previamente por Odata y/o inspección técnica.</t>
  </si>
  <si>
    <t xml:space="preserve">TELECOMUNICACIONES: La marca para Cableado Estructurado indica Commscope, ¿Se puede considerar otra Marca?</t>
  </si>
  <si>
    <t xml:space="preserve">No</t>
  </si>
  <si>
    <t xml:space="preserve">BMS: ¿Para las instalaciones de BMS cual es la marca de los componentes que se deben instalar?</t>
  </si>
  <si>
    <t xml:space="preserve">Revisar EETT y RFP</t>
  </si>
  <si>
    <t xml:space="preserve">TELECOMUNICACIONES: Se solicita Indicar si los servidores son existentes para las nuevas instalaciones, y mencionar si las capacidades son suficientes para lo que se debe instalar en esta fase o se debe instalar un nuevo servidor.</t>
  </si>
  <si>
    <t xml:space="preserve">SEGURIDAD ELECTRONICA: Según lo indicado en EE.TT. Aparece protocolo Avigilion para el sistema de CCTV, ¿Los equipos, Cámaras NVR Storages Servidores debe ser de la misma marca?</t>
  </si>
  <si>
    <t xml:space="preserve">Deben ser compatibles con la marca</t>
  </si>
  <si>
    <t xml:space="preserve">ELECTRICO: En relación al Tablero eléctrico  F5-TDF-FL-T.H  TRACE-HEATING ,el  suministro e instalación de los Controlades del sistema , de los sensores y su conexionado entre ellos y hacia el tablero ¿Serán provistos y ejecutados por otros especialistas en este sistema? ¿Cual es el alcance especifico del especialista eléctrico para este sistema? Ya que el proyecto eléctrico no tiene mucha  información al respecto y tampoco se menciona esta partida en el documento de RFP.</t>
  </si>
  <si>
    <t xml:space="preserve">Esta partida se complementa con el proyecto de climatización. Todos estos elementos son alcance del Proponente</t>
  </si>
  <si>
    <t xml:space="preserve">ELECTRICO: En cuanto a los enchufes de fuerza señalados en lamina ODA-0004-ELE-PL-017 que se indica 2P+T 20 A-220 volts  blanco ¿De qué modelo de referencia deben ser? ¿Es posible considerar enchufes  2P+T 10/16 A Magic Bticino ref.5180 o deben ser enchufes especiales tipo industrial?</t>
  </si>
  <si>
    <t xml:space="preserve">Considerar 2P+T 10/16 A</t>
  </si>
  <si>
    <t xml:space="preserve">ELECTRICO: En relación a la bandeja DLP que figura trazada en los puestos de trabajo y muros en el edificio administrativo nivel 1 y 2 (lámina ODA-0004-PL-051) ¿De que medida, tipo  y características  técnicas debe considerarse? En la simbología  de la planta no se indica.</t>
  </si>
  <si>
    <t xml:space="preserve">NO forma parte del alcance del RFP las bandejas DLP sobre los puestos de trabajo.</t>
  </si>
  <si>
    <t xml:space="preserve">ELECTRICO: Solicitamos confirmar que los Tableros MCP y BOC serán cargo en cuanto a su instalación de la especialidad de climatización</t>
  </si>
  <si>
    <t xml:space="preserve">Ver alcance del RFP para cada equipo</t>
  </si>
  <si>
    <t xml:space="preserve">ELECTRICO: En el proyecto No figura definido en el listado de circuitos de la subestación 7R ( LI-703)  el alimentador redundante del tablero ATS-FL-7.R.2 y que se alimenta desde el Tablero genera TDF- MSB -7.2 .Solicitamos indicar su longitud, cantidad  y sección  los conductores de su alimentador.</t>
  </si>
  <si>
    <t xml:space="preserve">ELECTRICO: Para efectos de corroborar la longitud de su alimentador, se solicita indicar en planos de planta , la ubicación de la Sala de bombas donde se ubique el TDAF-BBAS-ADM.2, ya que no aparece señalado en ninguno de los planos.</t>
  </si>
  <si>
    <t xml:space="preserve">Ver respuesta 291</t>
  </si>
  <si>
    <t xml:space="preserve">ELECTRICO: Para poder corroborar la longitud de sus alimentadores , solicitamos indicar la ubicación en  planos de planta de los siguientes  equipos :                                                                                                                                                                                                  
-Bombas de agua BAGP -7.1.1  ,7.1.2 ,7.2.1 ,7.2.2,7.R.1 y 7.R.2                                                                                                                                  -Equipo ventilador Fan VE-TE-01 7.1 ,7.2 y 7R</t>
  </si>
  <si>
    <t xml:space="preserve">ELECTRICO: En el proyecto No figura definido en el listado de circuitos de la subestación  ADM.2 ( LI-704)  el alimentador del tablero TDF-SDU-AUT-ADM.2R y desde que tablero general se alimenta .Solicitamos indicar su longitud ,cantidad  sección de los conductores  de su alimentador  y tablero desde el cual se alimenta.</t>
  </si>
  <si>
    <t xml:space="preserve">ELECTRICO: En el proyecto No figura definido en el listado de circuitos de la subestación 7R ( LI-703)  el alimentador del tablero TDF-SDU-AUT-7R y desde que tablero general se alimenta y su ubicación  en planos de planta .Solicitamos indicar su ubicación, longitud, cantidad  y sección  los conductores de su alimentador y tablero desde el cual se alimenta.</t>
  </si>
  <si>
    <t xml:space="preserve">Se incluye "Anexos Memorias de Cálculo BT", donde se indica alimentador solicitado.</t>
  </si>
  <si>
    <t xml:space="preserve">ELECTRICO: En el documento RFP  punto 4.3.2.4  se indica que se debe incluir el retiro del alimentador MT desde el panel MVMDS ubicado en Fase 3 y la RMU 6.2 , pero en el itemizado no figura este ítem ¿En que partida se debe agregar?</t>
  </si>
  <si>
    <t xml:space="preserve">Se incluye en itemizado.</t>
  </si>
  <si>
    <t xml:space="preserve">ELECTRICO: Según la memoria de iluminación indica como referencia para los equipos autoenergizados de 2 focos  señalados  en planta, un equipo Kolff  de 2 x13 W Led , 1510 lm autonomía de 4 hrs ¿Es posible ofrecer un equipo  alternativo que sea equivalente o superior técnicamente al modelo señalado en la memoria de cálculo?</t>
  </si>
  <si>
    <t xml:space="preserve">Si, debe incluir caracterizticas en oferta tecnica.</t>
  </si>
  <si>
    <t xml:space="preserve">ELECTRICO: En el listado de circuitos LI-704 Edificio administración N° 2 , solicitamos revisar y confirmar la sección de los siguientes alimentadores:                                                                                     
-TDAF Bombas ADM2.02  indica cable monoconductor 1 x4/c 6 mm +1 x25 mm2      (protección general de 3x100 A)                                                                                             -TDF-HVAC-ADM.2-02  indica cable monocoductor 1 x4/c 6 mm2 +1 x25 mm2      (protección de 3 x100 A)                                                        </t>
  </si>
  <si>
    <t xml:space="preserve">ELECTRICO: Para poder corroborar la longitud de sus alimentadores , solicitamos indicar la ubicación en  planos de planta de los siguientes  equipos :
-F5- Resistencias de Estanques  de acumulación 7.1 ,7.2 y 7R .                                                                                                                                    </t>
  </si>
  <si>
    <t xml:space="preserve">Ver ubicación de equipos en planos ODA-0004-CLI-PL-001 y ODA-0004-CLI-PL-002</t>
  </si>
  <si>
    <t xml:space="preserve">ELECTRICO: Solicitamos indicar ubicación en  planos de planta de TDF Planta de tratamiento químico , para corroborar la longitud de su alimentador.</t>
  </si>
  <si>
    <t xml:space="preserve">Ver recinto 35.1.1 en planos ODA-0004-ARQ-PL-012, ODA-0004-ARQ-PL-013, ODA-0004-ARQ-PL-040, ODA-0004-CLI-PL-001 y ODA-0004-CLI-PL-002</t>
  </si>
  <si>
    <t xml:space="preserve">ELECTRICO: En plano de planta del COLO 7 , aparece un TDF Baño que no tiene esquema unilineal ,cuadro de carga o alimentador definido y tampoco se indica desde que tablero se alimente . En el caso de ser alcance de la licitación de la  Fase 5 ,solicitamos enviar la información  señalada para considerarlo.</t>
  </si>
  <si>
    <t xml:space="preserve">No aplica.</t>
  </si>
  <si>
    <t xml:space="preserve">ELECTRICO: En cuanto a la apartemente (interruptores, diferenciales , equipamiento en general)  para los tableros eléctricos de distribución que suministra el contratista eléctrico en la fase 5  ¿Se puede ofrecer  marcas como EATON , ABB o Schneider u otras ? Se consulta ya que el proyecto no  cuenta con EE.TT de construcción de estos tableros.</t>
  </si>
  <si>
    <t xml:space="preserve">Revisar ítem 9.1 del documento ODA-0004-ELE-INF-001</t>
  </si>
  <si>
    <t xml:space="preserve">ELECTRICO: En la respuesta n° 34 del consolidado de consultas y respuestas  N° 1 , se consulta por las característica técnicas de los cargadores de vehículos para el edificio administración y como respuesta se indica que se ofrezca un equipo acorde  al proyecto eléctrico , pero en el proyecto No vienen definidas  sus características , entonces para poder cotizar estos equipos solicitamos la siguiente información:                                                                                                                                                                                                                                   a).- Falta ubicación de los equipos cargadores en plano de planta y su cantidad                                                                                                                                                             b).- Indicar características técnicas (potencia, corriente , marca y modelos  de referencia ,etc.).</t>
  </si>
  <si>
    <t xml:space="preserve">Se requiere cargar 3 vehículos con un arranque en común.
Pueden ser 3 cargadores independientes o cargadores múltiples.
Se adjunta ficha de cargador tipo y Planos ODA-0004-ELE-FC-002, ODA-0004-ELE-PL-704_6.
Para ubicación ver planos ODA-0004-ARQ-PL-020 y 080</t>
  </si>
  <si>
    <t xml:space="preserve">ELECTRICO: En el consolidado de consultas y respuestas N° 1 , respuesta N° 19 , se indica que en los planos ODA-0004-ARQ-PL-020 y 080 se encuentra la ubicación de los equipos  Ascensor Adm.2 , plataforma vertical Adm.2 y cargador de vehículos Adm.2 , pero al revisar estos planos no aparece esta información. Solicitamos enviar planos de planta donde este señalada la ubicación definitiva de estos equipos  para corroborar la longitud de sus alimentadores.</t>
  </si>
  <si>
    <t xml:space="preserve">Ver respuesta N°19</t>
  </si>
  <si>
    <t xml:space="preserve">ELECTRICO: En el documento RFP en el punto 4.3.2 Sistema de energía , se indica en varios de los sub-items como alcance del proponente considerar el cableado de control para grupos generadores , RMU , transformadores , LV Switchgear , PDU,STS, RPP ,UPS , etc., pero la información de estos circuitos de control no viene señalada en los diagramas y tampoco en los listados de circuitos , solicitamos enviar información y detalles de lo que se debe considerar para el cableado de control de los equipos (tipo ,sección y cantidad de conductores , layout de conexionado ,etc.)</t>
  </si>
  <si>
    <t xml:space="preserve">Aclaración: Como cableados de control se hace referencia a los puntos de comunicación, cableados para tensión auxiliar y todo lo demás que se indique en los planos del proyecto</t>
  </si>
  <si>
    <t xml:space="preserve">ELECTRICO: En el documento RFP punto 4.3.2 Sistema de energía (pág. 19) en los alcances del proponente se indica que se debe proveer dispositivos APEX en las salas Diesel  y donde se indique , pero en los planos del proyecto no se indican zonas APEX, solicitamos indicar en los planos del proyecto cuales serán las zona  APEX</t>
  </si>
  <si>
    <t xml:space="preserve">Efectivamente no existen canalizaciones APEX para este proyecto</t>
  </si>
  <si>
    <t xml:space="preserve">ELECTRICO: En el documento RFP punto 4.3.2.4 , se indica que los anclajes de los Transformadores y RMU , son competencia del proveedor de estos equipos pero en los alcances del proponente se indica que el suministro e instalación de los anclajes es por el proponente por lo que se contradice ¿Que se debe considerar como valido?                                                                                                                                                                                                                                                                                                         </t>
  </si>
  <si>
    <r>
      <rPr>
        <b val="true"/>
        <sz val="12"/>
        <color rgb="FF000000"/>
        <rFont val="Aptos Narrow"/>
        <family val="2"/>
        <charset val="1"/>
      </rPr>
      <t xml:space="preserve">Considerar:
Proponente: </t>
    </r>
    <r>
      <rPr>
        <sz val="12"/>
        <color rgb="FF000000"/>
        <rFont val="Aptos Narrow"/>
        <family val="2"/>
        <charset val="1"/>
      </rPr>
      <t xml:space="preserve">El suministro e instalación de los anclaje de los equipos </t>
    </r>
    <r>
      <rPr>
        <b val="true"/>
        <sz val="12"/>
        <color rgb="FF000000"/>
        <rFont val="Aptos Narrow"/>
        <family val="2"/>
        <charset val="1"/>
      </rPr>
      <t xml:space="preserve">Transformadores</t>
    </r>
    <r>
      <rPr>
        <sz val="12"/>
        <color rgb="FF000000"/>
        <rFont val="Aptos Narrow"/>
        <family val="2"/>
        <charset val="1"/>
      </rPr>
      <t xml:space="preserve"> a sus bases.
</t>
    </r>
    <r>
      <rPr>
        <b val="true"/>
        <sz val="12"/>
        <color rgb="FF000000"/>
        <rFont val="Aptos Narrow"/>
        <family val="2"/>
        <charset val="1"/>
      </rPr>
      <t xml:space="preserve">Proveedor Odata:</t>
    </r>
    <r>
      <rPr>
        <sz val="12"/>
        <color rgb="FF000000"/>
        <rFont val="Aptos Narrow"/>
        <family val="2"/>
        <charset val="1"/>
      </rPr>
      <t xml:space="preserve"> El suministro e instalación de los anclaje de los equipos </t>
    </r>
    <r>
      <rPr>
        <b val="true"/>
        <sz val="12"/>
        <color rgb="FF000000"/>
        <rFont val="Aptos Narrow"/>
        <family val="2"/>
        <charset val="1"/>
      </rPr>
      <t xml:space="preserve">RMU</t>
    </r>
    <r>
      <rPr>
        <sz val="12"/>
        <color rgb="FF000000"/>
        <rFont val="Aptos Narrow"/>
        <family val="2"/>
        <charset val="1"/>
      </rPr>
      <t xml:space="preserve"> a sus bases.</t>
    </r>
  </si>
  <si>
    <t xml:space="preserve">ELECTRICO: En la respuesta n° 73 del consolidado de consultas y respuestas  N° 1 , se indica que el proponente eléctrico debe considerar la provisión de combustible para las pruebas de puesta en marcha y comisionamiento de los grupos generadores , por lo que  se consulta                                                                                                                                                                              
a).- ¿Es posible que  esta provisión de combustible lo  realice  el mismo proveedor de los grupos generadores ? Ya que es el especialista que  va a realizar las pruebas directamente y tiene los conocimientos de  la cantidad de litros y las recargas  que necesitan sus equipos para realizar esta puesta en marcha y pruebas, además esta provisión no esta señalado como alcance del proponente dentro del documento de RFP .                                                                                                                                                                                                      b).-En  el caso que tenga que ser  obligatoriamente cargo del proponente eléctrico  este servicio, se solicita indicar mas detalles técnicos como : cantidad de litros requeridos  por cada equipo generador , cantidad de recargas de combustible , tipo de combustible , lugar y protocolo de seguridad para realizar  la descarga en la obra, etc.                                                                                           </t>
  </si>
  <si>
    <t xml:space="preserve">Se incorpora en RFP e Itemizado. La carga se debe realizar de acuerdo a la normativa vigente para la materia.</t>
  </si>
  <si>
    <t xml:space="preserve">ELECTRICO: En cuanto a los paneles RPP que provee e instala ODATA (40 unidades)  ¿En que partida del itemizado debe ser incluido el apoyo técnico y su conexionado?</t>
  </si>
  <si>
    <t xml:space="preserve">Se deben instalar 22 Paneles RPP. Se incluye en itemizado y se modifica alcance en RFP solo para estos 22 equipos.</t>
  </si>
  <si>
    <t xml:space="preserve">ELECTRICO: Respecto a la consulta anterior ,indicar ¿En que parte del itemizado  eléctrico deben ser incluidos los transformadores de aislación ? No aparecen mencionados en ninguna de las partidas.</t>
  </si>
  <si>
    <t xml:space="preserve">Ver Respuesta 279.</t>
  </si>
  <si>
    <t xml:space="preserve">ELECTRICO: ¿De quien será cargo la provisión e instalación de los  Transformadores de aislación XFMR de 75 ,100 y 25 Kva (6 unidades en total) ? Están señalados solo en diagramas unilineales generales 701 ,702 ,703 y 704. </t>
  </si>
  <si>
    <t xml:space="preserve">Son a cargo del Proponente. Se incluyen en itemizado.</t>
  </si>
  <si>
    <t xml:space="preserve">ELECTRICO: En relación a los Tableros ATS 7.1 ;7.2 y 7R que aparecen en diagramas unilineales generales ¿De quien será cargo su provisión e instalación?</t>
  </si>
  <si>
    <t xml:space="preserve">La transferencia entre Generador y Transformador viene incluida en los paneles MSB (a cargo de Odata). Respecto a las ATS con tag general ATS-FL, estas son a cargo de Proponente</t>
  </si>
  <si>
    <t xml:space="preserve">SEGURIDAD ELECTRONICA: Para el sistema de seguridad electrónica se solicita comentar cuales son las características de la Fibra Óptica a implementar.</t>
  </si>
  <si>
    <t xml:space="preserve">Favor revisar planos de arquitectura de comunicación y EETT de la especialidad</t>
  </si>
  <si>
    <t xml:space="preserve">SEGURIDAD ELECTRONICA: ¿Cuales son las marcas del equipamiento actual de cada especialidad?.</t>
  </si>
  <si>
    <t xml:space="preserve">SEGURIDAD ELECTRONICA: ¿Para el sistema de Seguridad Electrónica en el software actual existen licencias vacantes o se debe considerar el 100% de las licencias a utilizar.?</t>
  </si>
  <si>
    <t xml:space="preserve">Se debe considerar el suministro de las licencias necesarias para implementar los dispositivos correspondientes a la disciplina</t>
  </si>
  <si>
    <t xml:space="preserve">DETECCIÓN: ¿Para los sistemas de aspiración se puede presentar la opción de MODULASER, que tiene certificación UL y aprobación FM?</t>
  </si>
  <si>
    <t xml:space="preserve">Remítase a las EETT del proyecto</t>
  </si>
  <si>
    <t xml:space="preserve">DETECCIÓN: ¿Las tarjetas de comunicación HS-NCM-W-2, que se solicitan en EETT de detención de incendios, debe ser considerada en esta licitación para los paneles existentes?</t>
  </si>
  <si>
    <t xml:space="preserve">Se debe considerar la integración de tarjetas en el panel existente para soportar los lazos de comunicación descritos en la arquitectura de comunicación</t>
  </si>
  <si>
    <t xml:space="preserve">DETECCIÓN: ¿La estación de monitoreo que se solicita en EETT de detección de incendios, debe ser NOTIFIER, o se puede considerar un equipo que pueda soportar sistema ONIXWORK?</t>
  </si>
  <si>
    <t xml:space="preserve">Considerar Notifier </t>
  </si>
  <si>
    <t xml:space="preserve">DETECCIÓN: Se solicita confirmar que el actual sistema de detección de incendios existente es NOTIFIER</t>
  </si>
  <si>
    <t xml:space="preserve">DETECCIÓN: ¿Para la central de incendio se debe considerar tarjeta MODBUS, o se debe considerar existente?</t>
  </si>
  <si>
    <t xml:space="preserve">El contratista debe considerar todo lo necesario para que la nueva central de incendios se pueda comunicar con todos los equipos descritos en la arquitectura de comunicación del proyecto</t>
  </si>
  <si>
    <t xml:space="preserve">DETECCIÓN: ¿Se debe considerar sistema ONIXWORKS, o se debe considerar existente. Considerando todas las licencias, o solo para nuevo panel?</t>
  </si>
  <si>
    <t xml:space="preserve">Se debe considerar el suministro de una nueva workstation con su respectiva licencia de Onixworks, la cual contemple la visualización de los dispositivos en servicio de las etapas anteriores</t>
  </si>
  <si>
    <t xml:space="preserve">DETECCIÓN: ¿Cual es la distancia entre la central de incendio existente y la nueva que se debe considerar en la fase 5?</t>
  </si>
  <si>
    <t xml:space="preserve">Considerar 250 metros</t>
  </si>
  <si>
    <t xml:space="preserve">DETECCIÓN: ¿Se debe considerar panel nuevo de detección de incendios o solo tarjetas de expansión?</t>
  </si>
  <si>
    <t xml:space="preserve">De acuerdo a lo indicado en proyecto se debe considerar el suministro, instalación, configuración y puesta en marcha de una nueva central de incendio, la cual deberá considerar la integración de tarjetas de comunicación para los lazos descritos en el proyecto</t>
  </si>
  <si>
    <t xml:space="preserve">EXTINCIÓN: En documento ODA-0004-PCI-ET-001, EETT de extinción de incendio ,Se menciona que se debe intervenir manifold existente en sala de bomba, favor de enviar plano y detalle de la intervención a dicho manifold</t>
  </si>
  <si>
    <t xml:space="preserve">Esta obras se encuentran ejecutadas. Ver los alcances para estas partidas en los numeral 4.3.6  y  4.3.7 del presente RFP.</t>
  </si>
  <si>
    <t xml:space="preserve">EXTINCIÓN: En documento ODA-0004-PCI-ET-001, EETT de extinción de incendios se hace mención que se consideran etapas. 
Fase V; Colo7, Edificio Administrativo y Client offices.
Fase VI; Colos 8 y 9.
Fase VII; Oficinas de cliente en segundo piso.
Confirmar que solo se debe realizar la FASE V, etapa 2.</t>
  </si>
  <si>
    <t xml:space="preserve">Los alcances para estas partidas se detallan claramente en los numeral 4.3.6  y  4.3.7 del presente RFP.</t>
  </si>
  <si>
    <t xml:space="preserve">Se solicita entregar antecedentes respecto a barras de protección contra impacto indicadas en punto 13.4 del itemizado, puesto que no se visualizan en planimetría y no son detalladas en especificaciones técnicas.</t>
  </si>
  <si>
    <t xml:space="preserve">NO forma parte de este RFP.</t>
  </si>
  <si>
    <t xml:space="preserve">Según el plano PL-024, en el recuadro de simbología de pavimentos se indica una cubrejunta de acero inoxidable de 100x3 mm. Sin embargo, según las Especificaciones Técnicas (EETT), en el punto 6.4.6.4 se menciona una plancha de 300x3 mm. Favor indicar qué dimensiones debemos considerar.</t>
  </si>
  <si>
    <t xml:space="preserve">Considerara EETT 6.4.6.4 en todos los casos de encuentro de pavimentos interiores.</t>
  </si>
  <si>
    <t xml:space="preserve">Según plano pl-033 existen una Contrahuella de Aluminio que no están Especificadas en la EETT ni en el Itemizado, Favor enviar descripción.</t>
  </si>
  <si>
    <t xml:space="preserve">Es parte de alcance del Piso Técnico.</t>
  </si>
  <si>
    <t xml:space="preserve">Favor informar valores proforma según se solicita en itemizado.</t>
  </si>
  <si>
    <t xml:space="preserve">Los indicados por el Proponente.</t>
  </si>
  <si>
    <t xml:space="preserve">Por favor confirmar que debemos considerar los Bolardos Flexibles de PVC de acuerdo a las fichas ODA-0004-ARQ-F-01, ODA-0004-ARQ-F-02, ODA-0004-ARQ-F-03, según se indica en respuesta n°147.</t>
  </si>
  <si>
    <t xml:space="preserve">Considerar provisión e Instalación.</t>
  </si>
  <si>
    <t xml:space="preserve">Con respecto al mueble de recepción se solicita indicar el alcance de éste. ¿Se considera provisión e instalación?</t>
  </si>
  <si>
    <t xml:space="preserve">Se pide enviar especificación de Tabique divisorio vestidores, ya que no se encuentra en la documentación recibida.</t>
  </si>
  <si>
    <t xml:space="preserve">Ver planos ODA-0004-ARQ-PL-028,ODA-0004-ARQ-PL-02. Nota 07: "DIVISIONES SANITARIAS DE DUCHAS FABRICADOS HPL, TIPO SERIE P ANCLADA A PISO DE CHC o EQUIVALENTE TECNICO, PANELES DE FIBRAS DE CELULOSA COMPRIMIDA A ALTA PRESIÓN DE ESPESOR 12mm E IMPREGNADA DE RESINA FENOLICA CON TERMINACIÓN DE SUS CARAS EN MELAMINA TERMO FUSIONADA Y CANTOS BISELADOS SEGÚN EETT."</t>
  </si>
  <si>
    <t xml:space="preserve">Se solicita enviar especificación y detalle de Salvarueda Rampa Minusválido indicado en ítem 12.1 del itemizado, ya que no existe información que permita identificar a qué elemento del proyecto se refiere.</t>
  </si>
  <si>
    <t xml:space="preserve">En el caso de tener que considerar su estructura, se solicita enviar planos de cálculo para poder valorizar, ya que no contamos con dicha información.</t>
  </si>
  <si>
    <t xml:space="preserve">Se adjuntan planos de estructura.</t>
  </si>
  <si>
    <t xml:space="preserve">Se solicita aclarar qué debemos considerar dentro del ítem 11.4 Caseta Manifold Completa, ya que en plano de etapas, se muestra dicho recinto como Fase 6, por lo que no forma parte del alcance en esta etapa.</t>
  </si>
  <si>
    <t xml:space="preserve">Corresponde a las casetas para los manifold del sistema de PCI. Ver planos ODA-0004-PCI-PL-014, ODA-0004-ARQ-PL-100.</t>
  </si>
  <si>
    <t xml:space="preserve">En el itemizado ítem 11.3 se solicita presupuestar línea de vida vertical puntual sobre cielo falso. Favor enviar detalle y desarrollo de dicha línea de vida para poder cotizarla y cuantificarla, ya que dentro de los antecedentes que tenemos no se logra identificar.</t>
  </si>
  <si>
    <t xml:space="preserve">Ver plano ODA-0004-ARQ-PL-046 y EETT 6.1.2 Líneas de vida. El Proponente deberá presentar un diseño que se ajuste íntegramente a la normativa vigente y a las disposiciones técnicas aplicable.</t>
  </si>
  <si>
    <t xml:space="preserve">Técnicas</t>
  </si>
  <si>
    <t xml:space="preserve"> En relación a listado de tableros eléctricos de baja tensión. Indicar en qué planos se encuentran los diagramas unilineales faltantes o, de ser posible, enviarlos.
Tableros pendientes "T.D.A.F-FL-ADM2-01", "T.D.A.F-FL-ADM2-02", "T.D.A.F-HVAC-ADM2-01", "T.D.A.F-HVAC-ADM2-01", "T.D.A.F-HVAC-ADM2-02", "Tablero T.D.F.-SDU-AUT-7.R", "T.D.F-EMERG-ADM2.01", "T.D.F-EMERG-ADM2.02", "T.D.A.F-BBAS-ADM.2", "T.D.F-NOC-ADM.2"</t>
  </si>
  <si>
    <t xml:space="preserve">ODA-0004-ELE-PL-060
ODA-0004-ELE-PL-061
ODA-0004-ELE-PL-062
ODA-0004-ELE-PL-063
ODA-0004-ELE-PL-067
ODA-0004-ELE-PL-068
ODA-0004-ELE-PL-066</t>
  </si>
  <si>
    <t xml:space="preserve">Se envían planos ODA-0004-ELE-PL-060, ODA-0004-ELE-PL-061, ODA-0004-ELE-PL-062, ODA-0004-ELE-PL-063, ODA-0004-ELE-PL-067, ODA-0004-ELE-PL-068 y ODA-0004-ELE-PL-066.</t>
  </si>
  <si>
    <t xml:space="preserve">¿Se exige entregar manuales O&amp;M y capacitación antes de recepción provisoria?</t>
  </si>
  <si>
    <t xml:space="preserve">Si, según lo indicado en este RFP y las clausulas del Contrato.</t>
  </si>
  <si>
    <t xml:space="preserve">¿El Mandante proveerá acceso a as-built previos para planificar rutas?</t>
  </si>
  <si>
    <t xml:space="preserve">Ver Respuesta 237.</t>
  </si>
  <si>
    <t xml:space="preserve">¿Cuál será la secuencia de entregas: Colo 7 primero, luego 8 y 9?</t>
  </si>
  <si>
    <t xml:space="preserve">El alcance de este RFP para los sistemas de Telecomunicaciones corresponde Solo a la Fase 5.</t>
  </si>
  <si>
    <t xml:space="preserve">¿Se ha considerado commissioning independiente de telecom antes del IST?</t>
  </si>
  <si>
    <t xml:space="preserve">¿El Mandante exige curvas S de avance físico y financiero en telecom?</t>
  </si>
  <si>
    <t xml:space="preserve">¿Se requiere entregar informes semanales de telecom al Mandante?</t>
  </si>
  <si>
    <t xml:space="preserve">¿Habrá penalidades contractuales por atrasos en telecom?</t>
  </si>
  <si>
    <t xml:space="preserve">Las multas y penalidades aplicables serán aquellas establecidas en las cláusulas del Contrato, debiendo el Proponente dar pleno cumplimiento a lo allí dispuesto.</t>
  </si>
  <si>
    <t xml:space="preserve">¿Cuál es el tiempo de tolerancia para retrasos en certificación?</t>
  </si>
  <si>
    <t xml:space="preserve">¿El Mandante definirá porcentaje de avance mensual esperado en telecom?</t>
  </si>
  <si>
    <t xml:space="preserve">¿Se permitirá acceso nocturno para acelerar el avance?</t>
  </si>
  <si>
    <t xml:space="preserve">Ver respuesta 7.</t>
  </si>
  <si>
    <t xml:space="preserve">¿Cómo se coordinarán actividades de telecom con eléctricos y mecánicos?</t>
  </si>
  <si>
    <t xml:space="preserve">Será responsabilidad del Proponente la coordinación integral entre especialidades.</t>
  </si>
  <si>
    <t xml:space="preserve">¿El Mandante entregará cronograma integrado (MS Project/Primavera)?</t>
  </si>
  <si>
    <t xml:space="preserve">¿Cuál es la fecha límite de handover de cada Colo (7, 8 y 9)?</t>
  </si>
  <si>
    <t xml:space="preserve">¿Qué tiempo se asigna a certificación de cobre y fibra?</t>
  </si>
  <si>
    <t xml:space="preserve">¿Cuál es el plazo total para instalación de canalizaciones de telecom?</t>
  </si>
  <si>
    <t xml:space="preserve">El Proponente debe presentar un cronograma detallado previo al inicio de la obras que cumpla con las fechas de IST, FRS y termino del proyecto indicadas en este RFP.</t>
  </si>
  <si>
    <t xml:space="preserve">¿Habrá supervisión directa del Mandante durante instalación de canalizaciones?</t>
  </si>
  <si>
    <t xml:space="preserve">Será responsabilidad del Proponente la coordinación integral entre especialidades, la verificación de la correcta ejecución y la gestión de la calidad de cada partida contratada, a fin de entregarlas terminadas y conformes a la Inspección Técnica de Obra o directamente a ODATA. Dichas partidas deberán cumplir estrictamente con las Especificaciones Técnicas (EETT), los planos del proyecto y la normativa vigente aplicable.</t>
  </si>
  <si>
    <t xml:space="preserve">¿Qué horarios de trabajo se autorizan para telecom (24/7 o solo diurno)?</t>
  </si>
  <si>
    <t xml:space="preserve">¿El Mandante habilitará espacio para pruebas y certificaciones en site?</t>
  </si>
  <si>
    <t xml:space="preserve">Ver respuesta 232.</t>
  </si>
  <si>
    <t xml:space="preserve">¿Se exige uso de EPP específico (ANSI Z87.1 para fibra)?</t>
  </si>
  <si>
    <t xml:space="preserve">No considerar.</t>
  </si>
  <si>
    <t xml:space="preserve">¿El Mandante proporcionará puntos eléctricos temporales para herramientas?</t>
  </si>
  <si>
    <t xml:space="preserve">Será responsabilidad exclusiva del Proponente la implementación, gestión, operación y mantenimiento de todas las instalaciones provisorias dentro del Sitio, asegurando su correcto funcionamiento y el cumplimiento de la normativa legal y de seguridad vigente.</t>
  </si>
  <si>
    <t xml:space="preserve">¿Habrá manual de instalaciones provisorias emitido por el Mandante?</t>
  </si>
  <si>
    <t xml:space="preserve">¿Se deben incluir kits de derrame/limpieza de fibra?</t>
  </si>
  <si>
    <t xml:space="preserve">¿Qué pólizas de seguro deben cubrir los contratistas durante faena?</t>
  </si>
  <si>
    <t xml:space="preserve">Ver Respuesta 125.</t>
  </si>
  <si>
    <t xml:space="preserve">¿El Mandante proveerá acceso a montacargas o grúas para racks?</t>
  </si>
  <si>
    <t xml:space="preserve">Ver Respuesta 222.</t>
  </si>
  <si>
    <t xml:space="preserve">¿Se deben implementar zonas limpias al instalar patch panels?</t>
  </si>
  <si>
    <t xml:space="preserve">¿Se debe coordinar la logística de ingreso de racks y ODF con horarios restringidos?</t>
  </si>
  <si>
    <t xml:space="preserve">¿Habrá plan de protección física para bandejas durante obra civil?</t>
  </si>
  <si>
    <t xml:space="preserve">¿Qué protocolos de seguridad se exigen para manipulación de fibra?</t>
  </si>
  <si>
    <t xml:space="preserve">Es responsabilidad del Proponente el manejo de los suministros dentro del Sitio, así como la preparación y el manejo de las áreas a utilizar para los acopios y montaje de estos.</t>
  </si>
  <si>
    <t xml:space="preserve">¿Se exige almacenar carretes de fibra en posición horizontal o vertical?</t>
  </si>
  <si>
    <t xml:space="preserve">¿Habrá zonas definidas de acopio temporal de cableado?</t>
  </si>
  <si>
    <t xml:space="preserve">¿Se deben considerar racks adicionales para BMS, CCTV y seguridad?</t>
  </si>
  <si>
    <t xml:space="preserve">Ver respuesta 207</t>
  </si>
  <si>
    <t xml:space="preserve">¿Cuál es la expectativa de vida útil de racks (10–20 años)?</t>
  </si>
  <si>
    <t xml:space="preserve">¿Se debe prever espacio para equipos de terceros en racks principales?</t>
  </si>
  <si>
    <t xml:space="preserve">¿Se entregará esquema de numeración de racks y gabinetes?</t>
  </si>
  <si>
    <t xml:space="preserve">Si, debe entregar esquema de numeración de racks y gabinetes.</t>
  </si>
  <si>
    <t xml:space="preserve">¿El Mandante exige contenimiento frío/caliente?</t>
  </si>
  <si>
    <t xml:space="preserve">¿Se debe garantizar flujo de aire frontal-trasero sin recirculación?</t>
  </si>
  <si>
    <t xml:space="preserve">El proyecto ya considera la ventilación suficiente en los recintos para climatización de los equipos activos en los racks.</t>
  </si>
  <si>
    <t xml:space="preserve">¿Los racks deben cumplir con norma EIA-310?</t>
  </si>
  <si>
    <t xml:space="preserve">¿Se deben incluir sensores ambientales (T/H) por rack?</t>
  </si>
  <si>
    <t xml:space="preserve">No incluir sensores ambientales.</t>
  </si>
  <si>
    <t xml:space="preserve">¿Cada rack tendrá PDU A y B redundantes?</t>
  </si>
  <si>
    <t xml:space="preserve">Si, el suministro de los PDU será por parte de Odata, el Proponente deberá realizar su instalación en el rack y ejecutar la instalación eléctrica para conexión de los PDU</t>
  </si>
  <si>
    <t xml:space="preserve">¿Qué densidad de puertos debe tener cada rack TI?</t>
  </si>
  <si>
    <t xml:space="preserve">Ver respuesta 179</t>
  </si>
  <si>
    <t xml:space="preserve">¿El Mandante proveerá layout final de distribución de racks?</t>
  </si>
  <si>
    <t xml:space="preserve">El Layout esta definido en los antecedentes de la licitación.</t>
  </si>
  <si>
    <t xml:space="preserve">¿Se debe incluir paneles ciegos y organizadores en cada rack?</t>
  </si>
  <si>
    <t xml:space="preserve">¿Se exige que cada rack soporte al menos 1100 kg?</t>
  </si>
  <si>
    <t xml:space="preserve">¿Qué profundidad mínima se requiere (1000 o 1200 mm)?</t>
  </si>
  <si>
    <t xml:space="preserve">¿Cuál es la altura estándar exigida (42U o 48U)?</t>
  </si>
  <si>
    <t xml:space="preserve">¿El Mandante permitirá proponer topologías alternativas de redundancia?</t>
  </si>
  <si>
    <t xml:space="preserve">Ver Respuesta 152.</t>
  </si>
  <si>
    <t xml:space="preserve">¿Cómo se gestionará la redundancia entre Colos 7–9 y backbone existente?</t>
  </si>
  <si>
    <t xml:space="preserve">Ejecutar el proyecto de acuerdo a lo indicado en el RFP</t>
  </si>
  <si>
    <t xml:space="preserve">¿Qué método de polaridad MPO se adoptará (A, B o C)?</t>
  </si>
  <si>
    <t xml:space="preserve">¿Se deben incluir fibras de reserva (dark fiber) para futuras expansiones?</t>
  </si>
  <si>
    <t xml:space="preserve">Se deben ejecutar las fibras indicadas en el proyecto</t>
  </si>
  <si>
    <t xml:space="preserve">¿El Mandante exige garantía de 20 años del fabricante de fibra?</t>
  </si>
  <si>
    <t xml:space="preserve">Si, debe adjuntar certificados y garantía del suministro.</t>
  </si>
  <si>
    <t xml:space="preserve">¿Habrá campaña de inspección de conectores antes del handover?</t>
  </si>
  <si>
    <t xml:space="preserve">Si, se realizara la inspección previa.</t>
  </si>
  <si>
    <t xml:space="preserve">¿Se exige incluir trazas de OTDR en los informes de prueba?</t>
  </si>
  <si>
    <t xml:space="preserve">¿Cuál es la longitud máxima de tramos en fibra multimodo?</t>
  </si>
  <si>
    <t xml:space="preserve">¿Se debe incluir ODF con gestión de radio de curvatura en cada rack principal?</t>
  </si>
  <si>
    <t xml:space="preserve">¿Los patch cords de fibra deben ser LSZH y certificados OFNR/OFNP?</t>
  </si>
  <si>
    <t xml:space="preserve">Los patch cord deben tener dicha características y respecto a los ensayos ver la respuesta 191</t>
  </si>
  <si>
    <t xml:space="preserve">¿Se aceptan conectores MPO de 12 hilos o se exige de 24?</t>
  </si>
  <si>
    <t xml:space="preserve">¿Cuál es la capacidad mínima de fibras en backbone entre MMR y HDA?</t>
  </si>
  <si>
    <t xml:space="preserve">¿Se deben considerar rutas A y B separadas desde acometida hasta salas TI?</t>
  </si>
  <si>
    <t xml:space="preserve">Si, se deben considerar rutas A y B separadas.</t>
  </si>
  <si>
    <t xml:space="preserve">¿Los conectores deben cumplir inspección IEC 61300-3-35 antes de empalmar?</t>
  </si>
  <si>
    <t xml:space="preserve">¿Se debe entregar presupuesto de pérdidas documentado por cada enlace?</t>
  </si>
  <si>
    <t xml:space="preserve">¿Se requieren pruebas Tier 1 (OLTS) y Tier 2 (OTDR) para todos los enlaces?</t>
  </si>
  <si>
    <t xml:space="preserve">El Proponente deberá presentar su respectivo PIE el cual deberá ser aprobado por Odata. Además, se deberán seguir como mínimo las certificaciones exigidas en las EETT</t>
  </si>
  <si>
    <t xml:space="preserve">¿Qué tipo de conectores se deben emplear (LC dúplex, MPO/MTP, SC)?</t>
  </si>
  <si>
    <t xml:space="preserve">¿Cuál es el presupuesto de pérdidas máximo por enlace?</t>
  </si>
  <si>
    <t xml:space="preserve">¿Se instalará solo OM4 o también OS2 monomodo?</t>
  </si>
  <si>
    <t xml:space="preserve">Se debe instalar la Fibra indicada en el proyecto</t>
  </si>
  <si>
    <t xml:space="preserve">¿Cuál es la topología backbone definida (MMR-HDA-ZDA-EDA)?</t>
  </si>
  <si>
    <t xml:space="preserve">¿Habrá auditoría de un tercero para validar la certificación de cableado?</t>
  </si>
  <si>
    <t xml:space="preserve">No, el Proponente debe entregar las certificaciones.</t>
  </si>
  <si>
    <t xml:space="preserve">¿Se debe prever reserva de patch panels vacíos para crecimiento?</t>
  </si>
  <si>
    <t xml:space="preserve">Se debe proveer la cantidad de patch panel suficientes para integrar los Switch de cada especialidad.</t>
  </si>
  <si>
    <t xml:space="preserve">¿Los patch cords deben ser del mismo fabricante del cableado estructurado?</t>
  </si>
  <si>
    <t xml:space="preserve">Si, todo en marca Comescope.</t>
  </si>
  <si>
    <t xml:space="preserve">¿Cuál es la expectativa de vida útil del cableado de cobre (20 años)?</t>
  </si>
  <si>
    <t xml:space="preserve">Considerar 20 años.</t>
  </si>
  <si>
    <t xml:space="preserve">¿El Mandante proveerá esquema de VLANs/direccionamiento IP?</t>
  </si>
  <si>
    <t xml:space="preserve">Odata entregará los respectivos direccionamientos IP para los dispositivos.</t>
  </si>
  <si>
    <t xml:space="preserve">¿Se requiere AIM (Automated Infrastructure Management) o bastará rotulación manual?</t>
  </si>
  <si>
    <t xml:space="preserve">¿Se debe aplicar ANSI/TIA-606-C en rotulación de patch panels?</t>
  </si>
  <si>
    <t xml:space="preserve">¿Cuál es la densidad de puertos RJ45 por rack que espera el Mandante?</t>
  </si>
  <si>
    <t xml:space="preserve">De acuerdo a todos los puntos indicados en la arquitectura de comunicación del proyecto.</t>
  </si>
  <si>
    <t xml:space="preserve">¿Se contempla soporte PoE++ (IEEE 802.3bt) en todo el cableado?</t>
  </si>
  <si>
    <t xml:space="preserve">¿Se aceptan cables UTP o se exige blindaje F/UTP o U/FTP en zonas críticas?</t>
  </si>
  <si>
    <t xml:space="preserve">¿El cableado debe cumplir con ANSI/TIA-568.2-D e ISO/IEC 11801?</t>
  </si>
  <si>
    <t xml:space="preserve">¿Cuál es la longitud máxima permitida de canal y enlace permanente?</t>
  </si>
  <si>
    <t xml:space="preserve">¿Se debe entregar informe digital nativo además de PDF?</t>
  </si>
  <si>
    <t xml:space="preserve">Si, se deben entregar Ambos.</t>
  </si>
  <si>
    <t xml:space="preserve">¿El Mandante requiere certificación Fluke DSX-8000 para cada enlace?</t>
  </si>
  <si>
    <t xml:space="preserve">El Proponente deberá presentar su respectivo PIE el cual deberá ser aprobado por Odata. Además, se deberán seguir como mínimo las certificaciones exigidas en las EETT.</t>
  </si>
  <si>
    <t xml:space="preserve">¿Cuál es la categoría mínima exigida: Cat 6 o Cat 6A?</t>
  </si>
  <si>
    <t xml:space="preserve">Considerar categoría mínima Cat 6.</t>
  </si>
  <si>
    <t xml:space="preserve">¿El Mandante exige pruebas de continuidad eléctrica en canalizaciones metálicas?</t>
  </si>
  <si>
    <t xml:space="preserve">No se exige.</t>
  </si>
  <si>
    <t xml:space="preserve">¿Se debe garantizar reserva del 25–30% en bandejas de telecom?</t>
  </si>
  <si>
    <t xml:space="preserve">¿Existe restricción en uso de curvas a 90° en canalizaciones de fibra óptica?</t>
  </si>
  <si>
    <t xml:space="preserve">Será responsabilidad del proponente ejecutar las canalizaciones para que estas sean compatibles según el cable suministrado para el proyecto.</t>
  </si>
  <si>
    <t xml:space="preserve">¿Se solicitarán cálculos de ocupación/carga mecánica de canalizaciones?</t>
  </si>
  <si>
    <t xml:space="preserve">Solo a la Soportación según lo indicado en el RFP</t>
  </si>
  <si>
    <t xml:space="preserve">¿Cuál es el acabado superficial requerido para los canastillos?</t>
  </si>
  <si>
    <t xml:space="preserve">¿Se requiere certificación de bandejas según IEC 61537?</t>
  </si>
  <si>
    <t xml:space="preserve">Se deberán realizar los ensayos y certificaciones indicados en la EETT</t>
  </si>
  <si>
    <t xml:space="preserve">¿El Mandante exige rotulación/documentación bajo TIA-606-C en canalizaciones?</t>
  </si>
  <si>
    <t xml:space="preserve">Se debe rotular de acuerdo a lo indicado en las EETT</t>
  </si>
  <si>
    <t xml:space="preserve">¿Se deben prever canalizaciones vacías adicionales para futuras expansiones?</t>
  </si>
  <si>
    <t xml:space="preserve">Será responsabilidad del Proponente ejecutar íntegramente todas las canalizaciones señaladas en el Proyecto y en el alcance de presente RFP, debiendo dar estricto cumplimiento a las especificaciones técnicas, planos y demás documentos contractuales aplicables.</t>
  </si>
  <si>
    <t xml:space="preserve">¿Cuál es la política sobre uso compartido de bandejas para distintos servicios?</t>
  </si>
  <si>
    <t xml:space="preserve">En el proyecto se indican los respectivos servicios que son compartidos en las diversas canalizaciones</t>
  </si>
  <si>
    <t xml:space="preserve">¿Las canalizaciones deben cumplir con TIA-569-D en toda su extensión?</t>
  </si>
  <si>
    <t xml:space="preserve">¿Se exige recubrimiento retardante al fuego en bandejas de telecom?</t>
  </si>
  <si>
    <t xml:space="preserve">¿Cuál es la capacidad mínima en mm² de los ductos de telecom principales?</t>
  </si>
  <si>
    <t xml:space="preserve">La suficiente para soportar los cableados indicados en proyecto.
Ver Respuesta 152.</t>
  </si>
  <si>
    <t xml:space="preserve">¿El Mandante proveerá planos de rutas A/B segregadas para backbone de fibra?</t>
  </si>
  <si>
    <t xml:space="preserve">ODA-0001-TEL-PL-0004_AB</t>
  </si>
  <si>
    <t xml:space="preserve">Se envía plano ODA-0001-TEL-PL-0004_AB.</t>
  </si>
  <si>
    <t xml:space="preserve">¿Se contemplan fiber runners con tapas para evitar contaminación en faenas?</t>
  </si>
  <si>
    <t xml:space="preserve">No son alcance de esta licitación</t>
  </si>
  <si>
    <t xml:space="preserve">¿El Mandante requiere continuidad de puesta a tierra en canastillos y bandejas (TIA-607-D)?</t>
  </si>
  <si>
    <t xml:space="preserve">¿Cuál es el criterio para la ubicación de pasadas verticales entre pisos?</t>
  </si>
  <si>
    <t xml:space="preserve">¿Se aceptan bandejas de malla tipo cable-tray o deben ser canalizaciones cerradas metálicas?</t>
  </si>
  <si>
    <t xml:space="preserve">¿Qué radios de curvatura mínimos deben respetarse para los ductos de fibra y cobre?</t>
  </si>
  <si>
    <t xml:space="preserve">De acuerdo a las especificaciones indicadas por el proveedor del respectivo y a las limitaciones propias de la instalación.</t>
  </si>
  <si>
    <t xml:space="preserve">¿Existe un criterio formal de segregación entre canalizaciones de potencia y telecomunicaciones?</t>
  </si>
  <si>
    <t xml:space="preserve">¿Cuál es el porcentaje máximo de ocupación inicial y proyectada en bandejas y canastillos?</t>
  </si>
  <si>
    <t xml:space="preserve">De acuerdo a lo indicado en las memorias, especificaciones y planos del proyecto y la normativa vigente.</t>
  </si>
  <si>
    <t xml:space="preserve">Detectamos diferencias en la cantidad de puertas señaladas entre el ítemizado, especificaciones técnicas y las nuestras. Agradeceríamos confirmar si el alcance de las puertas corresponde a lo indicado en el Anexo 3, o si debemos contemplar adicionalmente otros sectores</t>
  </si>
  <si>
    <t xml:space="preserve">CONSULTAS 4'!A1</t>
  </si>
  <si>
    <t xml:space="preserve">Remítase a las EETT y planos de proyecto. Las cantidades del itemizado son referenciales, es responsabilidad del Proponente verificar las cantidades de obras.</t>
  </si>
  <si>
    <t xml:space="preserve">Se consulta por el plano de señalización vial que se indica en el capitulo 6.7.2 Pintura Exterior.  Ya que no se encuentra la demarcación de las vías de circulación o solo debemos considerar lo indicado en ODA-0004- ARQ-PL- 081, donde muestra demarcación de estacionamientos de bicicleta y vehículos, símbolo de minusválido y paso de cebra? Lo indicado en este punto es lo que debemos considerar en punto 2.6.2.1 pintura demarcación de pavimentos (E=10CM) del itemizado. Anexo 2</t>
  </si>
  <si>
    <t xml:space="preserve">CONSULTAS 3'!A1</t>
  </si>
  <si>
    <t xml:space="preserve">Se confirma, cotizar pinturas exteriores de acuerdo con el plano ODA-0004- ARQ-PL- 081, para los estacionamientos del 51 al 63 y todos los bicicleteros indicados en el plano.</t>
  </si>
  <si>
    <t xml:space="preserve">Topes de estacionamiento: En el plano ODA-0004-ARQ-PL-081 se muestran. Favor confirmar si es parte del alcance la instalación de los topes correspondientes a los estacionamientos 51 al 62. Anexo 2</t>
  </si>
  <si>
    <t xml:space="preserve">Considerar los Topes y su demarcación, para los estacionamientos del 51 al 63.</t>
  </si>
  <si>
    <t xml:space="preserve">Estacionamientos de bicicletas: En el itemizado se indican 62 unidades, pero en la zona frente al acceso del edificio administrativo solo se muestran 42 unidades. Favor indicar si existen otras áreas adicionales a considerar. Anexo 2</t>
  </si>
  <si>
    <t xml:space="preserve">Considerar todos los bicicleteros y su demarcación indicados en el plano ODA-0004-ARQ-PL-081. Las cantidades del itemizado son referenciales, es responsabilidad del Proponente verificar las cantidades de obras.</t>
  </si>
  <si>
    <t xml:space="preserve">Bolardos flexibles de PVC: No se encuentra información técnica ni ubicación en planos. Favor aclarar para poder cotizar.</t>
  </si>
  <si>
    <t xml:space="preserve">Se adjuntan planos ODA-0004-ARQ-F-01, ODA-0004-ARQ-F-02, ODA-0004-ARQ-F-03.</t>
  </si>
  <si>
    <t xml:space="preserve">Bolardos de acero: En el itemizado se incluyen, y según plano ODA-0004-ARQ-PL-081, detalle 5, deben ir enterrados 1,219 m. En el plano ODA-0004-ARQ-PL-080 se muestran bolardos junto a los chiller y generadores. Favor aclarar: ¿Debe considerarse algún pavimento a demoler? ¿Existe un plano de detalle de la armadura para la fundación, o se instalan sobre una masa de hormigón simple? En el itemizado se indican 74 unidades, pero el plano solo muestra 63. Favor confirmar si se deben instalar en otra ubicación no indicada en el plano ODA-0004-ARQ-PL-080. Anexo 1</t>
  </si>
  <si>
    <t xml:space="preserve">CONSULTAS 2'!A1</t>
  </si>
  <si>
    <t xml:space="preserve">Considerar instalación de Bolardos por el borde la solera entre los ejes CB- CL cada 1,5m. Las cantidades del itemizado son referenciales, es responsabilidad del Proponente verificar las cantidades de obras. El pavimento se encuentra ejecutado sin recesos.</t>
  </si>
  <si>
    <t xml:space="preserve">Puertas PM4: de acuerdo al alcance del proyecto contabilizamos 19 unidades, mientras que en el ítemizado se mencionan 28 puertas. Favor confirmar la ubicación de las restantes.</t>
  </si>
  <si>
    <t xml:space="preserve">Puertas PM2: de acuerdo al alcance del proyecto contabilizamos 10 unidades, mientras que en el ítemizado se mencionan 16 puertas. Favor confirmar la ubicación de las restantes.</t>
  </si>
  <si>
    <t xml:space="preserve">Se consulta si debemos considerar terminación de cielos duros de tabique, dado que no viene en el itemizado entregado.</t>
  </si>
  <si>
    <t xml:space="preserve">Si, se confirma. Se incluye en itemizado.</t>
  </si>
  <si>
    <t xml:space="preserve">Se consulta si debemos considerar terminación de piso en Acceso Lobby de edificio administrativo, dado que no viene en el itemizado entregado y tampoco se encuentra la terminación en las EETT. </t>
  </si>
  <si>
    <t xml:space="preserve">Considerar aplicación de revestimiento epóxido Sikafloor-264.
Recintos Edif. Administrativo: Circulación 05.0.8 / Circulación 05.0.9  / Acceso 22.0.1 - Pasillo 29.0.1 - Pasillo 29.0.2.
Recintos Colo7: Circulación 05.1.10 (hasta el eje CL) / Circulación 05.1.11 / Circulación 05.1.12 / Circulación 05.1.13  (hasta el eje CL) / Circulación 05.1.14</t>
  </si>
  <si>
    <t xml:space="preserve">Se consulta si debemos considerar la pintura de terminación en muros de edificio administrativo, dado que no viene en el itemizado entregado.</t>
  </si>
  <si>
    <t xml:space="preserve">En relación a la ingeniería y suministro de sistemas de Soportación de especialidades, la memoria de calculo y diseño deben ser de acuerdo a la Norma Chilena NCh3357:2015 – Diseño sísmico de componentes y sistemas no estructurales. Favor confirmar.</t>
  </si>
  <si>
    <t xml:space="preserve">Será responsabilidad del Proponente la coordinación, el diseño, el cálculo y la ejecución de los sistemas de Soportación, conforme a las Especificaciones Técnicas, los criterios de diseño del proyecto y la normativa vigente aplicable.</t>
  </si>
  <si>
    <t xml:space="preserve">Debemos contemplar la instalación de un sistema de riego. En caso afirmativo, se solicita indicar o proporcionar el plano correspondiente, ya que el proyecto sanitario integrado no lo incluye.</t>
  </si>
  <si>
    <t xml:space="preserve">El sistema de Riego No es alcance de este RFP.</t>
  </si>
  <si>
    <t xml:space="preserve">El Nivel de Piso Terminado (NPT) del área de jardín se entregará excavado, listo para la incorporación de tierra vegetal. Alternativamente, debe especificarse la condición en que se entregará esta zona, con el fin de considerarlo adecuadamente en el presupuesto.</t>
  </si>
  <si>
    <t xml:space="preserve">El Proponente deberá considerar la nivelación y rastrillado de las áreas a plantar, incorporando una capa de 10 cm de tierra vegetal. Las especies vegetales a utilizar se encuentran especificadas en el plano ODA-0004-ARQ-PL-080.</t>
  </si>
  <si>
    <t xml:space="preserve">Las obras civiles correspondientes al confinamiento del paisajismo ya estarán ejecutadas al momento de iniciar estos trabajos.</t>
  </si>
  <si>
    <t xml:space="preserve">En cuanto al alcance del proyecto de paisajismo, se deben considerar las áreas verdes ubicadas en el sector paralelo al deslinde, entre los ejes CA y CU.</t>
  </si>
  <si>
    <t xml:space="preserve">El alcance del proyecto de paisajismo corresponde a los sectores comprendidos entre los eje CA y CL </t>
  </si>
  <si>
    <t xml:space="preserve">Instalaciones sanitarias interiores: Entendemos que estas serán existentes, por lo tanto, solo debemos considerar la instalación de los artefactos sanitarios. Agradeceremos también su confirmación al respecto.</t>
  </si>
  <si>
    <t xml:space="preserve">Si, se confirma. Es responsabilidad del Proponente instalar los refuerzos, artefactos, quincallerías y accesorios sanitarios.</t>
  </si>
  <si>
    <t xml:space="preserve">Cámara de válvulas: Según el itemizado, entendemos que la cámara de válvulas a considerar es la ubicada en la intersección del eje C1 con el eje 17B. Solicitamos confirmar si esta interpretación es correcta.</t>
  </si>
  <si>
    <t xml:space="preserve">Esta cámara se encuentra ejecutada. El itemizado se refiere a la cámara de válvulas bypass de MAP. Ver plano ODA-0004-SAN-PL-016</t>
  </si>
  <si>
    <t xml:space="preserve">Red de distribución: Agradeceremos nos indiquen si debemos considerar los arranques y la red de distribución en los siguientes puntos: 6B, 7B, 9B, 10B, 11B, 12B, 13B, 14B, 15B y 16B, o bien, cuáles de estos corresponde incluir en el alcance.</t>
  </si>
  <si>
    <t xml:space="preserve">Los arranques y la red soterrada se encuentra ejecutada. El Proponente debe considerar todas las llaves de paso y jardín y sus soportes, que se derivan de las matrices de Agua Potable.</t>
  </si>
  <si>
    <t xml:space="preserve">Tubería HDPE PN10 Ø75 mm: Solicitamos confirmar si esta tubería se proyecta soterrada en todo su recorrido o si existen tramos en los que va colgada. En caso de que se presenten ambas condiciones, agradeceremos se indique específicamente en qué tramos ocurre cada una. Asimismo, necesitamos saber si en algún sector será necesario intervenir pavimentos existentes. En caso afirmativo, solicitamos detallar los tramos donde se deberán realizar roturas de pavimento.</t>
  </si>
  <si>
    <t xml:space="preserve">Será responsabilidad del Proponente ejecutar la red de alimentación del estanque APO desde el MAP existente en el sitio operativo. La red deberá desarrollarse en trazado mixto, tanto soterrado como a la vista por la fachada, e incluirá la construcción de una nueva cámara de válvulas y la demolición del pavimento necesaria para habilitar el bypass correspondiente. Todo lo anterior deberá ejecutarse conforme a lo indicado en el plano ODA-0004-SAN-PL-016.</t>
  </si>
  <si>
    <t xml:space="preserve">Tubería HDPE PN10 Ø75 mm: Esta tubería sale desde la sala de bombas, avanza paralela al eje CA y luego continúa paralela al eje C1 hasta llegar al eje CU. ¿Corresponde considerar las llaves de paso y llaves de jardín que se derivan de esta tubería?</t>
  </si>
  <si>
    <t xml:space="preserve">El Proponente debe considerar todas las llaves de paso y jardín y sus soportes, que se derivan de las matrices de Agua Potable.</t>
  </si>
  <si>
    <t xml:space="preserve">Sala de bombas: Entendemos que ya existe una sala de bombas construida en hormigón armado. En ese sentido, solicitamos confirmar si debemos considerar únicamente la habilitación de los equipos de impulsión y accesorios hidráulicos en su interior.</t>
  </si>
  <si>
    <t xml:space="preserve">Se entregará la estructura de hormigón armado con la tapa de acceso en la losa superior y las pasadas de tuberías. El Proponente deberá considerar todos los suministros e instalaciones mecánicas y eléctricas, así como los soportes, bases, carpinterías y estructuras metálicas que sean necesarios para asegurar el total y completo funcionamiento del sistema y la terminación del recinto.
Asimismo, será responsabilidad del Proponente la ejecución de las pruebas y la puesta en marcha del Sistema de Bombeo, en estricto cumplimiento con las Especificaciones Técnicas (EETT), los planos del proyecto y la normativa vigente aplicable.</t>
  </si>
  <si>
    <t xml:space="preserve">¿Debemos considerar una caseta de guardia?</t>
  </si>
  <si>
    <t xml:space="preserve">No, la caseta de guardia es existente.</t>
  </si>
  <si>
    <t xml:space="preserve">De la Seguridad Patrimonial ¿cuál es el área que debemos considerar resguardar?  ¿todo el sitio o solo las áreas involucradas en el alcance del presupuesto? ¿Cantidad de puntos a resguardar y turnos? </t>
  </si>
  <si>
    <t xml:space="preserve">Se adjunta como Anexo XIII la descripción detallada de las instalaciones y del sitio de construcción.
La seguridad del sitio será de exclusiva responsabilidad del Proponente, quien deberá definir los puntos de control y los turnos correspondientes, en cumplimiento de las exigencias mínimas establecidas en el numeral 5 del presente RFP.
El Proponente deberá implementar todas las medidas de seguridad física, control de accesos y resguardo patrimonial necesarias para garantizar la protección de las instalaciones, equipos y personal, asegurando en todo momento el cumplimiento de la normativa vigente en materia de seguridad y salud ocupacional.</t>
  </si>
  <si>
    <t xml:space="preserve">En relación con el capítulo 6.4.6 Guardapolvos, Cubrejuntas y Molduras de las EETT de Arquitectura, observamos que en el ítemizado solo se incluye el ítem 1.1.7 Perfil de Acero Inox. ¿Debemos considerar además los guardapolvos y molduras?</t>
  </si>
  <si>
    <t xml:space="preserve">Se incluye en Itemizado. Se deben considerar todos los complementos de terminación para los revestimientos de pisos y muros.</t>
  </si>
  <si>
    <t xml:space="preserve">Ítem 9.6 – BAJADA ALL PVC  Ø160mm: Debemos considerar los sellos ya que en el itemizado se indica en el titulo "SELLOS" o debemos considerar las bajadas de aguas lluvias del proyecto que provienen de la cubierta o debemos pintar las bajadas de acuerdo a lo indicado en el capitulo 6.1.7 de las EETT de Arquitectura. Favor aclarar que tenemos que considerar.</t>
  </si>
  <si>
    <t xml:space="preserve">Ítem 1.6.4 – Seguro Todo Riego de Construcción: ¿qué debemos considerar? Ya que en la cláusula 1 del borrador de contrato indica que ODATA contratará e incluirá al contratista. Solo debemos considerar un seguro de responsabilidad civil.</t>
  </si>
  <si>
    <t xml:space="preserve">El Proponente deberá presentar una póliza de Responsabilidad Civil, en los términos y condiciones establecidos en el Contrato, como requisito obligatorio previo al inicio de sus actividades.</t>
  </si>
  <si>
    <t xml:space="preserve">Ítem 1.5.5 – Otras Mitigaciones: ¿Qué otras medidas de mitigación ambiental o de seguridad deben ser consideradas?</t>
  </si>
  <si>
    <t xml:space="preserve">Ver respuesta 121.</t>
  </si>
  <si>
    <t xml:space="preserve">Ítem 1.5.4 – Gabinete Insonorizado para Tolva de Hormigón: ¿aplica para este alcance de este presupuesto?, ¿Cuál es el alcance que esperan que consideremos?  </t>
  </si>
  <si>
    <t xml:space="preserve">Ítem 1.5.3 – Cierros Acústicos: ¿aplica para este alcance de este presupuesto?, ¿Cuál es la ubicación, longitud y características acústicas requeridas?</t>
  </si>
  <si>
    <t xml:space="preserve">Ítem 1.5.1 – Humectación del Terreno durante los Trabajos: ¿Qué medidas de mitigación específicas se esperan? ¿Con qué frecuencia se debe realizar esta humectación?</t>
  </si>
  <si>
    <t xml:space="preserve">Remítase a la RCA del proyecto y normativa vigente.</t>
  </si>
  <si>
    <t xml:space="preserve">Ítem 1.3.2 – Portón de Acceso: ¿aplica para este alcance de este presupuesto?, ¿Cuáles son las especificaciones del portón (dimensiones, tipo de apertura, material, etc.)?</t>
  </si>
  <si>
    <t xml:space="preserve">Ver Respuesta 111.</t>
  </si>
  <si>
    <t xml:space="preserve">Ítem 1.3.1 – Cierres Provisorios: ¿aplica para este alcance de este presupuesto?, ¿Qué tipo de cierres debemos considerar (materialidad, altura, longitud, etc.)?</t>
  </si>
  <si>
    <t xml:space="preserve">Ítem Empalmes provisorios: Entendemos que estos empalmes son existentes, por lo que necesitamos que nos indiquen los puntos de conexión.</t>
  </si>
  <si>
    <t xml:space="preserve">Ítem 1.2.4 – Consumos provisorios: En la RFP menciona que los consumos Los consumos de agua potable y energía eléctrica serán de cargo de ODATA, sin embargo, será responsabilidad del PROPONENTE instalar y mantener remarcadores de consumo (agua y energía). Indicar que esperan que consideremos en esta partida.</t>
  </si>
  <si>
    <t xml:space="preserve">El suministro e instalación de remarcadores de agua potable en la red provisoria que sirve a la instalación de faena.
El Proponente debe considerar en su oferta los consumos de los servicios provisorios de agua potable y electricidad</t>
  </si>
  <si>
    <t xml:space="preserve">La instalación de faenas existente cuenta con tablero general y solo debemos trasladarlo junto con ella.  </t>
  </si>
  <si>
    <t xml:space="preserve">Se requiere un plano de ubicación de los puntos de conexión de agua potable y electricidad donde debemos conectar la instalación de faenas. </t>
  </si>
  <si>
    <t xml:space="preserve">Respecto a la construcción de la nueva PEAS, se solicita informar la distancia entre su nueva ubicación y la actual, con el fin de estimar la cantidad de tubería necesaria para su conexión.</t>
  </si>
  <si>
    <t xml:space="preserve">En la nueva ubicación, se deberá contemplar la necesidad de realizar escarpes o rellenos para permitir la correcta instalación de las faenas reubicadas.</t>
  </si>
  <si>
    <t xml:space="preserve">necesitamos saber si en el emplazamiento actual de la instalación de faenas existen pavimentos que deberán ser demolidos y retirados. Indicar m2 y características. </t>
  </si>
  <si>
    <t xml:space="preserve">En relación con el traslado de la instalación de faenas, solicitamos confirmar lo siguiente:
• Cantidad de oficinas, bodegas, salas de reuniones, comedores, camarines, baños u otros módulos a trasladar.
• Dimensiones y pesos de cada módulo.
• Si existe algún plano del campamento o imágenes que indiquen los módulos a trasladar.
• Si alguno de estos recintos corresponde a una construcción permanente o si todos son módulos prefabricados/modulares.</t>
  </si>
  <si>
    <t xml:space="preserve">No forma parte del alcance de este RFP el traslado de las instalaciones de faena existentes. 
Ver lo indicado en el numeral 5 del presente RFP.
Las Instalaciones Existentes serán entregadas en funcionamiento y en buen estado, correspondiendo a: vestidores con duchas, baños, comedores, caseta de guardia y tablero general de faena.
El Proponente será responsable del mantenimiento de estas instalaciones durante todo el período del proyecto, conforme a lo indicado en el RFP. Asimismo, deberá ejecutar todas las adecuaciones que resulten necesarias para garantizar su correcto funcionamiento y el cumplimiento de la normativa vigente, de acuerdo con sus propios requerimientos.
Se adjunta como Anexo XIII la descripción detallada de las instalaciones.</t>
  </si>
  <si>
    <t xml:space="preserve">¿Se deben considerar desconectadores de servició tipo pacco, quien los suministra e instala?</t>
  </si>
  <si>
    <t xml:space="preserve">Ver respuesta 101.</t>
  </si>
  <si>
    <t xml:space="preserve">¿Se debe considerar el cableado y canalizado entre equipos de climatización y Tableros de fuerza?</t>
  </si>
  <si>
    <t xml:space="preserve">¿Se debe considerar el cableado y canalizado entre equipos de climatización y termostatos?</t>
  </si>
  <si>
    <t xml:space="preserve">¿Se debe considerar algún tablero de fuerza y control asociado a equipos de climatización?</t>
  </si>
  <si>
    <t xml:space="preserve">¿Se debe considerar glicol para el sistema, para que volumen y en que porcentaje ?</t>
  </si>
  <si>
    <t xml:space="preserve">El sistema No requiere glicol.</t>
  </si>
  <si>
    <t xml:space="preserve">¿Se debe considerar ensayos radiográficos en soldaduras ?</t>
  </si>
  <si>
    <t xml:space="preserve">Ver respuesta 25.</t>
  </si>
  <si>
    <t xml:space="preserve">El proyecto EXP 04 contempla tres fases: 5, 6 y 7. ¿Estas fases se abordan en conjunto, o se considera solo una o dos de ellas? Favor de indicar claramente cuál o cuáles fases se incluyen en esta entrega.</t>
  </si>
  <si>
    <t xml:space="preserve">Forma parte del presente RFP la provisión, instalación, coordinación, pruebas y puesta en marcha de los sistemas de HVAC, exclusivamente correspondientes a la Fase 5 del proyecto.</t>
  </si>
  <si>
    <t xml:space="preserve">¿El posicionamiento final de los equipos quien lo realiza, el mandante, el proveedor, o el contratista?</t>
  </si>
  <si>
    <t xml:space="preserve">¿Los equipos suministrados por el propietario cuentan con la póliza de seguro que cubre los daños implícitos por la movilización de dichos equipos?</t>
  </si>
  <si>
    <t xml:space="preserve">Los equipos suministrados por el Propietario se encuentran cubiertos por el seguro TRC. No obstante, el cuidado, protección y resguardo de dichos equipos, una vez posicionados en su sitio, será de exclusiva responsabilidad del Proponente.</t>
  </si>
  <si>
    <t xml:space="preserve">¿Se debe considerar sensores de flujo, de temperatura y de presión para los equipos, cañerías o ductos? ¿Quién es responsable del suministro y montaje?</t>
  </si>
  <si>
    <t xml:space="preserve">La ejecución de los trabajos deberá regirse por las Especificaciones Técnicas (EETT) y los planos del proyecto. El suministro y montaje es responsabilidad del Proponente.</t>
  </si>
  <si>
    <t xml:space="preserve">¿Se deben considerar dampers cortafuego accionados por fusible térmico o a través de un actuador motorizado?</t>
  </si>
  <si>
    <t xml:space="preserve">Ver Respuesta 96.</t>
  </si>
  <si>
    <t xml:space="preserve">¿Los accesorios de distribución de aire tales como difusores, rejillas, templadores, etc. Serán de fierro o de aluminio?</t>
  </si>
  <si>
    <t xml:space="preserve">¿Para la aislación de ductos es posible contemplar fibra de vidrio? ¿En que espesor?</t>
  </si>
  <si>
    <t xml:space="preserve">¿Para la aislación de cañerías es posible contemplar espuma elastomérica? ¿En que espesor?</t>
  </si>
  <si>
    <t xml:space="preserve">¿Se debe considerar forro metálico para cañerías y ductos a la intemperie? ¿En que espesor?</t>
  </si>
  <si>
    <t xml:space="preserve">La ejecución de los trabajos deberá regirse por las Especificaciones Técnicas (EETT) y los planos del proyecto, en especial los documentos ODA-0004-CLI-ET-005 y ODA-0004-CLI-ET-008.</t>
  </si>
  <si>
    <t xml:space="preserve">¿Se debe considerar pasivado para las cañerías?</t>
  </si>
  <si>
    <t xml:space="preserve">Ver respuesta 94.</t>
  </si>
  <si>
    <t xml:space="preserve">¿Se debe considerar limpieza de cañería de tipo Flushing?</t>
  </si>
  <si>
    <t xml:space="preserve">Sí, Flushing y Pasivado, estas actividades forman parte del alcance del presente RFP. El Proponente deberá presentar un procedimiento específico para su ejecución, el cual deberá ser sometido a aprobación previa de Odata antes de dar inicio a la actividad.</t>
  </si>
  <si>
    <t xml:space="preserve">¿Es posible considerar unión tipo spools para las cañerías de acero?</t>
  </si>
  <si>
    <t xml:space="preserve">El Proponente podrá considerar el uso de uniones tipo spool; no obstante, será responsable de garantizar en todo momento la funcionalidad, continuidad y correcto desempeño del sistema, sin que ello implique derecho a reclamación por eventuales impactos asociados.</t>
  </si>
  <si>
    <t xml:space="preserve">Confirmar si la planta de tratamiento químico y el sistema de ablandamiento para el agua, es suministrada por el mandante</t>
  </si>
  <si>
    <t xml:space="preserve">ODA-0004-CLI-HD-008</t>
  </si>
  <si>
    <t xml:space="preserve">Ver Respuesta 83.</t>
  </si>
  <si>
    <t xml:space="preserve">Confirmar si los 9 equipos split son suministrados por el mandante. ¿Quién realizará el montaje de estos equipos?</t>
  </si>
  <si>
    <t xml:space="preserve">ODA-0004-CLI-ET-010</t>
  </si>
  <si>
    <t xml:space="preserve">Confirmar si los equipos VRF son suministrados por el mandante. ¿Quién realizará el montaje de estos equipos?</t>
  </si>
  <si>
    <t xml:space="preserve">ODA-0004-CLI-ET-008</t>
  </si>
  <si>
    <t xml:space="preserve">Confirmar si los 2 equipos AHU son suministrados por el mandante. ¿Quién realizará el montaje de estos equipos?</t>
  </si>
  <si>
    <t xml:space="preserve">ODA-0004-CLI-ET-009</t>
  </si>
  <si>
    <t xml:space="preserve">Confirmar si los 65 equipos DELTACUBE, (19 unidades para Colo 7 Fase 5 y 7, 23 unidades para el Colo 8 Fase 6 y 23 unidades para el Colo 9 Fase 6) son suministrados por el mandante. ¿Quién realizará el montaje de estos equipos?</t>
  </si>
  <si>
    <t xml:space="preserve">ODA-0004-CLI-ET-011</t>
  </si>
  <si>
    <t xml:space="preserve">Ver Respuesta 79.</t>
  </si>
  <si>
    <t xml:space="preserve">Confirmar si los 4 equipos CRAC son suministrados por el mandante. ¿Quién realizará el montaje de estos equipos?</t>
  </si>
  <si>
    <t xml:space="preserve">ODA-0004-CLI-ET-014</t>
  </si>
  <si>
    <t xml:space="preserve">Ver  Respuesta 83</t>
  </si>
  <si>
    <t xml:space="preserve">Confirmar si los 9 ventiladores, (3) de inyección y (6) de extracción son suministrados por el mandante. ¿Quién realizará el montaje de estos equipos?</t>
  </si>
  <si>
    <t xml:space="preserve">ODA-0004-CLI-ET-007</t>
  </si>
  <si>
    <t xml:space="preserve">Confirmar si los 2 equipos desaireadores y 2 equipos de presurización (Fase 5) son suministrados por el mandante. ¿Quién realizará el montaje de estos equipos?</t>
  </si>
  <si>
    <t xml:space="preserve">ODA-0004-CLI-HD-007</t>
  </si>
  <si>
    <t xml:space="preserve">Confirmar si los 6 estanques de expansión (6 unidades para la Fase 5) son suministrados por el mandante. ¿Quién realizará el montaje de estos equipos?</t>
  </si>
  <si>
    <t xml:space="preserve">Confirmar si los 14 estanques de acumulación, (6 unidades para la Fase 5 y 8 unidades para la fase 6) son suministrados por el mandante. ¿Quién realizará el montaje de estos equipos?</t>
  </si>
  <si>
    <t xml:space="preserve">Es alcance del Proponente la provisión, instalación, ejecución, coordinación, pruebas y puesta en marcha de estos equipos.</t>
  </si>
  <si>
    <t xml:space="preserve">Confirmar si las 14 bombas asociadas a los Chillers son suministradas por el mandante.  ¿Quién realizará el montaje de estos equipos?</t>
  </si>
  <si>
    <t xml:space="preserve">ODA-0004-CLI-ET-004</t>
  </si>
  <si>
    <t xml:space="preserve">Confirmar si los 4 equipos CRAC, (2 unidades para sala eléctrica ADM y 2 unidades para recintos BMS) son suministrados por el mandante. ¿Quién realizará el montaje de estos equipos?</t>
  </si>
  <si>
    <t xml:space="preserve">Confirmar si los 22 equipos CRAH, (14 unidades para Salas eléctricas y 8 unidades para recintos IDF) son suministrados por el mandante. ¿Quién realizará el montaje de estos equipos?</t>
  </si>
  <si>
    <t xml:space="preserve">ODA-0004-CLI-ET-002</t>
  </si>
  <si>
    <t xml:space="preserve">Confirmar si los 14 equipos Chillers, (6 unidades para la Fase 5 Colo 7 y 8 unidades para la fase 6 Colos 8 y 9) son suministrados por el mandante. ¿Quién realizará el montaje de estos equipos?</t>
  </si>
  <si>
    <t xml:space="preserve">ODA-0004-CLI-ET-001</t>
  </si>
  <si>
    <t xml:space="preserve">Remítase al alcance del RFP para cada equipo indicado. NO es alcance de esta RFP los equipos del las Fase 6 y 7.</t>
  </si>
  <si>
    <t xml:space="preserve">Clarificar alcance de lo indicado como “Queda excluido el Sistema de Mangueras Contra Incendio, Red Seca y Señalización de la Fase 6 y 7.”</t>
  </si>
  <si>
    <t xml:space="preserve">Ver Respuesta 76.</t>
  </si>
  <si>
    <t xml:space="preserve">Clarificar alcance de lo indicado como “Queda excluido de esta licitación el suministro e instalación de los extintores dedicados a las Fases 6 y 7.”</t>
  </si>
  <si>
    <t xml:space="preserve">Se solicita clarificar lo indicado como “Queda excluido de esta licitación la red de rociadores a instalar en el nivel cielo de la Fase 6, sin embargo, se deberá dejar una respectiva válvula de corte en la acometida al ramal de distribución de los rociadores de nivel cielo”.
a. ¿Esto significa que los rociadores de cubierta deben ser instalados completamente, no así los rociadores de pasillo en cielo?
b. ¿Se debe incorporar una nueva válvula, además de las indicadas en manifold para el “ramal de distribución de los rociadores de nivel cielo”?</t>
  </si>
  <si>
    <r>
      <rPr>
        <sz val="12"/>
        <color rgb="FF000000"/>
        <rFont val="Aptos Narrow"/>
        <family val="2"/>
        <charset val="1"/>
      </rPr>
      <t xml:space="preserve">El alcance del presente RFP corresponde a la Fase 5 del proyecto, con excepción del SPCI, el cual deberá incluir adicionalmente </t>
    </r>
    <r>
      <rPr>
        <b val="true"/>
        <sz val="12"/>
        <color rgb="FF000000"/>
        <rFont val="Aptos Narrow"/>
        <family val="2"/>
        <charset val="1"/>
      </rPr>
      <t xml:space="preserve">solo</t>
    </r>
    <r>
      <rPr>
        <sz val="12"/>
        <color rgb="FF000000"/>
        <rFont val="Aptos Narrow"/>
        <family val="2"/>
        <charset val="1"/>
      </rPr>
      <t xml:space="preserve"> la instalación de los rociadores a nivel de cubierta de la </t>
    </r>
    <r>
      <rPr>
        <b val="true"/>
        <sz val="12"/>
        <color rgb="FF000000"/>
        <rFont val="Aptos Narrow"/>
        <family val="2"/>
        <charset val="1"/>
      </rPr>
      <t xml:space="preserve">Fase 6</t>
    </r>
    <r>
      <rPr>
        <sz val="12"/>
        <color rgb="FF000000"/>
        <rFont val="Aptos Narrow"/>
        <family val="2"/>
        <charset val="1"/>
      </rPr>
      <t xml:space="preserve">, ejecutando las adecuaciones necesarias en el sistema para permitir la continuidad de su implementación en las Fases 6 y 7 en una etapa posterior.</t>
    </r>
  </si>
  <si>
    <t xml:space="preserve">Se solicita clarificar lo indicado como “Dar continuidad a las tuberías del Sistema de impulsión desde las transiciones de HDPE / ACERO indicadas en el proyecto”, esto se refiere solo a las alimentaciones de los manifold respectivos o continuación de la red perimetral desde algún punto.</t>
  </si>
  <si>
    <t xml:space="preserve">Las redes de SPCI se entregan ejecutadas a nivel soterrado. Es alcance del Proponente completar dichas redes. </t>
  </si>
  <si>
    <t xml:space="preserve">Para los suministros de equipos de Clima entregados por el Cliente (Chillers, Delta Cube, CRAH, Tableros MCP y BOC, etc.), se solicita confirmar que los equipos serán entregados posicionados y anclados en su lugar final definido, incluyendo los elementos de anclaje, además de considerar los izajes y traslados horizontales respectivos de los equipos.
</t>
  </si>
  <si>
    <t xml:space="preserve">RFP INSTALCIONES EX05_REV2</t>
  </si>
  <si>
    <t xml:space="preserve">Respecto de los equipos o grupos Generadores, confirmar que para procesos de Start-Up, pruebas y comisionamiento, el suministro de Petróleo deberá ser considerado por Proveedor o cliente según corresponda.</t>
  </si>
  <si>
    <t xml:space="preserve">Es parte del alcance del Proponente</t>
  </si>
  <si>
    <t xml:space="preserve">Se solicita confirmar que el desarrollo de los estudios de corto circuito y de coordinación eléctrica de las protecciones de los equipos y cuadros en general serán entregados por el cliente.</t>
  </si>
  <si>
    <t xml:space="preserve">Se confirma. Es responsabilidad del Proponente proporcionar las fichas de las protecciones de equipos y tableros instalados oportunamente.</t>
  </si>
  <si>
    <t xml:space="preserve">Para los suministros de equipos de energía entregados por el Cliente (RMU, Transformador XFMR, Grupos Generadores, Sistema UPS, Bancos de Baterías y Tableros de Paralelismo, Conmutador STS, Unidad PDU, LV Switchgear, Equipos RPP), se solicita confirmar que los equipos serán entregados posicionados y anclados en su lugar final definido, incluyendo los elementos de anclaje, además de considerar los izajes y traslados horizontales respectivos de los equipos.</t>
  </si>
  <si>
    <t xml:space="preserve">¿Son parte del alcance el suministro e instalación de todos los elementos de exterior tales como: Pintura Demarcación Estacionamientos, Topes Vehiculares, Bolardos, Bicicleteros y Letreros, etc.?</t>
  </si>
  <si>
    <t xml:space="preserve">Si, forman parte del alcance de este RFP.</t>
  </si>
  <si>
    <t xml:space="preserve">¿Son parte del alcance la provisión, instalación, ejecución y pruebas de las Bajadas de Aguas lluvias, incluida la pintura de terminación, de acuerdo con los planos, detalles y especificaciones del proyecto?</t>
  </si>
  <si>
    <t xml:space="preserve">Ver respuesta 126.</t>
  </si>
  <si>
    <t xml:space="preserve">¿Son parte del alcance la provisión, instalación, ejecución y pruebas de la tubería de alimentación desde el MAP hasta el Estanque APO, incluidas cámaras, válvulas y las obras civiles respectivas?</t>
  </si>
  <si>
    <t xml:space="preserve">¿Son parte del alcance la provisión, instalación, ejecución, pruebas y puesta en marcha del Sistema de Bombeo y Complementos del Estanque de Agua Potable?</t>
  </si>
  <si>
    <t xml:space="preserve">Ver Respuesta 130</t>
  </si>
  <si>
    <t xml:space="preserve">¿Son parte del alcance la provisión e instalación de todas las redes interiores de Agua Potable y Alcantarillado bajo losas, radieres e interiores de muros y tabiques, de acuerdo con los planos, detalles y especificaciones del proyecto?.</t>
  </si>
  <si>
    <t xml:space="preserve">¿Son parte del alcance las redes exteriores soterradas (para todo el edificio) de Agua Potable, Alcantarillado, Saneamiento de Aguas Lluvias y las redes de incendio hasta su transición entre HDPE y Acero?</t>
  </si>
  <si>
    <t xml:space="preserve">¿Son parte del alcance las Fundaciones, Losas, Radieres y Pavimentos Exteriores?</t>
  </si>
  <si>
    <t xml:space="preserve">¿Son parte del alcance los Radieres Interiores, Estructuras Metálicas, ¿Tabiques Revestimientos de Fachadas y Complejo de Cubierta?</t>
  </si>
  <si>
    <t xml:space="preserve">Indicar si la plataforma Ignition existente cuenta con la capacidad de licencias para absorber las variable a integrar de la Expansión 5</t>
  </si>
  <si>
    <t xml:space="preserve">El Proponente debe considerar el suministro de las licencias para integrar las nuevas variables.</t>
  </si>
  <si>
    <t xml:space="preserve">Confirmar si se debe considerar una plataforma BMS completa, o se  debe integrar los controladores a la plataforma BMS existente?</t>
  </si>
  <si>
    <t xml:space="preserve">ODA-0004-AUT-ET-0001</t>
  </si>
  <si>
    <t xml:space="preserve">Se debe integrar a la plataforma existente</t>
  </si>
  <si>
    <t xml:space="preserve">Por favor indicar fecha de inicio de la obra </t>
  </si>
  <si>
    <t xml:space="preserve">Ver Respuesta 58.</t>
  </si>
  <si>
    <t xml:space="preserve">Por  favor indicar el plazo para la especialidad de climatización </t>
  </si>
  <si>
    <t xml:space="preserve">Por favor indicar el plazo de la obra</t>
  </si>
  <si>
    <t xml:space="preserve">Remítase al documento "ANEXO III_Programa de Construcción ST01 Fase 5-E2_revA"</t>
  </si>
  <si>
    <t xml:space="preserve">Por favor aclarar el alcance que se exige al Contratista respecto de las Pruebas y Comisionamiento.</t>
  </si>
  <si>
    <t xml:space="preserve">Alcance – Pruebas (numeral 14 Contrato /numeral 4,2 RFP)</t>
  </si>
  <si>
    <t xml:space="preserve">El Contratista actuará como facilitador en todas las pruebas, prestando apoyo a ODATA y a los proveedores de equipos. Será responsable de entregar los recintos debidamente preparados y de ejecutar las adecuaciones necesarias para asegurar la correcta integración de las instalaciones.
Deberá proporcionar apoyo técnico especializado durante las Pruebas Individuales y Pruebas Integradas, ejecutando y/o supervisando dichas actividades junto con ODATA y los proveedores.
Durante el proceso de Comisionamiento, se repetirán las Pruebas Individuales e Integradas bajo la coordinación del Agente Comisionador, contando con el apoyo del Contratista y la supervisión de los proveedores de equipos.</t>
  </si>
  <si>
    <t xml:space="preserve">Por favor enviar copia de los documentos integrantes indicados en el listado.</t>
  </si>
  <si>
    <t xml:space="preserve">Borrador de Contrato: Documentos Integrantes (numeral 1.2). </t>
  </si>
  <si>
    <t xml:space="preserve">Se adjunta al RFP documentación de Salud, Seguridad, Medio Ambiente y Calidad, Requisitos de Seguro, Resolución de Calificación ambiental Nº 098/2021, Reglamento de Empresas Contratistas.</t>
  </si>
  <si>
    <t xml:space="preserve">Por favor confirmar si existe una Matriz de Permisos que identifique y enumere los ‘Permisos de Responsabilidad del Contratista’ y los ‘Permisos de Responsabilidad de ODATA’.</t>
  </si>
  <si>
    <t xml:space="preserve">Borrador de Contrato: Permisos (numerales 5.7.2, puntos xx y xxi, y numeral 5.8)</t>
  </si>
  <si>
    <t xml:space="preserve">No existe. Es responsabilidad del Proponente proporcionar todos los antecedentes necesarios que le competan para la obtención de la recepción final y los permisos para las instalaciones provisorias de faena.</t>
  </si>
  <si>
    <t xml:space="preserve">Favor, aclarar si es parte de la propuesta considerar malla protectora sobre tabique divisorio del Colo 7?</t>
  </si>
  <si>
    <t xml:space="preserve">No forma parte del alcance de este RFP ejecutar los tabiques de Mallas.
Es responsabilidad del Proponente ejecutar los destajes para pasadas de instalaciones, así como la reposición de sellos en estas, en conformidad a las EETT del proyecto.</t>
  </si>
  <si>
    <t xml:space="preserve">Favor aclarar, de que medidas es el medidor?</t>
  </si>
  <si>
    <t xml:space="preserve">Ver respuesta 48</t>
  </si>
  <si>
    <t xml:space="preserve">¿Se debe considerar ambulancia como servicio permanente durante la ejecución de los trabajos?</t>
  </si>
  <si>
    <t xml:space="preserve">Solo para la etapa de energización, comisionamiento y puesta en servicio.</t>
  </si>
  <si>
    <t xml:space="preserve">Favor, aclarar en que estado se encontrará la obra civil al inicio de los trabajos, ¿los tabiques tendrán los refuerzos para equipos/accesorios?, en caso de ser negativa la respuesta: ¿hay algún requerimiento especial para los refuerzos? ¿Se deberá considerar destaje de tabiques ejecutados para generar los refuerzos?</t>
  </si>
  <si>
    <t xml:space="preserve">Es responsabilidad del Proponente ejecutar los refuerzos en tabiques para equipos, artefactos y accesorios, así como la reposición de los destajes y sellos en conformidad a las EETT del proyecto.</t>
  </si>
  <si>
    <t xml:space="preserve">Favor, indicar si se requiere modificar o agregar alguna instalación o reubicación de instalación de faenas.</t>
  </si>
  <si>
    <t xml:space="preserve">Ver Respuesta 111 y remítase al numeral 5 del presente RFP.</t>
  </si>
  <si>
    <t xml:space="preserve">Favor,  indicar si Odata entregará instalación de faenas y que sería específicamente (oficinas, vestidores, comedores, baños, etc.), en caso de ser positiva la respuesta, favor indicar quien será el responsable de la mantención y para cuanto personal se contará según DS 594.</t>
  </si>
  <si>
    <t xml:space="preserve">Favor aclarar, de que dimensiones es el MAP (medidor agua potable)</t>
  </si>
  <si>
    <t xml:space="preserve">Medidor existente 80mm - 110m3</t>
  </si>
  <si>
    <t xml:space="preserve">Favor aclarar,  a que distancia se encuentra la matriz de agua potable para unir la red de agua de oficinas y recintos húmedos. </t>
  </si>
  <si>
    <t xml:space="preserve">Ver Respuesta 46.</t>
  </si>
  <si>
    <t xml:space="preserve">Favor aclarar, a que distancia se encuentra la cámaras de inspección sanitaria para evacuar aguas servidas de oficinas y recintos húmedos, sino aclarar donde podemos conectar la red de agua. </t>
  </si>
  <si>
    <t xml:space="preserve">No forma parte del alcance de este RFP. Agua potable bajo losas, Interior tabiques y redes soterradas exteriores se ejecuta en etapa previa.</t>
  </si>
  <si>
    <t xml:space="preserve">Favor aclarar, en las oficinas del 1er piso  y  2 do piso debemos considerar en nuestra oferta la tabiquería que conforma oficinas baños y 2 do piso. </t>
  </si>
  <si>
    <t xml:space="preserve">No forma parte del alcance de este RFP. Tabiquería se ejecuta en etapa previa.</t>
  </si>
  <si>
    <t xml:space="preserve">Favor aclarar, si en los baños y recintos húmedos de oficinas se entregara la red de alcantarillado, o hay que considerarlo? </t>
  </si>
  <si>
    <t xml:space="preserve">No forma parte del alcance de este RFP. Alcantarillado bajo radier, losas y soterrados exteriores se ejecuta en etapa previa.</t>
  </si>
  <si>
    <t xml:space="preserve">Se solicita información sobre los parámetros de calidad de agua para carga de sistema CAG para comisionamiento y operación (unificados según requerimientos de todos los equipos).</t>
  </si>
  <si>
    <t xml:space="preserve">Se adjunta requisitos.</t>
  </si>
  <si>
    <t xml:space="preserve">Se solicita confirmación si sistema CAG requiere Glicol, si requiere, confirmar porcentaje.</t>
  </si>
  <si>
    <t xml:space="preserve">El sistema de CAG no requiere Glicol.</t>
  </si>
  <si>
    <t xml:space="preserve">Favor, confirmar que equipos Chillers arribarán y serán instalados antes de adjudicación de esta licitación, si se confirma, ¿¿se deberán excluir los seguros de izaje?</t>
  </si>
  <si>
    <t xml:space="preserve">Si, se confirma. El Montaje de los Chiller No forma parte del alcance de este RFP.</t>
  </si>
  <si>
    <t xml:space="preserve">Se solicita confirmar que sistemas de climatización VRV son bomba de calor según lo indicado en EETT, Se puede evaluar cambio a sistema con recuperación Heat Recovery.</t>
  </si>
  <si>
    <t xml:space="preserve">El Proponente podrá presentar una propuesta alternativa para la implementación de un sistema de heat recovery; sin embargo, será de su exclusiva responsabilidad la gestión de las coordinaciones, adecuaciones y modificaciones que dicha propuesta requiera, así como la obtención de la aprobación previa correspondiente, sin que ello implique derecho a reclamación de impactos en plazo, costo u otras consecuencias derivadas de este trámite.</t>
  </si>
  <si>
    <t xml:space="preserve">Se solicitan fichas técnicas de equipos Delta Cube?? Packing List para revisión de alcances para montaje.</t>
  </si>
  <si>
    <t xml:space="preserve">Ver ANEXO X_Delta3 seismic Mechanical Submittal</t>
  </si>
  <si>
    <t xml:space="preserve">Favor, aclarar si estos tableros son por parte de Contratista eléctrico y si es afirmativo enviar los Diagramas Unilineales:
TGAUX- GPP-7.1
T.D.A.F. y Cl.-FL-LP-7.1
T.D.F.-VFD-SCWP-7.1
TGAUX- GPP-7.2
T.D.A.F. y Cl.-FL-LP-7.2
T.D.F.-VFD-SCWP-7.2
TGAUX- GPP- 7.R
FRANCISCO BARRIENTOS
28-08-2025 17:46
T.DF SDU AUT 7.R
TDF-PLANTA TRATAMIENTO</t>
  </si>
  <si>
    <t xml:space="preserve">T.G.Aux.-GPP-7.1 (alcance de FINNING)
T.D.A.F. y Cl.-FL-LP-7.1 (considerar tablero T.D.A.F.-FL-LP-IT.7.1)
T.D.F-VFD-SCWP-7.1 (no considerar)
T.G.Aux.-GPP-7.2 (alcance de FINNING)
T.D.A.F. y Cl.-FL-LP-7.2 (considerar tablero T.D.A.F.-FL-LP-IT.7.2)
T.D.F-VFD-SCWP-7.2 (no considerar)
T.G.Aux.-GPP-7.R (alcance de FINNING)
T.D.F.-SDU-AUT-7.R (considerar tablero T.D.F.-SDU-AUT-7.2)
TDF-PLANTA TRATAMIENTO QUIMICO (alcance de GC)</t>
  </si>
  <si>
    <t xml:space="preserve">Favor confirmar que trabajos y en que sectores deben extenderse a los Colos 8 y 9 (Alimentadores, distribuciones, CCDD, Bandejas, etc.).</t>
  </si>
  <si>
    <t xml:space="preserve">No forman parte del alcance de  este RFP el sistema eléctrico de los Colos 8 y 9.</t>
  </si>
  <si>
    <t xml:space="preserve">Confirmar que la configuración de alimentadores (puntualmente las tierras) indicadas en proyecto cumple normativamente Ejemplo: 8x3x1c 240mm2 + 1c 240mm2 RV-K.?</t>
  </si>
  <si>
    <t xml:space="preserve">Ejecutar de acuerdo al proyecto eléctrico.</t>
  </si>
  <si>
    <t xml:space="preserve">Favor confirmar que no forman parte de esta oferta las canalizaciones soterradas (Media tensión, Baja tensión, CCDD).</t>
  </si>
  <si>
    <t xml:space="preserve">No forman parte del alcance de  este RFP. Se ejecutaron en etapa previa.</t>
  </si>
  <si>
    <t xml:space="preserve">Existe algún detalle, referencia, marca, modelo, para los cargadores vehiculares?</t>
  </si>
  <si>
    <t xml:space="preserve">Favor confirmar que la alimentación desde las RPP hasta los rack en data hall no forman parte de esta propuesta.</t>
  </si>
  <si>
    <t xml:space="preserve">No forman parte del alcance de  este RFP. </t>
  </si>
  <si>
    <t xml:space="preserve">Favor confirmar si las porta conductoras y canalizaciones de los data hall forman parte o no de esta propuesta?</t>
  </si>
  <si>
    <t xml:space="preserve">Si forman parte del alcance de este RFP.</t>
  </si>
  <si>
    <t xml:space="preserve">Favor confirmar que el fit out no forma parte de esta oferta?</t>
  </si>
  <si>
    <t xml:space="preserve">Que OOCC requerirán las instalaciones?
 - Atraviesos de camino
 - Bancos de ducto o trayrack
- Poyos o cimientos distintos a los BESS e Inversores (iluminación, etc.)
- Otros, favor informar…</t>
  </si>
  <si>
    <t xml:space="preserve">Las obras civiles se encuentran finalizadas en la etapa precedente. Será responsabilidad exclusiva del Proponente el diseño, la coordinación y la ejecución de todos los sistemas de Soportación requeridos para las distintas especialidades, así como de las bases necesarias para la correcta instalación de los equipos suministrados.</t>
  </si>
  <si>
    <t xml:space="preserve">Confirmar plazo de llegada de los equipos suministrados por Odata, una vez comenzada la obra.</t>
  </si>
  <si>
    <t xml:space="preserve">Los equipos suministrados por ODATA estarán disponibles en el sitio de obra conforme a los requerimientos de la planificación que deberá presentar cada Proponente, una vez adjudicada la obra.</t>
  </si>
  <si>
    <t xml:space="preserve">Odata proveerá punto de energía, baños, agua, servicios de internet, vigilancia nocturna?</t>
  </si>
  <si>
    <t xml:space="preserve">De los equipos suministrados por Odata, favor confirmar cuales de estos se entregaran montados en su ubicación final?</t>
  </si>
  <si>
    <t xml:space="preserve">Ver ANEXO IX_Listado de Equipos Suministro Odata.</t>
  </si>
  <si>
    <t xml:space="preserve">Favor indicar en detalle el alcance de los alimentadores en media tensión, cuales formaran parte de esta licitación, ídem para bancos de ductos media tensión según lamina ODA-0004-ELE-PL-003.dwg?</t>
  </si>
  <si>
    <t xml:space="preserve">No se deberán ejecutar bancos de ductos, pero si deberán considerar todos los alimentadores de media tensión para los equipos de Fase 5</t>
  </si>
  <si>
    <t xml:space="preserve">¿Se debe considerar pruebas FAT para los equipos suministrados por las especialidades?</t>
  </si>
  <si>
    <t xml:space="preserve">El Proponente deberá considerar la realización de todas las pruebas FAT (Factory Acceptance Test) y SAT (Site Acceptance Test) correspondientes a los equipos suministrados por las especialidades, conforme a lo indicado en el numeral 4.4 del presente RFP.
Será responsabilidad del Proponente la planificación, coordinación, ejecución y documentación de dichas pruebas, asegurando su conformidad con las Especificaciones Técnicas, los planos de proyecto y la normativa vigente, así como la entrega de los reportes y certificados respectivos a la Inspección Técnica de Obra o a ODATA.</t>
  </si>
  <si>
    <t xml:space="preserve">Para la totalidad de las válvulas, ¿se debe considerar con brida para 2 ½ inclusive hacia arriba y roscado de 2” hacia diámetros menores?</t>
  </si>
  <si>
    <t xml:space="preserve">Ver Respuesta 20.</t>
  </si>
  <si>
    <t xml:space="preserve">¿Quién es responsable de la ingeniería? ¿se deben considerar HH para replanteo de ingeniería a nivel BIM?</t>
  </si>
  <si>
    <t xml:space="preserve">El responsable de la ingeniería es el Diseñador contratado por ODATA; sin perjuicio de lo anterior, el alcance de este RFP establece las responsabilidades específicas del Proponente en la materia, conforme a lo indicado en los numerales 4.2, 4.3.8, 4.4 y 5.4.
El Proponente deberá coordinar, complementar y ejecutar todas las acciones necesarias para dar cumplimiento a dichas responsabilidades, garantizando la correcta integración de las especialidades y la conformidad con las Especificaciones Técnicas, los planos de proyecto y la normativa vigente, sin que ello implique costos adicionales para el Mandante.</t>
  </si>
  <si>
    <t xml:space="preserve">¿Es factible cambiar la marca de equipos nombrados en las RFP e ingeniería? considerar equivalentes técnicos?</t>
  </si>
  <si>
    <t xml:space="preserve">¿Es factible cambiar el tipo de uniones para los sistemas mecánicos?</t>
  </si>
  <si>
    <t xml:space="preserve">¿Es factible presentar mejoras como cambio de materialidad o cambio de rutas para optimizar la propuesta?</t>
  </si>
  <si>
    <t xml:space="preserve">La ejecución de los trabajos deberá regirse por las Especificaciones Técnicas (EETT) y los planos del proyecto.</t>
  </si>
  <si>
    <t xml:space="preserve">Favor indicar ubicación en planos de planta del sector administración de Ascensor Adm.2, Plataforma vertical Adm.2 y Cargador de  vehículos Adm.2, para efectos de poder verificar el largo de sus alimentadores.</t>
  </si>
  <si>
    <t xml:space="preserve">Ver planos ODA-0004-ARQ-PL-020 y ODA-0004-ARQ-PL-080.</t>
  </si>
  <si>
    <t xml:space="preserve">Solicitamos indicar la potencia de faros LED y tiempo de autonomía (hrs), ya que no aparece definida en la simbología de los planos.</t>
  </si>
  <si>
    <t xml:space="preserve">Revisar proyecto eléctrico </t>
  </si>
  <si>
    <t xml:space="preserve">¿Para el sistema de Telecomunicaciones, se Solicitan los modelos de los equipos que fueron instalados en la Etapa 1.</t>
  </si>
  <si>
    <t xml:space="preserve">Se deberán usar equipos compatibles con los software en servicios y estos deberán ser marcas de primera línea</t>
  </si>
  <si>
    <t xml:space="preserve">Para el sistema de seguridad electrónica, se solicita compartir los modelos de los equipos que fueron instalados en la Etapa 1</t>
  </si>
  <si>
    <t xml:space="preserve">En caso de que los servidores para el sistema de seguridad sean existentes, ¿cuentan con licencias disponibles para la incorporación de los nuevos equipos?</t>
  </si>
  <si>
    <t xml:space="preserve">En caso de usar servidores existentes, el Proponente deberá considerar todas las licencias necesarias  para  integrar los nuevos dispositivos</t>
  </si>
  <si>
    <t xml:space="preserve">¿Los servidores para el sistema de seguridad serán los mismos existentes o se deben proveer nuevos?</t>
  </si>
  <si>
    <t xml:space="preserve">Los servidores serán provisionados por Odata, el Proponente deberá realizar su instalación  física en el respectivo Rack</t>
  </si>
  <si>
    <t xml:space="preserve">¿Podrían compartir la lista de puntos de referencia para la respectiva fase a ejecutar?</t>
  </si>
  <si>
    <t xml:space="preserve">Listado de puntos fue compartido en los  antecedentes. Revisar</t>
  </si>
  <si>
    <t xml:space="preserve">¿La contratante podría compartir los modelos de los equipos que fueron instalados en la Etapa 1?</t>
  </si>
  <si>
    <t xml:space="preserve">La pregunta no especifica que equipos desea consultar.</t>
  </si>
  <si>
    <t xml:space="preserve">En caso de que el servidor del sistema de BMS sea el existente ¿este cuenta con licencias disponibles para la incorporación de los nuevos controladores?</t>
  </si>
  <si>
    <t xml:space="preserve">Ver respuesta 5</t>
  </si>
  <si>
    <t xml:space="preserve">¿El servidor para el sistema de BMS será el mismo existente o se debe proveer uno nuevo?</t>
  </si>
  <si>
    <t xml:space="preserve">Se utilizara el existente.</t>
  </si>
  <si>
    <t xml:space="preserve">¿Debe considerarse operación asistida? En caso afirmativo, ¿por cuánto tiempo?</t>
  </si>
  <si>
    <t xml:space="preserve">No, solo el acompañamiento en el proceso de comisionamiento y capacitaciones.</t>
  </si>
  <si>
    <t xml:space="preserve">¿Debe considerarse algún período de garantía distinto a los 12 meses?</t>
  </si>
  <si>
    <t xml:space="preserve">Las Garantías se indican en el Contrato.</t>
  </si>
  <si>
    <t xml:space="preserve">Dado que se trata de una expansión, ¿se debe considerar la ejecución de actividades fuera del horario laboral o podemos asumir que los servicios se realizarán en horario laboral?</t>
  </si>
  <si>
    <t xml:space="preserve">La determinación de las jornadas laborales será de exclusiva responsabilidad del Proponente. El Mandante no impondrá limitaciones al respecto, siempre que dichas jornadas se ajusten estrictamente a la normativa legal vigente.</t>
  </si>
  <si>
    <t xml:space="preserve">¿Es correcto entender que esta oportunidad se atenderá en las etapas descritas como Fase 5, Fase 6 y Fase 7? ¿O solo en la Fase 5?</t>
  </si>
  <si>
    <t xml:space="preserve">Ver respuesta 3</t>
  </si>
  <si>
    <t xml:space="preserve">Dado que solicitan que los sistemas tecnológicos se integren con los ya existentes, agradecemos puedan compartir qué plataformas y versiones existen actualmente para los sistemas de seguridad y BMS, además de qué equipos, servidores, controladores, lectores, instrumentos, cámaras, etc. están disponibles para asegurar una compatibilidad al 100%.</t>
  </si>
  <si>
    <t xml:space="preserve">Para CCTV se trabajará en plataforma "Avigilion" con todos sus sistemas compatibles.
Para control de acceso y barrera perimetrales se utilizará plataforma "Security expert". 
La plataforma de BMS es "Ignition",  en donde deberán considerar licencias para integrar los nuevos puntos de monitero.</t>
  </si>
  <si>
    <t xml:space="preserve">Respecto al itemizado, se solicita indicar detalles del punto 8.8 Bolardos flexibles de PVC, debido a que no se encuentran definidos en EETT.</t>
  </si>
  <si>
    <t xml:space="preserve">Se solicita confirmar que el alcance actual de la licitación es la Fase 5 etapa 2, coloreada en azul en el documento FRP, independiente que en las EETT se mencionen los Colos 7, 8 &amp; 9 como área de ampliación.</t>
  </si>
  <si>
    <t xml:space="preserve">Si, se confirma que el alcance principal de este RFP corresponde a la Fase 5 indicada en el plano ODA-0004-ARQ-PL-017, con las excepciones señaladas en detalle este RFP para cada sistema.</t>
  </si>
  <si>
    <t xml:space="preserve">En relación con la extensión de plazo, se solicita incorporar una segunda ronda de consultas.</t>
  </si>
  <si>
    <t xml:space="preserve">Se evaluara solicitud y se comunicara oportunamente.</t>
  </si>
  <si>
    <t xml:space="preserve">Se solicita se considere extender el plazo del estudio en  al menos 3 semanas.</t>
  </si>
  <si>
    <t xml:space="preserve">No es posible. Remítase al calendario de Licitación</t>
  </si>
</sst>
</file>

<file path=xl/styles.xml><?xml version="1.0" encoding="utf-8"?>
<styleSheet xmlns="http://schemas.openxmlformats.org/spreadsheetml/2006/main">
  <numFmts count="2">
    <numFmt numFmtId="164" formatCode="General"/>
    <numFmt numFmtId="165" formatCode="General"/>
  </numFmts>
  <fonts count="17">
    <font>
      <sz val="11"/>
      <color rgb="FF000000"/>
      <name val="Aptos Narrow"/>
      <family val="2"/>
      <charset val="1"/>
    </font>
    <font>
      <sz val="10"/>
      <name val="Arial"/>
      <family val="0"/>
    </font>
    <font>
      <sz val="10"/>
      <name val="Arial"/>
      <family val="0"/>
    </font>
    <font>
      <sz val="10"/>
      <name val="Arial"/>
      <family val="0"/>
    </font>
    <font>
      <sz val="11"/>
      <name val="Aptos Narrow"/>
      <family val="2"/>
      <charset val="1"/>
    </font>
    <font>
      <b val="true"/>
      <sz val="11"/>
      <name val="Aptos Narrow"/>
      <family val="2"/>
      <charset val="1"/>
    </font>
    <font>
      <b val="true"/>
      <sz val="12"/>
      <color rgb="FFFFFFFF"/>
      <name val="Aptos Narrow"/>
      <family val="2"/>
      <charset val="1"/>
    </font>
    <font>
      <b val="true"/>
      <sz val="11"/>
      <color rgb="FF000000"/>
      <name val="Aptos Narrow"/>
      <family val="2"/>
      <charset val="1"/>
    </font>
    <font>
      <sz val="12"/>
      <color rgb="FF000000"/>
      <name val="Aptos Narrow"/>
      <family val="2"/>
      <charset val="1"/>
    </font>
    <font>
      <b val="true"/>
      <sz val="12"/>
      <color rgb="FF000000"/>
      <name val="Aptos Narrow"/>
      <family val="2"/>
      <charset val="1"/>
    </font>
    <font>
      <sz val="12"/>
      <name val="Aptos Narrow"/>
      <family val="2"/>
      <charset val="1"/>
    </font>
    <font>
      <sz val="12"/>
      <color rgb="FFFF0000"/>
      <name val="Aptos Narrow"/>
      <family val="2"/>
      <charset val="1"/>
    </font>
    <font>
      <u val="single"/>
      <sz val="12"/>
      <color rgb="FF467886"/>
      <name val="Aptos Narrow"/>
      <family val="2"/>
      <charset val="1"/>
    </font>
    <font>
      <u val="single"/>
      <sz val="11"/>
      <color rgb="FF467886"/>
      <name val="Aptos Narrow"/>
      <family val="2"/>
      <charset val="1"/>
    </font>
    <font>
      <sz val="12"/>
      <color rgb="FFC00000"/>
      <name val="Aptos Narrow"/>
      <family val="2"/>
      <charset val="1"/>
    </font>
    <font>
      <sz val="8"/>
      <color rgb="FF000000"/>
      <name val="Aptos Narrow"/>
      <family val="2"/>
      <charset val="1"/>
    </font>
    <font>
      <sz val="11"/>
      <name val="Times New Roman"/>
      <family val="1"/>
    </font>
  </fonts>
  <fills count="3">
    <fill>
      <patternFill patternType="none"/>
    </fill>
    <fill>
      <patternFill patternType="gray125"/>
    </fill>
    <fill>
      <patternFill patternType="solid">
        <fgColor rgb="FF7030A0"/>
        <bgColor rgb="FF993366"/>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false" applyAlignment="true" applyProtection="false">
      <alignment horizontal="general" vertical="bottom" textRotation="0" wrapText="false" indent="0" shrinkToFit="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2" fillId="0" borderId="0" xfId="20" applyFont="true" applyBorder="true" applyAlignment="true" applyProtection="true">
      <alignment horizontal="general"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justify"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1">
    <dxf>
      <fill>
        <patternFill patternType="solid">
          <fgColor rgb="FF7030A0"/>
        </patternFill>
      </fill>
    </dxf>
    <dxf>
      <fill>
        <patternFill patternType="solid">
          <fgColor rgb="00FFFFFF"/>
        </patternFill>
      </fill>
    </dxf>
    <dxf>
      <fill>
        <patternFill patternType="solid">
          <fgColor rgb="FF000000"/>
          <bgColor rgb="FFFFFFFF"/>
        </patternFill>
      </fill>
    </dxf>
    <dxf>
      <fill>
        <patternFill patternType="solid">
          <fgColor rgb="FFFFFFFF"/>
        </patternFill>
      </fill>
    </dxf>
    <dxf>
      <fill>
        <patternFill patternType="solid">
          <fgColor rgb="FF467886"/>
        </patternFill>
      </fill>
    </dxf>
    <dxf>
      <fill>
        <patternFill patternType="solid">
          <fgColor rgb="FFC00000"/>
        </patternFill>
      </fill>
    </dxf>
    <dxf>
      <fill>
        <patternFill patternType="solid">
          <fgColor rgb="FFFF0000"/>
        </patternFill>
      </fill>
    </dxf>
    <dxf>
      <fill>
        <patternFill patternType="solid">
          <fgColor rgb="FFC6EFCE"/>
        </patternFill>
      </fill>
    </dxf>
    <dxf>
      <fill>
        <patternFill patternType="solid">
          <fgColor rgb="FF006100"/>
        </patternFill>
      </fill>
    </dxf>
    <dxf>
      <font>
        <color rgb="FF006100"/>
      </font>
      <fill>
        <patternFill>
          <bgColor rgb="FFC6EF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4</xdr:col>
      <xdr:colOff>856440</xdr:colOff>
      <xdr:row>0</xdr:row>
      <xdr:rowOff>17280</xdr:rowOff>
    </xdr:from>
    <xdr:to>
      <xdr:col>5</xdr:col>
      <xdr:colOff>4710600</xdr:colOff>
      <xdr:row>2</xdr:row>
      <xdr:rowOff>350280</xdr:rowOff>
    </xdr:to>
    <xdr:sp>
      <xdr:nvSpPr>
        <xdr:cNvPr id="0" name=""/>
        <xdr:cNvSpPr/>
      </xdr:nvSpPr>
      <xdr:spPr>
        <a:xfrm>
          <a:off x="2868120" y="17280"/>
          <a:ext cx="5191560" cy="90468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r>
            <a:rPr b="0" lang="es-419" sz="1100" spc="-1" strike="noStrike">
              <a:latin typeface="Times New Roman"/>
            </a:rPr>
            <a:t>Esta forma representa una segmentación de tabla. Las segmentaciones de tabla no se admiten en esta versión de Excel.</a:t>
          </a:r>
          <a:endParaRPr b="0" lang="es-CL" sz="1100" spc="-1" strike="noStrike">
            <a:latin typeface="Times New Roman"/>
          </a:endParaRPr>
        </a:p>
        <a:p>
          <a:endParaRPr b="0" lang="es-CL" sz="1100" spc="-1" strike="noStrike">
            <a:latin typeface="Times New Roman"/>
          </a:endParaRPr>
        </a:p>
        <a:p>
          <a:pPr>
            <a:lnSpc>
              <a:spcPct val="100000"/>
            </a:lnSpc>
          </a:pPr>
          <a:r>
            <a:rPr b="0" lang="es-419" sz="1100" spc="-1" strike="noStrike">
              <a:latin typeface="Times New Roman"/>
            </a:rPr>
            <a:t>Si la forma se modificó en una versión anterior de Excel o si el libro se guardó en Excel 2007 o en una versión anterior, no se podrá usar la segmentación.</a:t>
          </a:r>
          <a:endParaRPr b="0" lang="es-CL" sz="1100" spc="-1" strike="noStrike">
            <a:latin typeface="Times New Roman"/>
          </a:endParaRPr>
        </a:p>
      </xdr:txBody>
    </xdr:sp>
    <xdr:clientData/>
  </xdr:twoCellAnchor>
</xdr:wsDr>
</file>

<file path=xl/tables/table1.xml><?xml version="1.0" encoding="utf-8"?>
<table xmlns="http://schemas.openxmlformats.org/spreadsheetml/2006/main" id="1" name="Tabla1" displayName="Tabla1" ref="A4:K482" headerRowCount="1" totalsRowCount="0" totalsRowShown="0">
  <autoFilter ref="A4:K482"/>
  <tableColumns count="11">
    <tableColumn id="1" name="n°"/>
    <tableColumn id="2" name="n° interno"/>
    <tableColumn id="3" name="GC"/>
    <tableColumn id="4" name="Tipo de Consulta"/>
    <tableColumn id="5" name="Especialidad"/>
    <tableColumn id="6" name="Pregunta"/>
    <tableColumn id="7" name="Documento relacionado"/>
    <tableColumn id="8" name="Respuesta"/>
    <tableColumn id="9" name="Observación"/>
    <tableColumn id="10" name="Respondido"/>
    <tableColumn id="11" name="Columna1"/>
  </tableColumns>
</tabl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9" activeCellId="0" sqref="B9"/>
    </sheetView>
  </sheetViews>
  <sheetFormatPr defaultColWidth="10.859375" defaultRowHeight="14.25" zeroHeight="false" outlineLevelRow="0" outlineLevelCol="0"/>
  <cols>
    <col collapsed="false" customWidth="true" hidden="false" outlineLevel="0" max="1" min="1" style="1" width="25.57"/>
    <col collapsed="false" customWidth="true" hidden="false" outlineLevel="0" max="2" min="2" style="1" width="19.15"/>
    <col collapsed="false" customWidth="true" hidden="false" outlineLevel="0" max="3" min="3" style="1" width="13.29"/>
    <col collapsed="false" customWidth="false" hidden="false" outlineLevel="0" max="16384" min="4" style="1" width="10.86"/>
  </cols>
  <sheetData>
    <row r="1" customFormat="false" ht="14.25" hidden="false" customHeight="false" outlineLevel="0" collapsed="false">
      <c r="B1" s="1" t="s">
        <v>0</v>
      </c>
      <c r="C1" s="1" t="s">
        <v>1</v>
      </c>
    </row>
    <row r="2" customFormat="false" ht="14.25" hidden="false" customHeight="false" outlineLevel="0" collapsed="false">
      <c r="A2" s="1" t="s">
        <v>2</v>
      </c>
      <c r="B2" s="1" t="n">
        <f aca="false">COUNTIFS('Tabla General'!$F:$F,"&lt;&gt;",'Tabla General'!$C:$C,Hoja6!A2)</f>
        <v>140</v>
      </c>
      <c r="C2" s="1" t="n">
        <f aca="false">COUNTIFS('Tabla General'!$H:$H,"&lt;&gt;",'Tabla General'!$C:$C,Hoja6!A2)</f>
        <v>140</v>
      </c>
    </row>
    <row r="3" customFormat="false" ht="14.25" hidden="false" customHeight="false" outlineLevel="0" collapsed="false">
      <c r="A3" s="1" t="s">
        <v>3</v>
      </c>
      <c r="B3" s="1" t="n">
        <f aca="false">COUNTIFS('Tabla General'!$F:$F,"&lt;&gt;",'Tabla General'!$C:$C,Hoja6!A3)</f>
        <v>50</v>
      </c>
      <c r="C3" s="1" t="n">
        <f aca="false">COUNTIFS('Tabla General'!$H:$H,"&lt;&gt;",'Tabla General'!$C:$C,Hoja6!A3)</f>
        <v>50</v>
      </c>
    </row>
    <row r="4" customFormat="false" ht="14.25" hidden="false" customHeight="false" outlineLevel="0" collapsed="false">
      <c r="A4" s="1" t="s">
        <v>4</v>
      </c>
      <c r="B4" s="1" t="n">
        <f aca="false">COUNTIFS('Tabla General'!$F:$F,"&lt;&gt;",'Tabla General'!$C:$C,Hoja6!A4)</f>
        <v>117</v>
      </c>
      <c r="C4" s="1" t="n">
        <f aca="false">COUNTIFS('Tabla General'!$H:$H,"&lt;&gt;",'Tabla General'!$C:$C,Hoja6!A4)</f>
        <v>117</v>
      </c>
    </row>
    <row r="5" customFormat="false" ht="14.25" hidden="false" customHeight="false" outlineLevel="0" collapsed="false">
      <c r="A5" s="1" t="s">
        <v>5</v>
      </c>
      <c r="B5" s="1" t="n">
        <f aca="false">COUNTIFS('Tabla General'!$F:$F,"&lt;&gt;",'Tabla General'!$C:$C,Hoja6!A5)</f>
        <v>142</v>
      </c>
      <c r="C5" s="1" t="n">
        <f aca="false">COUNTIFS('Tabla General'!$H:$H,"&lt;&gt;",'Tabla General'!$C:$C,Hoja6!A5)</f>
        <v>142</v>
      </c>
    </row>
    <row r="6" customFormat="false" ht="14.25" hidden="false" customHeight="false" outlineLevel="0" collapsed="false">
      <c r="A6" s="1" t="s">
        <v>6</v>
      </c>
      <c r="B6" s="1" t="n">
        <f aca="false">COUNTIFS('Tabla General'!$F:$F,"&lt;&gt;",'Tabla General'!$C:$C,Hoja6!A6)</f>
        <v>29</v>
      </c>
      <c r="C6" s="1" t="n">
        <f aca="false">COUNTIFS('Tabla General'!$H:$H,"&lt;&gt;",'Tabla General'!$C:$C,Hoja6!A6)</f>
        <v>29</v>
      </c>
    </row>
    <row r="7" customFormat="false" ht="14.25" hidden="false" customHeight="false" outlineLevel="0" collapsed="false">
      <c r="B7" s="1" t="n">
        <f aca="false">SUM(B2:B6)</f>
        <v>478</v>
      </c>
      <c r="C7" s="1" t="n">
        <f aca="false">SUM(C2:C6)</f>
        <v>478</v>
      </c>
    </row>
    <row r="9" customFormat="false" ht="14.25" hidden="false" customHeight="false" outlineLevel="0" collapsed="false">
      <c r="A9" s="1" t="s">
        <v>7</v>
      </c>
      <c r="B9" s="1" t="n">
        <f aca="false">COUNTIFS('Tabla General'!F:F,"&lt;&gt;",'Tabla General'!E:E,Hoja6!A9)</f>
        <v>58</v>
      </c>
      <c r="C9" s="1" t="n">
        <f aca="false">COUNTIFS('Tabla General'!J:J,"Respondido",'Tabla General'!E:E,Hoja6!A9)</f>
        <v>58</v>
      </c>
    </row>
    <row r="10" customFormat="false" ht="14.25" hidden="false" customHeight="false" outlineLevel="0" collapsed="false">
      <c r="A10" s="1" t="s">
        <v>8</v>
      </c>
      <c r="B10" s="1" t="n">
        <f aca="false">COUNTIFS('Tabla General'!F:F,"&lt;&gt;",'Tabla General'!E:E,Hoja6!A10)</f>
        <v>64</v>
      </c>
      <c r="C10" s="1" t="n">
        <f aca="false">COUNTIFS('Tabla General'!J:J,"Respondido",'Tabla General'!E:E,Hoja6!A10)</f>
        <v>64</v>
      </c>
    </row>
    <row r="11" customFormat="false" ht="14.25" hidden="false" customHeight="false" outlineLevel="0" collapsed="false">
      <c r="A11" s="1" t="s">
        <v>9</v>
      </c>
      <c r="B11" s="1" t="n">
        <f aca="false">COUNTIFS('Tabla General'!F:F,"&lt;&gt;",'Tabla General'!E:E,Hoja6!A11)</f>
        <v>26</v>
      </c>
      <c r="C11" s="1" t="n">
        <f aca="false">COUNTIFS('Tabla General'!J:J,"Respondido",'Tabla General'!E:E,Hoja6!A11)</f>
        <v>26</v>
      </c>
    </row>
    <row r="12" customFormat="false" ht="14.25" hidden="false" customHeight="false" outlineLevel="0" collapsed="false">
      <c r="A12" s="1" t="s">
        <v>10</v>
      </c>
      <c r="B12" s="1" t="n">
        <f aca="false">COUNTIFS('Tabla General'!F:F,"&lt;&gt;",'Tabla General'!E:E,Hoja6!A12)</f>
        <v>19</v>
      </c>
      <c r="C12" s="1" t="n">
        <f aca="false">COUNTIFS('Tabla General'!J:J,"Respondido",'Tabla General'!E:E,Hoja6!A12)</f>
        <v>19</v>
      </c>
    </row>
    <row r="13" customFormat="false" ht="14.25" hidden="false" customHeight="false" outlineLevel="0" collapsed="false">
      <c r="A13" s="1" t="s">
        <v>11</v>
      </c>
      <c r="B13" s="1" t="n">
        <f aca="false">COUNTIFS('Tabla General'!F:F,"&lt;&gt;",'Tabla General'!E:E,Hoja6!A13)</f>
        <v>111</v>
      </c>
      <c r="C13" s="1" t="n">
        <f aca="false">COUNTIFS('Tabla General'!J:J,"Respondido",'Tabla General'!E:E,Hoja6!A13)</f>
        <v>111</v>
      </c>
    </row>
    <row r="14" customFormat="false" ht="14.25" hidden="false" customHeight="false" outlineLevel="0" collapsed="false">
      <c r="A14" s="1" t="s">
        <v>12</v>
      </c>
      <c r="B14" s="1" t="n">
        <f aca="false">COUNTIFS('Tabla General'!F:F,"&lt;&gt;",'Tabla General'!E:E,Hoja6!A14)</f>
        <v>96</v>
      </c>
      <c r="C14" s="1" t="n">
        <f aca="false">COUNTIFS('Tabla General'!J:J,"Respondido",'Tabla General'!E:E,Hoja6!A14)</f>
        <v>96</v>
      </c>
    </row>
    <row r="15" customFormat="false" ht="14.25" hidden="false" customHeight="false" outlineLevel="0" collapsed="false">
      <c r="A15" s="1" t="s">
        <v>13</v>
      </c>
      <c r="B15" s="1" t="n">
        <f aca="false">COUNTIFS('Tabla General'!F:F,"&lt;&gt;",'Tabla General'!E:E,Hoja6!A15)</f>
        <v>60</v>
      </c>
      <c r="C15" s="1" t="n">
        <f aca="false">COUNTIFS('Tabla General'!J:J,"Respondido",'Tabla General'!E:E,Hoja6!A15)</f>
        <v>60</v>
      </c>
    </row>
    <row r="16" customFormat="false" ht="14.25" hidden="false" customHeight="false" outlineLevel="0" collapsed="false">
      <c r="A16" s="1" t="s">
        <v>14</v>
      </c>
      <c r="B16" s="1" t="n">
        <f aca="false">COUNTIFS('Tabla General'!F:F,"&lt;&gt;",'Tabla General'!E:E,Hoja6!A16)</f>
        <v>6</v>
      </c>
      <c r="C16" s="1" t="n">
        <f aca="false">COUNTIFS('Tabla General'!J:J,"Respondido",'Tabla General'!E:E,Hoja6!A16)</f>
        <v>6</v>
      </c>
    </row>
    <row r="17" customFormat="false" ht="14.25" hidden="false" customHeight="false" outlineLevel="0" collapsed="false">
      <c r="A17" s="1" t="s">
        <v>15</v>
      </c>
      <c r="B17" s="1" t="n">
        <f aca="false">COUNTIFS('Tabla General'!F:F,"&lt;&gt;",'Tabla General'!E:E,Hoja6!A17)</f>
        <v>19</v>
      </c>
      <c r="C17" s="1" t="n">
        <f aca="false">COUNTIFS('Tabla General'!J:J,"Respondido",'Tabla General'!E:E,Hoja6!A17)</f>
        <v>19</v>
      </c>
    </row>
    <row r="18" customFormat="false" ht="14.25" hidden="false" customHeight="false" outlineLevel="0" collapsed="false">
      <c r="A18" s="1" t="s">
        <v>16</v>
      </c>
      <c r="B18" s="1" t="n">
        <f aca="false">COUNTIFS('Tabla General'!F:F,"&lt;&gt;",'Tabla General'!E:E,Hoja6!A18)</f>
        <v>4</v>
      </c>
      <c r="C18" s="1" t="n">
        <f aca="false">COUNTIFS('Tabla General'!J:J,"Respondido",'Tabla General'!E:E,Hoja6!A18)</f>
        <v>4</v>
      </c>
    </row>
    <row r="19" customFormat="false" ht="14.25" hidden="false" customHeight="false" outlineLevel="0" collapsed="false">
      <c r="A19" s="1" t="s">
        <v>17</v>
      </c>
      <c r="B19" s="1" t="n">
        <f aca="false">COUNTIFS('Tabla General'!F:F,"&lt;&gt;",'Tabla General'!E:E,Hoja6!A19)</f>
        <v>5</v>
      </c>
      <c r="C19" s="1" t="n">
        <f aca="false">COUNTIFS('Tabla General'!J:J,"Respondido",'Tabla General'!E:E,Hoja6!A19)</f>
        <v>5</v>
      </c>
    </row>
    <row r="20" customFormat="false" ht="14.25" hidden="false" customHeight="false" outlineLevel="0" collapsed="false">
      <c r="A20" s="1" t="s">
        <v>18</v>
      </c>
      <c r="B20" s="1" t="n">
        <f aca="false">COUNTIFS('Tabla General'!F:F,"&lt;&gt;",'Tabla General'!E:E,Hoja6!A20)</f>
        <v>10</v>
      </c>
      <c r="C20" s="1" t="n">
        <f aca="false">COUNTIFS('Tabla General'!J:J,"Respondido",'Tabla General'!E:E,Hoja6!A20)</f>
        <v>10</v>
      </c>
    </row>
    <row r="21" customFormat="false" ht="14.25" hidden="false" customHeight="false" outlineLevel="0" collapsed="false">
      <c r="B21" s="1" t="n">
        <f aca="false">SUM(B9:B20)</f>
        <v>478</v>
      </c>
      <c r="C21" s="1" t="n">
        <f aca="false">SUM(C9:C20)</f>
        <v>478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2"/>
  <sheetViews>
    <sheetView showFormulas="false" showGridLines="false" showRowColHeaders="true" showZeros="true" rightToLeft="false" tabSelected="true" showOutlineSymbols="true" defaultGridColor="true" view="normal" topLeftCell="A477" colorId="64" zoomScale="70" zoomScaleNormal="70" zoomScalePageLayoutView="100" workbookViewId="0">
      <selection pane="topLeft" activeCell="H4" activeCellId="0" sqref="H4"/>
    </sheetView>
  </sheetViews>
  <sheetFormatPr defaultColWidth="11.4296875" defaultRowHeight="57" zeroHeight="false" outlineLevelRow="0" outlineLevelCol="0"/>
  <cols>
    <col collapsed="false" customWidth="true" hidden="false" outlineLevel="0" max="1" min="1" style="2" width="9.71"/>
    <col collapsed="false" customWidth="true" hidden="true" outlineLevel="0" max="2" min="2" style="2" width="12.57"/>
    <col collapsed="false" customWidth="true" hidden="false" outlineLevel="0" max="3" min="3" style="2" width="15.43"/>
    <col collapsed="false" customWidth="true" hidden="true" outlineLevel="0" max="4" min="4" style="2" width="15.43"/>
    <col collapsed="false" customWidth="true" hidden="false" outlineLevel="0" max="5" min="5" style="2" width="16.72"/>
    <col collapsed="false" customWidth="true" hidden="false" outlineLevel="0" max="6" min="6" style="3" width="72.14"/>
    <col collapsed="false" customWidth="true" hidden="false" outlineLevel="0" max="7" min="7" style="4" width="27.57"/>
    <col collapsed="false" customWidth="true" hidden="false" outlineLevel="0" max="8" min="8" style="5" width="62.43"/>
    <col collapsed="false" customWidth="true" hidden="false" outlineLevel="0" max="9" min="9" style="0" width="12.43"/>
    <col collapsed="false" customWidth="true" hidden="false" outlineLevel="0" max="10" min="10" style="2" width="17.14"/>
  </cols>
  <sheetData>
    <row r="1" customFormat="false" ht="14.25" hidden="false" customHeight="true" outlineLevel="0" collapsed="false">
      <c r="A1" s="6" t="s">
        <v>19</v>
      </c>
      <c r="B1" s="6"/>
      <c r="C1" s="6"/>
      <c r="D1" s="6"/>
    </row>
    <row r="2" customFormat="false" ht="30.75" hidden="false" customHeight="true" outlineLevel="0" collapsed="false">
      <c r="A2" s="6" t="s">
        <v>20</v>
      </c>
      <c r="B2" s="6"/>
      <c r="C2" s="6"/>
      <c r="D2" s="6"/>
    </row>
    <row r="3" customFormat="false" ht="30.75" hidden="false" customHeight="true" outlineLevel="0" collapsed="false">
      <c r="A3" s="6"/>
      <c r="B3" s="6"/>
      <c r="C3" s="6"/>
      <c r="D3" s="6"/>
    </row>
    <row r="4" s="9" customFormat="true" ht="30.75" hidden="false" customHeight="true" outlineLevel="0" collapsed="false">
      <c r="A4" s="7" t="s">
        <v>21</v>
      </c>
      <c r="B4" s="7" t="s">
        <v>22</v>
      </c>
      <c r="C4" s="7" t="s">
        <v>23</v>
      </c>
      <c r="D4" s="7" t="s">
        <v>24</v>
      </c>
      <c r="E4" s="7" t="s">
        <v>25</v>
      </c>
      <c r="F4" s="8" t="s">
        <v>26</v>
      </c>
      <c r="G4" s="7" t="s">
        <v>27</v>
      </c>
      <c r="H4" s="8" t="s">
        <v>28</v>
      </c>
      <c r="I4" s="7" t="s">
        <v>29</v>
      </c>
      <c r="J4" s="7" t="s">
        <v>30</v>
      </c>
      <c r="K4" s="7" t="s">
        <v>31</v>
      </c>
    </row>
    <row r="5" customFormat="false" ht="57" hidden="false" customHeight="true" outlineLevel="0" collapsed="false">
      <c r="A5" s="10" t="n">
        <v>460</v>
      </c>
      <c r="B5" s="10" t="n">
        <v>43</v>
      </c>
      <c r="C5" s="10" t="s">
        <v>4</v>
      </c>
      <c r="D5" s="10"/>
      <c r="E5" s="10" t="s">
        <v>10</v>
      </c>
      <c r="F5" s="11" t="s">
        <v>32</v>
      </c>
      <c r="G5" s="11"/>
      <c r="H5" s="12" t="s">
        <v>33</v>
      </c>
      <c r="I5" s="13"/>
      <c r="J5" s="14" t="str">
        <f aca="false">IF(Tabla1[[#This Row],[Respuesta]]="","Sin respuesta","Respondido")</f>
        <v>Respondido</v>
      </c>
      <c r="K5" s="13" t="s">
        <v>34</v>
      </c>
    </row>
    <row r="6" customFormat="false" ht="57" hidden="false" customHeight="true" outlineLevel="0" collapsed="false">
      <c r="A6" s="10" t="n">
        <v>357</v>
      </c>
      <c r="B6" s="10" t="n">
        <v>105</v>
      </c>
      <c r="C6" s="10" t="s">
        <v>2</v>
      </c>
      <c r="D6" s="10"/>
      <c r="E6" s="10" t="s">
        <v>9</v>
      </c>
      <c r="F6" s="11" t="s">
        <v>35</v>
      </c>
      <c r="G6" s="11"/>
      <c r="H6" s="12" t="s">
        <v>36</v>
      </c>
      <c r="I6" s="13"/>
      <c r="J6" s="14" t="str">
        <f aca="false">IF(Tabla1[[#This Row],[Respuesta]]="","Sin respuesta","Respondido")</f>
        <v>Respondido</v>
      </c>
      <c r="K6" s="13" t="s">
        <v>37</v>
      </c>
    </row>
    <row r="7" customFormat="false" ht="76.5" hidden="false" customHeight="true" outlineLevel="0" collapsed="false">
      <c r="A7" s="10" t="n">
        <v>274</v>
      </c>
      <c r="B7" s="10" t="n">
        <v>22</v>
      </c>
      <c r="C7" s="10" t="s">
        <v>2</v>
      </c>
      <c r="D7" s="10"/>
      <c r="E7" s="10" t="s">
        <v>9</v>
      </c>
      <c r="F7" s="11" t="s">
        <v>38</v>
      </c>
      <c r="G7" s="11"/>
      <c r="H7" s="12" t="s">
        <v>39</v>
      </c>
      <c r="I7" s="13"/>
      <c r="J7" s="14" t="str">
        <f aca="false">IF(Tabla1[[#This Row],[Respuesta]]="","Sin respuesta","Respondido")</f>
        <v>Respondido</v>
      </c>
      <c r="K7" s="13" t="s">
        <v>37</v>
      </c>
    </row>
    <row r="8" customFormat="false" ht="76.5" hidden="false" customHeight="true" outlineLevel="0" collapsed="false">
      <c r="A8" s="10" t="n">
        <v>478</v>
      </c>
      <c r="B8" s="10" t="n">
        <v>61</v>
      </c>
      <c r="C8" s="10" t="s">
        <v>4</v>
      </c>
      <c r="D8" s="10"/>
      <c r="E8" s="10" t="s">
        <v>13</v>
      </c>
      <c r="F8" s="11" t="s">
        <v>40</v>
      </c>
      <c r="G8" s="11" t="e">
        <f aca="false">#VALUE!</f>
        <v>#VALUE!</v>
      </c>
      <c r="H8" s="12" t="s">
        <v>41</v>
      </c>
      <c r="I8" s="13"/>
      <c r="J8" s="14" t="str">
        <f aca="false">IF(Tabla1[[#This Row],[Respuesta]]="","Sin respuesta","Respondido")</f>
        <v>Respondido</v>
      </c>
      <c r="K8" s="13"/>
    </row>
    <row r="9" customFormat="false" ht="100.5" hidden="false" customHeight="true" outlineLevel="0" collapsed="false">
      <c r="A9" s="10" t="n">
        <v>477</v>
      </c>
      <c r="B9" s="10" t="n">
        <v>60</v>
      </c>
      <c r="C9" s="10" t="s">
        <v>4</v>
      </c>
      <c r="D9" s="10"/>
      <c r="E9" s="10" t="s">
        <v>13</v>
      </c>
      <c r="F9" s="11" t="s">
        <v>42</v>
      </c>
      <c r="G9" s="11" t="s">
        <v>43</v>
      </c>
      <c r="H9" s="12" t="s">
        <v>41</v>
      </c>
      <c r="I9" s="13"/>
      <c r="J9" s="14" t="str">
        <f aca="false">IF(Tabla1[[#This Row],[Respuesta]]="","Sin respuesta","Respondido")</f>
        <v>Respondido</v>
      </c>
      <c r="K9" s="13"/>
    </row>
    <row r="10" customFormat="false" ht="57" hidden="false" customHeight="true" outlineLevel="0" collapsed="false">
      <c r="A10" s="10" t="n">
        <v>476</v>
      </c>
      <c r="B10" s="10" t="n">
        <v>59</v>
      </c>
      <c r="C10" s="10" t="s">
        <v>4</v>
      </c>
      <c r="D10" s="10"/>
      <c r="E10" s="10" t="s">
        <v>13</v>
      </c>
      <c r="F10" s="11" t="s">
        <v>44</v>
      </c>
      <c r="G10" s="11" t="s">
        <v>45</v>
      </c>
      <c r="H10" s="12" t="s">
        <v>46</v>
      </c>
      <c r="I10" s="13"/>
      <c r="J10" s="14" t="str">
        <f aca="false">IF(Tabla1[[#This Row],[Respuesta]]="","Sin respuesta","Respondido")</f>
        <v>Respondido</v>
      </c>
      <c r="K10" s="13"/>
    </row>
    <row r="11" customFormat="false" ht="57" hidden="false" customHeight="true" outlineLevel="0" collapsed="false">
      <c r="A11" s="10" t="n">
        <v>475</v>
      </c>
      <c r="B11" s="10" t="n">
        <v>58</v>
      </c>
      <c r="C11" s="10" t="s">
        <v>4</v>
      </c>
      <c r="D11" s="10"/>
      <c r="E11" s="10" t="s">
        <v>13</v>
      </c>
      <c r="F11" s="11" t="s">
        <v>47</v>
      </c>
      <c r="G11" s="11" t="e">
        <f aca="false">#VALUE!</f>
        <v>#VALUE!</v>
      </c>
      <c r="H11" s="12" t="s">
        <v>48</v>
      </c>
      <c r="I11" s="13"/>
      <c r="J11" s="14" t="str">
        <f aca="false">IF(Tabla1[[#This Row],[Respuesta]]="","Sin respuesta","Respondido")</f>
        <v>Respondido</v>
      </c>
      <c r="K11" s="13"/>
    </row>
    <row r="12" customFormat="false" ht="57" hidden="false" customHeight="true" outlineLevel="0" collapsed="false">
      <c r="A12" s="10" t="n">
        <v>474</v>
      </c>
      <c r="B12" s="10" t="n">
        <v>57</v>
      </c>
      <c r="C12" s="10" t="s">
        <v>4</v>
      </c>
      <c r="D12" s="10"/>
      <c r="E12" s="10" t="s">
        <v>13</v>
      </c>
      <c r="F12" s="11" t="s">
        <v>49</v>
      </c>
      <c r="G12" s="11" t="s">
        <v>50</v>
      </c>
      <c r="H12" s="12" t="s">
        <v>51</v>
      </c>
      <c r="I12" s="13"/>
      <c r="J12" s="14" t="str">
        <f aca="false">IF(Tabla1[[#This Row],[Respuesta]]="","Sin respuesta","Respondido")</f>
        <v>Respondido</v>
      </c>
      <c r="K12" s="13"/>
    </row>
    <row r="13" customFormat="false" ht="57" hidden="false" customHeight="true" outlineLevel="0" collapsed="false">
      <c r="A13" s="10" t="n">
        <v>473</v>
      </c>
      <c r="B13" s="10" t="n">
        <v>56</v>
      </c>
      <c r="C13" s="10" t="s">
        <v>4</v>
      </c>
      <c r="D13" s="10"/>
      <c r="E13" s="10" t="s">
        <v>13</v>
      </c>
      <c r="F13" s="11" t="s">
        <v>52</v>
      </c>
      <c r="G13" s="11" t="s">
        <v>50</v>
      </c>
      <c r="H13" s="12" t="s">
        <v>53</v>
      </c>
      <c r="I13" s="13"/>
      <c r="J13" s="14" t="str">
        <f aca="false">IF(Tabla1[[#This Row],[Respuesta]]="","Sin respuesta","Respondido")</f>
        <v>Respondido</v>
      </c>
      <c r="K13" s="13"/>
    </row>
    <row r="14" customFormat="false" ht="57" hidden="false" customHeight="true" outlineLevel="0" collapsed="false">
      <c r="A14" s="10" t="n">
        <v>472</v>
      </c>
      <c r="B14" s="10" t="n">
        <v>55</v>
      </c>
      <c r="C14" s="10" t="s">
        <v>4</v>
      </c>
      <c r="D14" s="10"/>
      <c r="E14" s="10" t="s">
        <v>13</v>
      </c>
      <c r="F14" s="11" t="s">
        <v>54</v>
      </c>
      <c r="G14" s="11" t="s">
        <v>55</v>
      </c>
      <c r="H14" s="12" t="s">
        <v>56</v>
      </c>
      <c r="I14" s="13"/>
      <c r="J14" s="14" t="str">
        <f aca="false">IF(Tabla1[[#This Row],[Respuesta]]="","Sin respuesta","Respondido")</f>
        <v>Respondido</v>
      </c>
      <c r="K14" s="13"/>
    </row>
    <row r="15" customFormat="false" ht="57" hidden="false" customHeight="true" outlineLevel="0" collapsed="false">
      <c r="A15" s="10" t="n">
        <v>471</v>
      </c>
      <c r="B15" s="10" t="n">
        <v>54</v>
      </c>
      <c r="C15" s="10" t="s">
        <v>4</v>
      </c>
      <c r="D15" s="10"/>
      <c r="E15" s="10" t="s">
        <v>11</v>
      </c>
      <c r="F15" s="11" t="s">
        <v>57</v>
      </c>
      <c r="G15" s="11" t="s">
        <v>58</v>
      </c>
      <c r="H15" s="12" t="s">
        <v>59</v>
      </c>
      <c r="I15" s="13"/>
      <c r="J15" s="14" t="str">
        <f aca="false">IF(Tabla1[[#This Row],[Respuesta]]="","Sin respuesta","Respondido")</f>
        <v>Respondido</v>
      </c>
      <c r="K15" s="13"/>
    </row>
    <row r="16" customFormat="false" ht="57" hidden="false" customHeight="true" outlineLevel="0" collapsed="false">
      <c r="A16" s="10" t="n">
        <v>470</v>
      </c>
      <c r="B16" s="10" t="n">
        <v>53</v>
      </c>
      <c r="C16" s="10" t="s">
        <v>4</v>
      </c>
      <c r="D16" s="10"/>
      <c r="E16" s="10" t="s">
        <v>8</v>
      </c>
      <c r="F16" s="11" t="s">
        <v>60</v>
      </c>
      <c r="G16" s="11" t="s">
        <v>61</v>
      </c>
      <c r="H16" s="12" t="s">
        <v>62</v>
      </c>
      <c r="I16" s="13"/>
      <c r="J16" s="14" t="str">
        <f aca="false">IF(Tabla1[[#This Row],[Respuesta]]="","Sin respuesta","Respondido")</f>
        <v>Respondido</v>
      </c>
      <c r="K16" s="13"/>
    </row>
    <row r="17" customFormat="false" ht="57" hidden="false" customHeight="true" outlineLevel="0" collapsed="false">
      <c r="A17" s="10" t="n">
        <v>469</v>
      </c>
      <c r="B17" s="10" t="n">
        <v>52</v>
      </c>
      <c r="C17" s="10" t="s">
        <v>4</v>
      </c>
      <c r="D17" s="10"/>
      <c r="E17" s="10" t="s">
        <v>8</v>
      </c>
      <c r="F17" s="11" t="s">
        <v>63</v>
      </c>
      <c r="G17" s="11" t="s">
        <v>64</v>
      </c>
      <c r="H17" s="12" t="s">
        <v>65</v>
      </c>
      <c r="I17" s="13"/>
      <c r="J17" s="14" t="str">
        <f aca="false">IF(Tabla1[[#This Row],[Respuesta]]="","Sin respuesta","Respondido")</f>
        <v>Respondido</v>
      </c>
      <c r="K17" s="13"/>
    </row>
    <row r="18" customFormat="false" ht="57" hidden="false" customHeight="true" outlineLevel="0" collapsed="false">
      <c r="A18" s="10" t="n">
        <v>468</v>
      </c>
      <c r="B18" s="10" t="n">
        <v>51</v>
      </c>
      <c r="C18" s="10" t="s">
        <v>4</v>
      </c>
      <c r="D18" s="10"/>
      <c r="E18" s="10" t="s">
        <v>8</v>
      </c>
      <c r="F18" s="11" t="s">
        <v>66</v>
      </c>
      <c r="G18" s="11" t="s">
        <v>67</v>
      </c>
      <c r="H18" s="12" t="s">
        <v>68</v>
      </c>
      <c r="I18" s="13"/>
      <c r="J18" s="14" t="str">
        <f aca="false">IF(Tabla1[[#This Row],[Respuesta]]="","Sin respuesta","Respondido")</f>
        <v>Respondido</v>
      </c>
      <c r="K18" s="13"/>
    </row>
    <row r="19" customFormat="false" ht="57" hidden="false" customHeight="true" outlineLevel="0" collapsed="false">
      <c r="A19" s="10" t="n">
        <v>467</v>
      </c>
      <c r="B19" s="10" t="n">
        <v>50</v>
      </c>
      <c r="C19" s="10" t="s">
        <v>4</v>
      </c>
      <c r="D19" s="10"/>
      <c r="E19" s="10" t="s">
        <v>8</v>
      </c>
      <c r="F19" s="11" t="s">
        <v>66</v>
      </c>
      <c r="G19" s="11" t="s">
        <v>67</v>
      </c>
      <c r="H19" s="12" t="s">
        <v>68</v>
      </c>
      <c r="I19" s="13"/>
      <c r="J19" s="14" t="str">
        <f aca="false">IF(Tabla1[[#This Row],[Respuesta]]="","Sin respuesta","Respondido")</f>
        <v>Respondido</v>
      </c>
      <c r="K19" s="13"/>
    </row>
    <row r="20" customFormat="false" ht="57" hidden="false" customHeight="true" outlineLevel="0" collapsed="false">
      <c r="A20" s="10" t="n">
        <v>466</v>
      </c>
      <c r="B20" s="10" t="n">
        <v>49</v>
      </c>
      <c r="C20" s="10" t="s">
        <v>4</v>
      </c>
      <c r="D20" s="10"/>
      <c r="E20" s="10" t="s">
        <v>8</v>
      </c>
      <c r="F20" s="11" t="s">
        <v>69</v>
      </c>
      <c r="G20" s="11" t="s">
        <v>67</v>
      </c>
      <c r="H20" s="12" t="s">
        <v>70</v>
      </c>
      <c r="I20" s="13"/>
      <c r="J20" s="14" t="str">
        <f aca="false">IF(Tabla1[[#This Row],[Respuesta]]="","Sin respuesta","Respondido")</f>
        <v>Respondido</v>
      </c>
      <c r="K20" s="13"/>
    </row>
    <row r="21" customFormat="false" ht="57" hidden="false" customHeight="true" outlineLevel="0" collapsed="false">
      <c r="A21" s="10" t="n">
        <v>465</v>
      </c>
      <c r="B21" s="10" t="n">
        <v>48</v>
      </c>
      <c r="C21" s="10" t="s">
        <v>4</v>
      </c>
      <c r="D21" s="10"/>
      <c r="E21" s="10" t="s">
        <v>11</v>
      </c>
      <c r="F21" s="11" t="s">
        <v>71</v>
      </c>
      <c r="G21" s="11"/>
      <c r="H21" s="12" t="s">
        <v>72</v>
      </c>
      <c r="I21" s="13"/>
      <c r="J21" s="14" t="str">
        <f aca="false">IF(Tabla1[[#This Row],[Respuesta]]="","Sin respuesta","Respondido")</f>
        <v>Respondido</v>
      </c>
      <c r="K21" s="13"/>
    </row>
    <row r="22" customFormat="false" ht="57" hidden="false" customHeight="true" outlineLevel="0" collapsed="false">
      <c r="A22" s="10" t="n">
        <v>464</v>
      </c>
      <c r="B22" s="10" t="n">
        <v>47</v>
      </c>
      <c r="C22" s="10" t="s">
        <v>4</v>
      </c>
      <c r="D22" s="10"/>
      <c r="E22" s="10" t="s">
        <v>11</v>
      </c>
      <c r="F22" s="11" t="s">
        <v>73</v>
      </c>
      <c r="G22" s="11"/>
      <c r="H22" s="12" t="s">
        <v>74</v>
      </c>
      <c r="I22" s="13"/>
      <c r="J22" s="14" t="str">
        <f aca="false">IF(Tabla1[[#This Row],[Respuesta]]="","Sin respuesta","Respondido")</f>
        <v>Respondido</v>
      </c>
      <c r="K22" s="13"/>
    </row>
    <row r="23" customFormat="false" ht="57" hidden="false" customHeight="true" outlineLevel="0" collapsed="false">
      <c r="A23" s="10" t="n">
        <v>463</v>
      </c>
      <c r="B23" s="10" t="n">
        <v>46</v>
      </c>
      <c r="C23" s="10" t="s">
        <v>4</v>
      </c>
      <c r="D23" s="10"/>
      <c r="E23" s="10" t="s">
        <v>11</v>
      </c>
      <c r="F23" s="11" t="s">
        <v>75</v>
      </c>
      <c r="G23" s="11"/>
      <c r="H23" s="12" t="s">
        <v>76</v>
      </c>
      <c r="I23" s="13"/>
      <c r="J23" s="14" t="str">
        <f aca="false">IF(Tabla1[[#This Row],[Respuesta]]="","Sin respuesta","Respondido")</f>
        <v>Respondido</v>
      </c>
      <c r="K23" s="13"/>
    </row>
    <row r="24" customFormat="false" ht="57" hidden="false" customHeight="true" outlineLevel="0" collapsed="false">
      <c r="A24" s="10" t="n">
        <v>462</v>
      </c>
      <c r="B24" s="10" t="n">
        <v>45</v>
      </c>
      <c r="C24" s="10" t="s">
        <v>4</v>
      </c>
      <c r="D24" s="10"/>
      <c r="E24" s="10" t="s">
        <v>18</v>
      </c>
      <c r="F24" s="11" t="s">
        <v>77</v>
      </c>
      <c r="G24" s="11"/>
      <c r="H24" s="12" t="s">
        <v>78</v>
      </c>
      <c r="I24" s="13"/>
      <c r="J24" s="14" t="str">
        <f aca="false">IF(Tabla1[[#This Row],[Respuesta]]="","Sin respuesta","Respondido")</f>
        <v>Respondido</v>
      </c>
      <c r="K24" s="13"/>
    </row>
    <row r="25" customFormat="false" ht="57" hidden="false" customHeight="true" outlineLevel="0" collapsed="false">
      <c r="A25" s="10" t="n">
        <v>461</v>
      </c>
      <c r="B25" s="10" t="n">
        <v>44</v>
      </c>
      <c r="C25" s="10" t="s">
        <v>4</v>
      </c>
      <c r="D25" s="10"/>
      <c r="E25" s="10" t="s">
        <v>10</v>
      </c>
      <c r="F25" s="11" t="s">
        <v>79</v>
      </c>
      <c r="G25" s="11"/>
      <c r="H25" s="12" t="s">
        <v>80</v>
      </c>
      <c r="I25" s="13"/>
      <c r="J25" s="14" t="str">
        <f aca="false">IF(Tabla1[[#This Row],[Respuesta]]="","Sin respuesta","Respondido")</f>
        <v>Respondido</v>
      </c>
      <c r="K25" s="13"/>
    </row>
    <row r="26" customFormat="false" ht="57" hidden="false" customHeight="true" outlineLevel="0" collapsed="false">
      <c r="A26" s="10" t="n">
        <v>459</v>
      </c>
      <c r="B26" s="10" t="n">
        <v>42</v>
      </c>
      <c r="C26" s="10" t="s">
        <v>4</v>
      </c>
      <c r="D26" s="10"/>
      <c r="E26" s="10" t="s">
        <v>10</v>
      </c>
      <c r="F26" s="11" t="s">
        <v>81</v>
      </c>
      <c r="G26" s="11"/>
      <c r="H26" s="12" t="s">
        <v>82</v>
      </c>
      <c r="I26" s="13"/>
      <c r="J26" s="14" t="str">
        <f aca="false">IF(Tabla1[[#This Row],[Respuesta]]="","Sin respuesta","Respondido")</f>
        <v>Respondido</v>
      </c>
      <c r="K26" s="13"/>
    </row>
    <row r="27" customFormat="false" ht="67.15" hidden="false" customHeight="false" outlineLevel="0" collapsed="false">
      <c r="A27" s="10" t="n">
        <v>458</v>
      </c>
      <c r="B27" s="10" t="n">
        <v>41</v>
      </c>
      <c r="C27" s="10" t="s">
        <v>4</v>
      </c>
      <c r="D27" s="10"/>
      <c r="E27" s="10" t="s">
        <v>15</v>
      </c>
      <c r="F27" s="11" t="s">
        <v>83</v>
      </c>
      <c r="G27" s="11" t="s">
        <v>84</v>
      </c>
      <c r="H27" s="12" t="s">
        <v>85</v>
      </c>
      <c r="I27" s="13"/>
      <c r="J27" s="14" t="str">
        <f aca="false">IF(Tabla1[[#This Row],[Respuesta]]="","Sin respuesta","Respondido")</f>
        <v>Respondido</v>
      </c>
      <c r="K27" s="13"/>
    </row>
    <row r="28" customFormat="false" ht="57" hidden="false" customHeight="true" outlineLevel="0" collapsed="false">
      <c r="A28" s="10" t="n">
        <v>457</v>
      </c>
      <c r="B28" s="10" t="n">
        <v>40</v>
      </c>
      <c r="C28" s="10" t="s">
        <v>4</v>
      </c>
      <c r="D28" s="10"/>
      <c r="E28" s="10" t="s">
        <v>15</v>
      </c>
      <c r="F28" s="11" t="s">
        <v>86</v>
      </c>
      <c r="G28" s="11" t="s">
        <v>84</v>
      </c>
      <c r="H28" s="12" t="s">
        <v>87</v>
      </c>
      <c r="I28" s="13"/>
      <c r="J28" s="14" t="str">
        <f aca="false">IF(Tabla1[[#This Row],[Respuesta]]="","Sin respuesta","Respondido")</f>
        <v>Respondido</v>
      </c>
      <c r="K28" s="13"/>
    </row>
    <row r="29" customFormat="false" ht="67.15" hidden="false" customHeight="false" outlineLevel="0" collapsed="false">
      <c r="A29" s="10" t="n">
        <v>456</v>
      </c>
      <c r="B29" s="10" t="n">
        <v>39</v>
      </c>
      <c r="C29" s="10" t="s">
        <v>4</v>
      </c>
      <c r="D29" s="10"/>
      <c r="E29" s="10" t="s">
        <v>15</v>
      </c>
      <c r="F29" s="11" t="s">
        <v>88</v>
      </c>
      <c r="G29" s="11" t="s">
        <v>84</v>
      </c>
      <c r="H29" s="12" t="s">
        <v>89</v>
      </c>
      <c r="I29" s="13"/>
      <c r="J29" s="14" t="str">
        <f aca="false">IF(Tabla1[[#This Row],[Respuesta]]="","Sin respuesta","Respondido")</f>
        <v>Respondido</v>
      </c>
      <c r="K29" s="13"/>
    </row>
    <row r="30" customFormat="false" ht="57" hidden="false" customHeight="true" outlineLevel="0" collapsed="false">
      <c r="A30" s="10" t="n">
        <v>455</v>
      </c>
      <c r="B30" s="10" t="n">
        <v>38</v>
      </c>
      <c r="C30" s="10" t="s">
        <v>4</v>
      </c>
      <c r="D30" s="10"/>
      <c r="E30" s="10" t="s">
        <v>15</v>
      </c>
      <c r="F30" s="11" t="s">
        <v>90</v>
      </c>
      <c r="G30" s="11" t="s">
        <v>84</v>
      </c>
      <c r="H30" s="12" t="s">
        <v>91</v>
      </c>
      <c r="I30" s="13"/>
      <c r="J30" s="14" t="str">
        <f aca="false">IF(Tabla1[[#This Row],[Respuesta]]="","Sin respuesta","Respondido")</f>
        <v>Respondido</v>
      </c>
      <c r="K30" s="13"/>
    </row>
    <row r="31" customFormat="false" ht="57" hidden="false" customHeight="true" outlineLevel="0" collapsed="false">
      <c r="A31" s="10" t="n">
        <v>454</v>
      </c>
      <c r="B31" s="10" t="n">
        <v>37</v>
      </c>
      <c r="C31" s="10" t="s">
        <v>4</v>
      </c>
      <c r="D31" s="10"/>
      <c r="E31" s="10" t="s">
        <v>15</v>
      </c>
      <c r="F31" s="11" t="s">
        <v>92</v>
      </c>
      <c r="G31" s="11" t="s">
        <v>93</v>
      </c>
      <c r="H31" s="12" t="s">
        <v>94</v>
      </c>
      <c r="I31" s="13"/>
      <c r="J31" s="14" t="str">
        <f aca="false">IF(Tabla1[[#This Row],[Respuesta]]="","Sin respuesta","Respondido")</f>
        <v>Respondido</v>
      </c>
      <c r="K31" s="13"/>
    </row>
    <row r="32" customFormat="false" ht="57" hidden="false" customHeight="true" outlineLevel="0" collapsed="false">
      <c r="A32" s="10" t="n">
        <v>453</v>
      </c>
      <c r="B32" s="10" t="n">
        <v>36</v>
      </c>
      <c r="C32" s="10" t="s">
        <v>4</v>
      </c>
      <c r="D32" s="10"/>
      <c r="E32" s="10" t="s">
        <v>7</v>
      </c>
      <c r="F32" s="11" t="s">
        <v>95</v>
      </c>
      <c r="G32" s="11"/>
      <c r="H32" s="12" t="s">
        <v>96</v>
      </c>
      <c r="I32" s="13"/>
      <c r="J32" s="14" t="str">
        <f aca="false">IF(Tabla1[[#This Row],[Respuesta]]="","Sin respuesta","Respondido")</f>
        <v>Respondido</v>
      </c>
      <c r="K32" s="13"/>
    </row>
    <row r="33" customFormat="false" ht="81" hidden="false" customHeight="true" outlineLevel="0" collapsed="false">
      <c r="A33" s="10" t="n">
        <v>452</v>
      </c>
      <c r="B33" s="10" t="n">
        <v>35</v>
      </c>
      <c r="C33" s="10" t="s">
        <v>4</v>
      </c>
      <c r="D33" s="10"/>
      <c r="E33" s="10" t="s">
        <v>7</v>
      </c>
      <c r="F33" s="11" t="s">
        <v>97</v>
      </c>
      <c r="G33" s="11" t="s">
        <v>98</v>
      </c>
      <c r="H33" s="12" t="s">
        <v>99</v>
      </c>
      <c r="I33" s="13"/>
      <c r="J33" s="14" t="str">
        <f aca="false">IF(Tabla1[[#This Row],[Respuesta]]="","Sin respuesta","Respondido")</f>
        <v>Respondido</v>
      </c>
      <c r="K33" s="13"/>
    </row>
    <row r="34" customFormat="false" ht="111" hidden="false" customHeight="true" outlineLevel="0" collapsed="false">
      <c r="A34" s="10" t="n">
        <v>451</v>
      </c>
      <c r="B34" s="10" t="n">
        <v>34</v>
      </c>
      <c r="C34" s="10" t="s">
        <v>4</v>
      </c>
      <c r="D34" s="10"/>
      <c r="E34" s="10" t="s">
        <v>7</v>
      </c>
      <c r="F34" s="11" t="s">
        <v>100</v>
      </c>
      <c r="G34" s="11" t="s">
        <v>98</v>
      </c>
      <c r="H34" s="12" t="s">
        <v>101</v>
      </c>
      <c r="I34" s="13"/>
      <c r="J34" s="14" t="str">
        <f aca="false">IF(Tabla1[[#This Row],[Respuesta]]="","Sin respuesta","Respondido")</f>
        <v>Respondido</v>
      </c>
      <c r="K34" s="13"/>
    </row>
    <row r="35" customFormat="false" ht="57" hidden="false" customHeight="true" outlineLevel="0" collapsed="false">
      <c r="A35" s="10" t="n">
        <v>450</v>
      </c>
      <c r="B35" s="10" t="n">
        <v>33</v>
      </c>
      <c r="C35" s="10" t="s">
        <v>4</v>
      </c>
      <c r="D35" s="10"/>
      <c r="E35" s="10" t="s">
        <v>7</v>
      </c>
      <c r="F35" s="11" t="s">
        <v>102</v>
      </c>
      <c r="G35" s="11" t="s">
        <v>103</v>
      </c>
      <c r="H35" s="12" t="s">
        <v>104</v>
      </c>
      <c r="I35" s="13"/>
      <c r="J35" s="14" t="str">
        <f aca="false">IF(Tabla1[[#This Row],[Respuesta]]="","Sin respuesta","Respondido")</f>
        <v>Respondido</v>
      </c>
      <c r="K35" s="13"/>
    </row>
    <row r="36" customFormat="false" ht="57" hidden="false" customHeight="true" outlineLevel="0" collapsed="false">
      <c r="A36" s="10" t="n">
        <v>449</v>
      </c>
      <c r="B36" s="10" t="n">
        <v>32</v>
      </c>
      <c r="C36" s="10" t="s">
        <v>4</v>
      </c>
      <c r="D36" s="10"/>
      <c r="E36" s="10" t="s">
        <v>7</v>
      </c>
      <c r="F36" s="11" t="s">
        <v>105</v>
      </c>
      <c r="G36" s="11" t="s">
        <v>106</v>
      </c>
      <c r="H36" s="12" t="s">
        <v>107</v>
      </c>
      <c r="I36" s="13"/>
      <c r="J36" s="14" t="str">
        <f aca="false">IF(Tabla1[[#This Row],[Respuesta]]="","Sin respuesta","Respondido")</f>
        <v>Respondido</v>
      </c>
      <c r="K36" s="13"/>
    </row>
    <row r="37" customFormat="false" ht="57" hidden="false" customHeight="true" outlineLevel="0" collapsed="false">
      <c r="A37" s="10" t="n">
        <v>448</v>
      </c>
      <c r="B37" s="10" t="n">
        <v>31</v>
      </c>
      <c r="C37" s="10" t="s">
        <v>4</v>
      </c>
      <c r="D37" s="10"/>
      <c r="E37" s="10" t="s">
        <v>8</v>
      </c>
      <c r="F37" s="11" t="s">
        <v>108</v>
      </c>
      <c r="G37" s="11" t="s">
        <v>109</v>
      </c>
      <c r="H37" s="12" t="s">
        <v>62</v>
      </c>
      <c r="I37" s="13"/>
      <c r="J37" s="14" t="str">
        <f aca="false">IF(Tabla1[[#This Row],[Respuesta]]="","Sin respuesta","Respondido")</f>
        <v>Respondido</v>
      </c>
      <c r="K37" s="13"/>
    </row>
    <row r="38" customFormat="false" ht="117.75" hidden="false" customHeight="true" outlineLevel="0" collapsed="false">
      <c r="A38" s="10" t="n">
        <v>447</v>
      </c>
      <c r="B38" s="10" t="n">
        <v>30</v>
      </c>
      <c r="C38" s="10" t="s">
        <v>4</v>
      </c>
      <c r="D38" s="10"/>
      <c r="E38" s="10" t="s">
        <v>7</v>
      </c>
      <c r="F38" s="11" t="s">
        <v>110</v>
      </c>
      <c r="G38" s="11"/>
      <c r="H38" s="12" t="s">
        <v>111</v>
      </c>
      <c r="I38" s="13"/>
      <c r="J38" s="14" t="str">
        <f aca="false">IF(Tabla1[[#This Row],[Respuesta]]="","Sin respuesta","Respondido")</f>
        <v>Respondido</v>
      </c>
      <c r="K38" s="13"/>
    </row>
    <row r="39" customFormat="false" ht="57" hidden="false" customHeight="true" outlineLevel="0" collapsed="false">
      <c r="A39" s="10" t="n">
        <v>446</v>
      </c>
      <c r="B39" s="10" t="n">
        <v>29</v>
      </c>
      <c r="C39" s="10" t="s">
        <v>4</v>
      </c>
      <c r="D39" s="10"/>
      <c r="E39" s="10" t="s">
        <v>9</v>
      </c>
      <c r="F39" s="11" t="s">
        <v>112</v>
      </c>
      <c r="G39" s="11"/>
      <c r="H39" s="12" t="s">
        <v>113</v>
      </c>
      <c r="I39" s="13"/>
      <c r="J39" s="14" t="str">
        <f aca="false">IF(Tabla1[[#This Row],[Respuesta]]="","Sin respuesta","Respondido")</f>
        <v>Respondido</v>
      </c>
      <c r="K39" s="13"/>
    </row>
    <row r="40" customFormat="false" ht="57" hidden="false" customHeight="true" outlineLevel="0" collapsed="false">
      <c r="A40" s="10" t="n">
        <v>445</v>
      </c>
      <c r="B40" s="10" t="n">
        <v>28</v>
      </c>
      <c r="C40" s="10" t="s">
        <v>4</v>
      </c>
      <c r="D40" s="10"/>
      <c r="E40" s="10" t="s">
        <v>9</v>
      </c>
      <c r="F40" s="11" t="s">
        <v>114</v>
      </c>
      <c r="G40" s="11"/>
      <c r="H40" s="12" t="s">
        <v>115</v>
      </c>
      <c r="I40" s="13"/>
      <c r="J40" s="14" t="str">
        <f aca="false">IF(Tabla1[[#This Row],[Respuesta]]="","Sin respuesta","Respondido")</f>
        <v>Respondido</v>
      </c>
      <c r="K40" s="13"/>
    </row>
    <row r="41" customFormat="false" ht="57" hidden="false" customHeight="true" outlineLevel="0" collapsed="false">
      <c r="A41" s="10" t="n">
        <v>444</v>
      </c>
      <c r="B41" s="10" t="n">
        <v>27</v>
      </c>
      <c r="C41" s="10" t="s">
        <v>4</v>
      </c>
      <c r="D41" s="10"/>
      <c r="E41" s="10" t="s">
        <v>12</v>
      </c>
      <c r="F41" s="11" t="s">
        <v>116</v>
      </c>
      <c r="G41" s="11"/>
      <c r="H41" s="12" t="s">
        <v>117</v>
      </c>
      <c r="I41" s="13"/>
      <c r="J41" s="14" t="str">
        <f aca="false">IF(Tabla1[[#This Row],[Respuesta]]="","Sin respuesta","Respondido")</f>
        <v>Respondido</v>
      </c>
      <c r="K41" s="13"/>
    </row>
    <row r="42" customFormat="false" ht="57" hidden="false" customHeight="true" outlineLevel="0" collapsed="false">
      <c r="A42" s="10" t="n">
        <v>443</v>
      </c>
      <c r="B42" s="10" t="n">
        <v>26</v>
      </c>
      <c r="C42" s="10" t="s">
        <v>4</v>
      </c>
      <c r="D42" s="10"/>
      <c r="E42" s="10" t="s">
        <v>12</v>
      </c>
      <c r="F42" s="11" t="s">
        <v>118</v>
      </c>
      <c r="G42" s="11"/>
      <c r="H42" s="12" t="s">
        <v>119</v>
      </c>
      <c r="I42" s="13"/>
      <c r="J42" s="14" t="str">
        <f aca="false">IF(Tabla1[[#This Row],[Respuesta]]="","Sin respuesta","Respondido")</f>
        <v>Respondido</v>
      </c>
      <c r="K42" s="13"/>
    </row>
    <row r="43" customFormat="false" ht="57" hidden="false" customHeight="true" outlineLevel="0" collapsed="false">
      <c r="A43" s="10" t="n">
        <v>442</v>
      </c>
      <c r="B43" s="10" t="n">
        <v>25</v>
      </c>
      <c r="C43" s="10" t="s">
        <v>4</v>
      </c>
      <c r="D43" s="10"/>
      <c r="E43" s="10" t="s">
        <v>12</v>
      </c>
      <c r="F43" s="11" t="s">
        <v>120</v>
      </c>
      <c r="G43" s="11"/>
      <c r="H43" s="12" t="s">
        <v>121</v>
      </c>
      <c r="I43" s="13"/>
      <c r="J43" s="14" t="str">
        <f aca="false">IF(Tabla1[[#This Row],[Respuesta]]="","Sin respuesta","Respondido")</f>
        <v>Respondido</v>
      </c>
      <c r="K43" s="13"/>
    </row>
    <row r="44" customFormat="false" ht="141" hidden="false" customHeight="true" outlineLevel="0" collapsed="false">
      <c r="A44" s="10" t="n">
        <v>441</v>
      </c>
      <c r="B44" s="10" t="n">
        <v>24</v>
      </c>
      <c r="C44" s="10" t="s">
        <v>4</v>
      </c>
      <c r="D44" s="10"/>
      <c r="E44" s="10" t="s">
        <v>12</v>
      </c>
      <c r="F44" s="11" t="s">
        <v>122</v>
      </c>
      <c r="G44" s="11"/>
      <c r="H44" s="12" t="s">
        <v>123</v>
      </c>
      <c r="I44" s="13"/>
      <c r="J44" s="14" t="str">
        <f aca="false">IF(Tabla1[[#This Row],[Respuesta]]="","Sin respuesta","Respondido")</f>
        <v>Respondido</v>
      </c>
      <c r="K44" s="13"/>
    </row>
    <row r="45" customFormat="false" ht="57" hidden="false" customHeight="true" outlineLevel="0" collapsed="false">
      <c r="A45" s="10" t="n">
        <v>440</v>
      </c>
      <c r="B45" s="10" t="n">
        <v>23</v>
      </c>
      <c r="C45" s="10" t="s">
        <v>4</v>
      </c>
      <c r="D45" s="10"/>
      <c r="E45" s="10" t="s">
        <v>12</v>
      </c>
      <c r="F45" s="11" t="s">
        <v>124</v>
      </c>
      <c r="G45" s="11"/>
      <c r="H45" s="12" t="s">
        <v>123</v>
      </c>
      <c r="I45" s="13"/>
      <c r="J45" s="14" t="str">
        <f aca="false">IF(Tabla1[[#This Row],[Respuesta]]="","Sin respuesta","Respondido")</f>
        <v>Respondido</v>
      </c>
      <c r="K45" s="13"/>
    </row>
    <row r="46" customFormat="false" ht="57" hidden="false" customHeight="true" outlineLevel="0" collapsed="false">
      <c r="A46" s="10" t="n">
        <v>439</v>
      </c>
      <c r="B46" s="10" t="n">
        <v>22</v>
      </c>
      <c r="C46" s="10" t="s">
        <v>4</v>
      </c>
      <c r="D46" s="10"/>
      <c r="E46" s="10" t="s">
        <v>12</v>
      </c>
      <c r="F46" s="11" t="s">
        <v>125</v>
      </c>
      <c r="G46" s="11"/>
      <c r="H46" s="12" t="s">
        <v>123</v>
      </c>
      <c r="I46" s="13"/>
      <c r="J46" s="14" t="str">
        <f aca="false">IF(Tabla1[[#This Row],[Respuesta]]="","Sin respuesta","Respondido")</f>
        <v>Respondido</v>
      </c>
      <c r="K46" s="13"/>
    </row>
    <row r="47" customFormat="false" ht="57" hidden="false" customHeight="true" outlineLevel="0" collapsed="false">
      <c r="A47" s="10" t="n">
        <v>438</v>
      </c>
      <c r="B47" s="10" t="n">
        <v>21</v>
      </c>
      <c r="C47" s="10" t="s">
        <v>4</v>
      </c>
      <c r="D47" s="10"/>
      <c r="E47" s="10" t="s">
        <v>12</v>
      </c>
      <c r="F47" s="11" t="s">
        <v>126</v>
      </c>
      <c r="G47" s="11"/>
      <c r="H47" s="12" t="s">
        <v>123</v>
      </c>
      <c r="I47" s="13"/>
      <c r="J47" s="14" t="str">
        <f aca="false">IF(Tabla1[[#This Row],[Respuesta]]="","Sin respuesta","Respondido")</f>
        <v>Respondido</v>
      </c>
      <c r="K47" s="13"/>
    </row>
    <row r="48" customFormat="false" ht="57" hidden="false" customHeight="true" outlineLevel="0" collapsed="false">
      <c r="A48" s="10" t="n">
        <v>437</v>
      </c>
      <c r="B48" s="10" t="n">
        <v>20</v>
      </c>
      <c r="C48" s="10" t="s">
        <v>4</v>
      </c>
      <c r="D48" s="10"/>
      <c r="E48" s="10" t="s">
        <v>12</v>
      </c>
      <c r="F48" s="11" t="s">
        <v>127</v>
      </c>
      <c r="G48" s="11"/>
      <c r="H48" s="12" t="s">
        <v>128</v>
      </c>
      <c r="I48" s="13"/>
      <c r="J48" s="14" t="str">
        <f aca="false">IF(Tabla1[[#This Row],[Respuesta]]="","Sin respuesta","Respondido")</f>
        <v>Respondido</v>
      </c>
      <c r="K48" s="13"/>
    </row>
    <row r="49" customFormat="false" ht="57" hidden="false" customHeight="true" outlineLevel="0" collapsed="false">
      <c r="A49" s="10" t="n">
        <v>436</v>
      </c>
      <c r="B49" s="10" t="n">
        <v>19</v>
      </c>
      <c r="C49" s="10" t="s">
        <v>4</v>
      </c>
      <c r="D49" s="10"/>
      <c r="E49" s="10" t="s">
        <v>12</v>
      </c>
      <c r="F49" s="11" t="s">
        <v>129</v>
      </c>
      <c r="G49" s="11"/>
      <c r="H49" s="12" t="s">
        <v>130</v>
      </c>
      <c r="I49" s="13"/>
      <c r="J49" s="14" t="str">
        <f aca="false">IF(Tabla1[[#This Row],[Respuesta]]="","Sin respuesta","Respondido")</f>
        <v>Respondido</v>
      </c>
      <c r="K49" s="13"/>
    </row>
    <row r="50" customFormat="false" ht="57" hidden="false" customHeight="true" outlineLevel="0" collapsed="false">
      <c r="A50" s="10" t="n">
        <v>435</v>
      </c>
      <c r="B50" s="10" t="n">
        <v>18</v>
      </c>
      <c r="C50" s="10" t="s">
        <v>4</v>
      </c>
      <c r="D50" s="10"/>
      <c r="E50" s="10" t="s">
        <v>12</v>
      </c>
      <c r="F50" s="11" t="s">
        <v>131</v>
      </c>
      <c r="G50" s="11"/>
      <c r="H50" s="12" t="s">
        <v>130</v>
      </c>
      <c r="I50" s="13"/>
      <c r="J50" s="14" t="str">
        <f aca="false">IF(Tabla1[[#This Row],[Respuesta]]="","Sin respuesta","Respondido")</f>
        <v>Respondido</v>
      </c>
      <c r="K50" s="13"/>
    </row>
    <row r="51" customFormat="false" ht="57" hidden="false" customHeight="true" outlineLevel="0" collapsed="false">
      <c r="A51" s="10" t="n">
        <v>434</v>
      </c>
      <c r="B51" s="10" t="n">
        <v>17</v>
      </c>
      <c r="C51" s="10" t="s">
        <v>4</v>
      </c>
      <c r="D51" s="10"/>
      <c r="E51" s="10" t="s">
        <v>12</v>
      </c>
      <c r="F51" s="11" t="s">
        <v>132</v>
      </c>
      <c r="G51" s="11"/>
      <c r="H51" s="12" t="s">
        <v>133</v>
      </c>
      <c r="I51" s="13"/>
      <c r="J51" s="14" t="str">
        <f aca="false">IF(Tabla1[[#This Row],[Respuesta]]="","Sin respuesta","Respondido")</f>
        <v>Respondido</v>
      </c>
      <c r="K51" s="13"/>
    </row>
    <row r="52" customFormat="false" ht="57" hidden="false" customHeight="true" outlineLevel="0" collapsed="false">
      <c r="A52" s="10" t="n">
        <v>433</v>
      </c>
      <c r="B52" s="10" t="n">
        <v>16</v>
      </c>
      <c r="C52" s="10" t="s">
        <v>4</v>
      </c>
      <c r="D52" s="10"/>
      <c r="E52" s="10" t="s">
        <v>12</v>
      </c>
      <c r="F52" s="11" t="s">
        <v>134</v>
      </c>
      <c r="G52" s="11"/>
      <c r="H52" s="12" t="s">
        <v>135</v>
      </c>
      <c r="I52" s="13"/>
      <c r="J52" s="14" t="str">
        <f aca="false">IF(Tabla1[[#This Row],[Respuesta]]="","Sin respuesta","Respondido")</f>
        <v>Respondido</v>
      </c>
      <c r="K52" s="13"/>
    </row>
    <row r="53" customFormat="false" ht="84" hidden="false" customHeight="true" outlineLevel="0" collapsed="false">
      <c r="A53" s="10" t="n">
        <v>432</v>
      </c>
      <c r="B53" s="10" t="n">
        <v>15</v>
      </c>
      <c r="C53" s="10" t="s">
        <v>4</v>
      </c>
      <c r="D53" s="10"/>
      <c r="E53" s="10" t="s">
        <v>12</v>
      </c>
      <c r="F53" s="11" t="s">
        <v>136</v>
      </c>
      <c r="G53" s="11"/>
      <c r="H53" s="12" t="s">
        <v>137</v>
      </c>
      <c r="I53" s="13"/>
      <c r="J53" s="14" t="str">
        <f aca="false">IF(Tabla1[[#This Row],[Respuesta]]="","Sin respuesta","Respondido")</f>
        <v>Respondido</v>
      </c>
      <c r="K53" s="13"/>
    </row>
    <row r="54" customFormat="false" ht="57" hidden="false" customHeight="true" outlineLevel="0" collapsed="false">
      <c r="A54" s="10" t="n">
        <v>431</v>
      </c>
      <c r="B54" s="10" t="n">
        <v>14</v>
      </c>
      <c r="C54" s="10" t="s">
        <v>4</v>
      </c>
      <c r="D54" s="10"/>
      <c r="E54" s="10" t="s">
        <v>12</v>
      </c>
      <c r="F54" s="11" t="s">
        <v>138</v>
      </c>
      <c r="G54" s="11"/>
      <c r="H54" s="12" t="s">
        <v>139</v>
      </c>
      <c r="I54" s="13"/>
      <c r="J54" s="14" t="str">
        <f aca="false">IF(Tabla1[[#This Row],[Respuesta]]="","Sin respuesta","Respondido")</f>
        <v>Respondido</v>
      </c>
      <c r="K54" s="13"/>
    </row>
    <row r="55" customFormat="false" ht="104.25" hidden="false" customHeight="true" outlineLevel="0" collapsed="false">
      <c r="A55" s="10" t="n">
        <v>430</v>
      </c>
      <c r="B55" s="10" t="n">
        <v>13</v>
      </c>
      <c r="C55" s="10" t="s">
        <v>4</v>
      </c>
      <c r="D55" s="10"/>
      <c r="E55" s="10" t="s">
        <v>12</v>
      </c>
      <c r="F55" s="11" t="s">
        <v>140</v>
      </c>
      <c r="G55" s="11"/>
      <c r="H55" s="12" t="s">
        <v>141</v>
      </c>
      <c r="I55" s="13"/>
      <c r="J55" s="14" t="str">
        <f aca="false">IF(Tabla1[[#This Row],[Respuesta]]="","Sin respuesta","Respondido")</f>
        <v>Respondido</v>
      </c>
      <c r="K55" s="13"/>
    </row>
    <row r="56" customFormat="false" ht="57" hidden="false" customHeight="true" outlineLevel="0" collapsed="false">
      <c r="A56" s="10" t="n">
        <v>429</v>
      </c>
      <c r="B56" s="10" t="n">
        <v>12</v>
      </c>
      <c r="C56" s="10" t="s">
        <v>4</v>
      </c>
      <c r="D56" s="10"/>
      <c r="E56" s="10" t="s">
        <v>12</v>
      </c>
      <c r="F56" s="11" t="s">
        <v>142</v>
      </c>
      <c r="G56" s="11"/>
      <c r="H56" s="12" t="s">
        <v>143</v>
      </c>
      <c r="I56" s="13"/>
      <c r="J56" s="14" t="str">
        <f aca="false">IF(Tabla1[[#This Row],[Respuesta]]="","Sin respuesta","Respondido")</f>
        <v>Respondido</v>
      </c>
      <c r="K56" s="13"/>
    </row>
    <row r="57" customFormat="false" ht="57" hidden="false" customHeight="true" outlineLevel="0" collapsed="false">
      <c r="A57" s="10" t="n">
        <v>428</v>
      </c>
      <c r="B57" s="10" t="n">
        <v>11</v>
      </c>
      <c r="C57" s="10" t="s">
        <v>4</v>
      </c>
      <c r="D57" s="10"/>
      <c r="E57" s="10" t="s">
        <v>12</v>
      </c>
      <c r="F57" s="11" t="s">
        <v>144</v>
      </c>
      <c r="G57" s="11"/>
      <c r="H57" s="12" t="s">
        <v>145</v>
      </c>
      <c r="I57" s="13"/>
      <c r="J57" s="14" t="str">
        <f aca="false">IF(Tabla1[[#This Row],[Respuesta]]="","Sin respuesta","Respondido")</f>
        <v>Respondido</v>
      </c>
      <c r="K57" s="13"/>
    </row>
    <row r="58" customFormat="false" ht="97.5" hidden="false" customHeight="true" outlineLevel="0" collapsed="false">
      <c r="A58" s="10" t="n">
        <v>427</v>
      </c>
      <c r="B58" s="10" t="n">
        <v>10</v>
      </c>
      <c r="C58" s="10" t="s">
        <v>4</v>
      </c>
      <c r="D58" s="10"/>
      <c r="E58" s="10" t="s">
        <v>12</v>
      </c>
      <c r="F58" s="11" t="s">
        <v>146</v>
      </c>
      <c r="G58" s="11"/>
      <c r="H58" s="12" t="s">
        <v>147</v>
      </c>
      <c r="I58" s="13"/>
      <c r="J58" s="14" t="str">
        <f aca="false">IF(Tabla1[[#This Row],[Respuesta]]="","Sin respuesta","Respondido")</f>
        <v>Respondido</v>
      </c>
      <c r="K58" s="13"/>
    </row>
    <row r="59" customFormat="false" ht="84.75" hidden="false" customHeight="true" outlineLevel="0" collapsed="false">
      <c r="A59" s="10" t="n">
        <v>426</v>
      </c>
      <c r="B59" s="10" t="n">
        <v>9</v>
      </c>
      <c r="C59" s="10" t="s">
        <v>4</v>
      </c>
      <c r="D59" s="10"/>
      <c r="E59" s="10" t="s">
        <v>12</v>
      </c>
      <c r="F59" s="11" t="s">
        <v>148</v>
      </c>
      <c r="G59" s="11"/>
      <c r="H59" s="12" t="s">
        <v>147</v>
      </c>
      <c r="I59" s="13"/>
      <c r="J59" s="14" t="str">
        <f aca="false">IF(Tabla1[[#This Row],[Respuesta]]="","Sin respuesta","Respondido")</f>
        <v>Respondido</v>
      </c>
      <c r="K59" s="13"/>
    </row>
    <row r="60" customFormat="false" ht="84" hidden="false" customHeight="true" outlineLevel="0" collapsed="false">
      <c r="A60" s="10" t="n">
        <v>425</v>
      </c>
      <c r="B60" s="10" t="n">
        <v>8</v>
      </c>
      <c r="C60" s="10" t="s">
        <v>4</v>
      </c>
      <c r="D60" s="10"/>
      <c r="E60" s="10" t="s">
        <v>12</v>
      </c>
      <c r="F60" s="11" t="s">
        <v>149</v>
      </c>
      <c r="G60" s="11"/>
      <c r="H60" s="12" t="s">
        <v>150</v>
      </c>
      <c r="I60" s="13"/>
      <c r="J60" s="14" t="str">
        <f aca="false">IF(Tabla1[[#This Row],[Respuesta]]="","Sin respuesta","Respondido")</f>
        <v>Respondido</v>
      </c>
      <c r="K60" s="13"/>
    </row>
    <row r="61" customFormat="false" ht="226.5" hidden="false" customHeight="true" outlineLevel="0" collapsed="false">
      <c r="A61" s="10" t="n">
        <v>424</v>
      </c>
      <c r="B61" s="10" t="n">
        <v>7</v>
      </c>
      <c r="C61" s="10" t="s">
        <v>4</v>
      </c>
      <c r="D61" s="10"/>
      <c r="E61" s="10" t="s">
        <v>12</v>
      </c>
      <c r="F61" s="11" t="s">
        <v>151</v>
      </c>
      <c r="G61" s="11"/>
      <c r="H61" s="12" t="s">
        <v>150</v>
      </c>
      <c r="I61" s="13"/>
      <c r="J61" s="14" t="str">
        <f aca="false">IF(Tabla1[[#This Row],[Respuesta]]="","Sin respuesta","Respondido")</f>
        <v>Respondido</v>
      </c>
      <c r="K61" s="13"/>
    </row>
    <row r="62" customFormat="false" ht="57" hidden="false" customHeight="true" outlineLevel="0" collapsed="false">
      <c r="A62" s="10" t="n">
        <v>423</v>
      </c>
      <c r="B62" s="10" t="n">
        <v>6</v>
      </c>
      <c r="C62" s="10" t="s">
        <v>4</v>
      </c>
      <c r="D62" s="10"/>
      <c r="E62" s="10" t="s">
        <v>12</v>
      </c>
      <c r="F62" s="11" t="s">
        <v>152</v>
      </c>
      <c r="G62" s="11" t="s">
        <v>153</v>
      </c>
      <c r="H62" s="12" t="s">
        <v>154</v>
      </c>
      <c r="I62" s="13"/>
      <c r="J62" s="14" t="str">
        <f aca="false">IF(Tabla1[[#This Row],[Respuesta]]="","Sin respuesta","Respondido")</f>
        <v>Respondido</v>
      </c>
      <c r="K62" s="13"/>
    </row>
    <row r="63" customFormat="false" ht="57" hidden="false" customHeight="true" outlineLevel="0" collapsed="false">
      <c r="A63" s="10" t="n">
        <v>422</v>
      </c>
      <c r="B63" s="10" t="n">
        <v>5</v>
      </c>
      <c r="C63" s="10" t="s">
        <v>4</v>
      </c>
      <c r="D63" s="10"/>
      <c r="E63" s="10" t="s">
        <v>12</v>
      </c>
      <c r="F63" s="11" t="s">
        <v>155</v>
      </c>
      <c r="G63" s="11"/>
      <c r="H63" s="12" t="s">
        <v>156</v>
      </c>
      <c r="I63" s="13"/>
      <c r="J63" s="14" t="str">
        <f aca="false">IF(Tabla1[[#This Row],[Respuesta]]="","Sin respuesta","Respondido")</f>
        <v>Respondido</v>
      </c>
      <c r="K63" s="13"/>
    </row>
    <row r="64" customFormat="false" ht="57" hidden="false" customHeight="true" outlineLevel="0" collapsed="false">
      <c r="A64" s="10" t="n">
        <v>421</v>
      </c>
      <c r="B64" s="10" t="n">
        <v>4</v>
      </c>
      <c r="C64" s="10" t="s">
        <v>4</v>
      </c>
      <c r="D64" s="10"/>
      <c r="E64" s="10" t="s">
        <v>12</v>
      </c>
      <c r="F64" s="11" t="s">
        <v>157</v>
      </c>
      <c r="G64" s="11"/>
      <c r="H64" s="12" t="s">
        <v>158</v>
      </c>
      <c r="I64" s="13"/>
      <c r="J64" s="14" t="str">
        <f aca="false">IF(Tabla1[[#This Row],[Respuesta]]="","Sin respuesta","Respondido")</f>
        <v>Respondido</v>
      </c>
      <c r="K64" s="13"/>
    </row>
    <row r="65" customFormat="false" ht="57" hidden="false" customHeight="true" outlineLevel="0" collapsed="false">
      <c r="A65" s="10" t="n">
        <v>420</v>
      </c>
      <c r="B65" s="10" t="n">
        <v>3</v>
      </c>
      <c r="C65" s="10" t="s">
        <v>4</v>
      </c>
      <c r="D65" s="10"/>
      <c r="E65" s="10" t="s">
        <v>12</v>
      </c>
      <c r="F65" s="11" t="s">
        <v>159</v>
      </c>
      <c r="G65" s="11"/>
      <c r="H65" s="12" t="s">
        <v>158</v>
      </c>
      <c r="I65" s="13"/>
      <c r="J65" s="14" t="str">
        <f aca="false">IF(Tabla1[[#This Row],[Respuesta]]="","Sin respuesta","Respondido")</f>
        <v>Respondido</v>
      </c>
      <c r="K65" s="13"/>
    </row>
    <row r="66" customFormat="false" ht="57" hidden="false" customHeight="true" outlineLevel="0" collapsed="false">
      <c r="A66" s="10" t="n">
        <v>419</v>
      </c>
      <c r="B66" s="10" t="n">
        <v>2</v>
      </c>
      <c r="C66" s="10" t="s">
        <v>4</v>
      </c>
      <c r="D66" s="10"/>
      <c r="E66" s="10" t="s">
        <v>12</v>
      </c>
      <c r="F66" s="11" t="s">
        <v>160</v>
      </c>
      <c r="G66" s="11"/>
      <c r="H66" s="12" t="s">
        <v>74</v>
      </c>
      <c r="I66" s="13"/>
      <c r="J66" s="14" t="str">
        <f aca="false">IF(Tabla1[[#This Row],[Respuesta]]="","Sin respuesta","Respondido")</f>
        <v>Respondido</v>
      </c>
      <c r="K66" s="13"/>
    </row>
    <row r="67" customFormat="false" ht="57" hidden="false" customHeight="true" outlineLevel="0" collapsed="false">
      <c r="A67" s="10" t="n">
        <v>418</v>
      </c>
      <c r="B67" s="10" t="n">
        <v>1</v>
      </c>
      <c r="C67" s="10" t="s">
        <v>4</v>
      </c>
      <c r="D67" s="10"/>
      <c r="E67" s="10" t="s">
        <v>12</v>
      </c>
      <c r="F67" s="11" t="s">
        <v>161</v>
      </c>
      <c r="G67" s="11" t="s">
        <v>162</v>
      </c>
      <c r="H67" s="12" t="s">
        <v>163</v>
      </c>
      <c r="I67" s="13"/>
      <c r="J67" s="14" t="str">
        <f aca="false">IF(Tabla1[[#This Row],[Respuesta]]="","Sin respuesta","Respondido")</f>
        <v>Respondido</v>
      </c>
      <c r="K67" s="13"/>
    </row>
    <row r="68" customFormat="false" ht="57" hidden="false" customHeight="true" outlineLevel="0" collapsed="false">
      <c r="A68" s="10" t="n">
        <v>417</v>
      </c>
      <c r="B68" s="10"/>
      <c r="C68" s="10" t="s">
        <v>6</v>
      </c>
      <c r="D68" s="10"/>
      <c r="E68" s="10" t="s">
        <v>7</v>
      </c>
      <c r="F68" s="11" t="s">
        <v>164</v>
      </c>
      <c r="G68" s="11"/>
      <c r="H68" s="12" t="s">
        <v>165</v>
      </c>
      <c r="I68" s="13"/>
      <c r="J68" s="14" t="str">
        <f aca="false">IF(Tabla1[[#This Row],[Respuesta]]="","Sin respuesta","Respondido")</f>
        <v>Respondido</v>
      </c>
      <c r="K68" s="13"/>
    </row>
    <row r="69" customFormat="false" ht="64.5" hidden="false" customHeight="true" outlineLevel="0" collapsed="false">
      <c r="A69" s="10" t="n">
        <v>416</v>
      </c>
      <c r="B69" s="10"/>
      <c r="C69" s="10" t="s">
        <v>6</v>
      </c>
      <c r="D69" s="10"/>
      <c r="E69" s="10" t="s">
        <v>7</v>
      </c>
      <c r="F69" s="11" t="s">
        <v>166</v>
      </c>
      <c r="G69" s="11"/>
      <c r="H69" s="12" t="s">
        <v>165</v>
      </c>
      <c r="I69" s="13"/>
      <c r="J69" s="14" t="str">
        <f aca="false">IF(Tabla1[[#This Row],[Respuesta]]="","Sin respuesta","Respondido")</f>
        <v>Respondido</v>
      </c>
      <c r="K69" s="13"/>
    </row>
    <row r="70" customFormat="false" ht="66.75" hidden="false" customHeight="true" outlineLevel="0" collapsed="false">
      <c r="A70" s="10" t="n">
        <v>415</v>
      </c>
      <c r="B70" s="10"/>
      <c r="C70" s="10" t="s">
        <v>6</v>
      </c>
      <c r="D70" s="10"/>
      <c r="E70" s="10" t="s">
        <v>7</v>
      </c>
      <c r="F70" s="11" t="s">
        <v>167</v>
      </c>
      <c r="G70" s="11"/>
      <c r="H70" s="12" t="s">
        <v>168</v>
      </c>
      <c r="I70" s="13"/>
      <c r="J70" s="14" t="str">
        <f aca="false">IF(Tabla1[[#This Row],[Respuesta]]="","Sin respuesta","Respondido")</f>
        <v>Respondido</v>
      </c>
      <c r="K70" s="13"/>
    </row>
    <row r="71" customFormat="false" ht="57" hidden="false" customHeight="true" outlineLevel="0" collapsed="false">
      <c r="A71" s="10" t="n">
        <v>414</v>
      </c>
      <c r="B71" s="10"/>
      <c r="C71" s="10" t="s">
        <v>6</v>
      </c>
      <c r="D71" s="10"/>
      <c r="E71" s="10" t="s">
        <v>7</v>
      </c>
      <c r="F71" s="11" t="s">
        <v>169</v>
      </c>
      <c r="G71" s="11"/>
      <c r="H71" s="12" t="s">
        <v>170</v>
      </c>
      <c r="I71" s="13"/>
      <c r="J71" s="14" t="str">
        <f aca="false">IF(Tabla1[[#This Row],[Respuesta]]="","Sin respuesta","Respondido")</f>
        <v>Respondido</v>
      </c>
      <c r="K71" s="13"/>
    </row>
    <row r="72" customFormat="false" ht="57" hidden="false" customHeight="true" outlineLevel="0" collapsed="false">
      <c r="A72" s="10" t="n">
        <v>413</v>
      </c>
      <c r="B72" s="10"/>
      <c r="C72" s="10" t="s">
        <v>6</v>
      </c>
      <c r="D72" s="10"/>
      <c r="E72" s="10" t="s">
        <v>7</v>
      </c>
      <c r="F72" s="11" t="s">
        <v>171</v>
      </c>
      <c r="G72" s="11"/>
      <c r="H72" s="12" t="s">
        <v>107</v>
      </c>
      <c r="I72" s="13"/>
      <c r="J72" s="14" t="str">
        <f aca="false">IF(Tabla1[[#This Row],[Respuesta]]="","Sin respuesta","Respondido")</f>
        <v>Respondido</v>
      </c>
      <c r="K72" s="13"/>
    </row>
    <row r="73" customFormat="false" ht="57" hidden="false" customHeight="true" outlineLevel="0" collapsed="false">
      <c r="A73" s="10" t="n">
        <v>412</v>
      </c>
      <c r="B73" s="10"/>
      <c r="C73" s="10" t="s">
        <v>6</v>
      </c>
      <c r="D73" s="10"/>
      <c r="E73" s="10" t="s">
        <v>7</v>
      </c>
      <c r="F73" s="11" t="s">
        <v>172</v>
      </c>
      <c r="G73" s="11"/>
      <c r="H73" s="12" t="s">
        <v>173</v>
      </c>
      <c r="I73" s="13"/>
      <c r="J73" s="14" t="str">
        <f aca="false">IF(Tabla1[[#This Row],[Respuesta]]="","Sin respuesta","Respondido")</f>
        <v>Respondido</v>
      </c>
      <c r="K73" s="13"/>
    </row>
    <row r="74" customFormat="false" ht="84.75" hidden="false" customHeight="true" outlineLevel="0" collapsed="false">
      <c r="A74" s="10" t="n">
        <v>411</v>
      </c>
      <c r="B74" s="10"/>
      <c r="C74" s="10" t="s">
        <v>6</v>
      </c>
      <c r="D74" s="10"/>
      <c r="E74" s="10" t="s">
        <v>7</v>
      </c>
      <c r="F74" s="11" t="s">
        <v>174</v>
      </c>
      <c r="G74" s="11"/>
      <c r="H74" s="12" t="s">
        <v>175</v>
      </c>
      <c r="I74" s="13"/>
      <c r="J74" s="14" t="str">
        <f aca="false">IF(Tabla1[[#This Row],[Respuesta]]="","Sin respuesta","Respondido")</f>
        <v>Respondido</v>
      </c>
      <c r="K74" s="13"/>
    </row>
    <row r="75" customFormat="false" ht="136.5" hidden="false" customHeight="true" outlineLevel="0" collapsed="false">
      <c r="A75" s="10" t="n">
        <v>410</v>
      </c>
      <c r="B75" s="10"/>
      <c r="C75" s="10" t="s">
        <v>6</v>
      </c>
      <c r="D75" s="10"/>
      <c r="E75" s="10" t="s">
        <v>7</v>
      </c>
      <c r="F75" s="11" t="s">
        <v>176</v>
      </c>
      <c r="G75" s="11"/>
      <c r="H75" s="12" t="s">
        <v>175</v>
      </c>
      <c r="I75" s="13"/>
      <c r="J75" s="14" t="str">
        <f aca="false">IF(Tabla1[[#This Row],[Respuesta]]="","Sin respuesta","Respondido")</f>
        <v>Respondido</v>
      </c>
      <c r="K75" s="13"/>
    </row>
    <row r="76" customFormat="false" ht="73.5" hidden="false" customHeight="true" outlineLevel="0" collapsed="false">
      <c r="A76" s="10" t="n">
        <v>409</v>
      </c>
      <c r="B76" s="10"/>
      <c r="C76" s="10" t="s">
        <v>6</v>
      </c>
      <c r="D76" s="10"/>
      <c r="E76" s="10" t="s">
        <v>7</v>
      </c>
      <c r="F76" s="11" t="s">
        <v>177</v>
      </c>
      <c r="G76" s="11"/>
      <c r="H76" s="12" t="s">
        <v>178</v>
      </c>
      <c r="I76" s="13"/>
      <c r="J76" s="14" t="str">
        <f aca="false">IF(Tabla1[[#This Row],[Respuesta]]="","Sin respuesta","Respondido")</f>
        <v>Respondido</v>
      </c>
      <c r="K76" s="13"/>
    </row>
    <row r="77" customFormat="false" ht="87" hidden="false" customHeight="true" outlineLevel="0" collapsed="false">
      <c r="A77" s="10" t="n">
        <v>408</v>
      </c>
      <c r="B77" s="10"/>
      <c r="C77" s="10" t="s">
        <v>6</v>
      </c>
      <c r="D77" s="10"/>
      <c r="E77" s="10" t="s">
        <v>7</v>
      </c>
      <c r="F77" s="11" t="s">
        <v>179</v>
      </c>
      <c r="G77" s="11"/>
      <c r="H77" s="12" t="s">
        <v>180</v>
      </c>
      <c r="I77" s="13"/>
      <c r="J77" s="14" t="str">
        <f aca="false">IF(Tabla1[[#This Row],[Respuesta]]="","Sin respuesta","Respondido")</f>
        <v>Respondido</v>
      </c>
      <c r="K77" s="13"/>
    </row>
    <row r="78" customFormat="false" ht="105" hidden="false" customHeight="true" outlineLevel="0" collapsed="false">
      <c r="A78" s="10" t="n">
        <v>407</v>
      </c>
      <c r="B78" s="10"/>
      <c r="C78" s="10" t="s">
        <v>6</v>
      </c>
      <c r="D78" s="10"/>
      <c r="E78" s="10" t="s">
        <v>13</v>
      </c>
      <c r="F78" s="11" t="s">
        <v>181</v>
      </c>
      <c r="G78" s="11"/>
      <c r="H78" s="12" t="s">
        <v>182</v>
      </c>
      <c r="I78" s="13"/>
      <c r="J78" s="14" t="str">
        <f aca="false">IF(Tabla1[[#This Row],[Respuesta]]="","Sin respuesta","Respondido")</f>
        <v>Respondido</v>
      </c>
      <c r="K78" s="13"/>
    </row>
    <row r="79" customFormat="false" ht="105" hidden="false" customHeight="true" outlineLevel="0" collapsed="false">
      <c r="A79" s="10" t="n">
        <v>406</v>
      </c>
      <c r="B79" s="10"/>
      <c r="C79" s="10" t="s">
        <v>6</v>
      </c>
      <c r="D79" s="10"/>
      <c r="E79" s="10" t="s">
        <v>8</v>
      </c>
      <c r="F79" s="11" t="s">
        <v>183</v>
      </c>
      <c r="G79" s="11"/>
      <c r="H79" s="12" t="s">
        <v>184</v>
      </c>
      <c r="I79" s="13"/>
      <c r="J79" s="14" t="str">
        <f aca="false">IF(Tabla1[[#This Row],[Respuesta]]="","Sin respuesta","Respondido")</f>
        <v>Respondido</v>
      </c>
      <c r="K79" s="13"/>
    </row>
    <row r="80" customFormat="false" ht="158.25" hidden="false" customHeight="true" outlineLevel="0" collapsed="false">
      <c r="A80" s="10" t="n">
        <v>405</v>
      </c>
      <c r="B80" s="10"/>
      <c r="C80" s="10" t="s">
        <v>6</v>
      </c>
      <c r="D80" s="10"/>
      <c r="E80" s="10" t="s">
        <v>11</v>
      </c>
      <c r="F80" s="11" t="s">
        <v>185</v>
      </c>
      <c r="G80" s="11"/>
      <c r="H80" s="12" t="s">
        <v>186</v>
      </c>
      <c r="I80" s="13"/>
      <c r="J80" s="14" t="str">
        <f aca="false">IF(Tabla1[[#This Row],[Respuesta]]="","Sin respuesta","Respondido")</f>
        <v>Respondido</v>
      </c>
      <c r="K80" s="13"/>
    </row>
    <row r="81" customFormat="false" ht="57" hidden="false" customHeight="true" outlineLevel="0" collapsed="false">
      <c r="A81" s="10" t="n">
        <v>404</v>
      </c>
      <c r="B81" s="10"/>
      <c r="C81" s="10" t="s">
        <v>6</v>
      </c>
      <c r="D81" s="10"/>
      <c r="E81" s="10" t="s">
        <v>17</v>
      </c>
      <c r="F81" s="11" t="s">
        <v>187</v>
      </c>
      <c r="G81" s="11"/>
      <c r="H81" s="12" t="s">
        <v>188</v>
      </c>
      <c r="I81" s="13"/>
      <c r="J81" s="14" t="str">
        <f aca="false">IF(Tabla1[[#This Row],[Respuesta]]="","Sin respuesta","Respondido")</f>
        <v>Respondido</v>
      </c>
      <c r="K81" s="13"/>
    </row>
    <row r="82" customFormat="false" ht="57" hidden="false" customHeight="true" outlineLevel="0" collapsed="false">
      <c r="A82" s="10" t="n">
        <v>403</v>
      </c>
      <c r="B82" s="10"/>
      <c r="C82" s="10" t="s">
        <v>6</v>
      </c>
      <c r="D82" s="10"/>
      <c r="E82" s="10" t="s">
        <v>17</v>
      </c>
      <c r="F82" s="11" t="s">
        <v>189</v>
      </c>
      <c r="G82" s="11"/>
      <c r="H82" s="12" t="s">
        <v>190</v>
      </c>
      <c r="I82" s="13"/>
      <c r="J82" s="14" t="str">
        <f aca="false">IF(Tabla1[[#This Row],[Respuesta]]="","Sin respuesta","Respondido")</f>
        <v>Respondido</v>
      </c>
      <c r="K82" s="13"/>
    </row>
    <row r="83" customFormat="false" ht="57" hidden="false" customHeight="true" outlineLevel="0" collapsed="false">
      <c r="A83" s="10" t="n">
        <v>402</v>
      </c>
      <c r="B83" s="10"/>
      <c r="C83" s="10" t="s">
        <v>6</v>
      </c>
      <c r="D83" s="10"/>
      <c r="E83" s="10" t="s">
        <v>17</v>
      </c>
      <c r="F83" s="11" t="s">
        <v>191</v>
      </c>
      <c r="G83" s="11"/>
      <c r="H83" s="12" t="s">
        <v>192</v>
      </c>
      <c r="I83" s="13"/>
      <c r="J83" s="14" t="str">
        <f aca="false">IF(Tabla1[[#This Row],[Respuesta]]="","Sin respuesta","Respondido")</f>
        <v>Respondido</v>
      </c>
      <c r="K83" s="13"/>
    </row>
    <row r="84" customFormat="false" ht="57" hidden="false" customHeight="true" outlineLevel="0" collapsed="false">
      <c r="A84" s="10" t="n">
        <v>401</v>
      </c>
      <c r="B84" s="10"/>
      <c r="C84" s="10" t="s">
        <v>6</v>
      </c>
      <c r="D84" s="10"/>
      <c r="E84" s="10" t="s">
        <v>17</v>
      </c>
      <c r="F84" s="11" t="s">
        <v>193</v>
      </c>
      <c r="G84" s="11"/>
      <c r="H84" s="12" t="s">
        <v>194</v>
      </c>
      <c r="I84" s="13"/>
      <c r="J84" s="14" t="str">
        <f aca="false">IF(Tabla1[[#This Row],[Respuesta]]="","Sin respuesta","Respondido")</f>
        <v>Respondido</v>
      </c>
      <c r="K84" s="13"/>
    </row>
    <row r="85" customFormat="false" ht="57" hidden="false" customHeight="true" outlineLevel="0" collapsed="false">
      <c r="A85" s="10" t="n">
        <v>400</v>
      </c>
      <c r="B85" s="10"/>
      <c r="C85" s="10" t="s">
        <v>6</v>
      </c>
      <c r="D85" s="10"/>
      <c r="E85" s="10" t="s">
        <v>17</v>
      </c>
      <c r="F85" s="11" t="s">
        <v>195</v>
      </c>
      <c r="G85" s="11"/>
      <c r="H85" s="12" t="s">
        <v>196</v>
      </c>
      <c r="I85" s="13"/>
      <c r="J85" s="14" t="str">
        <f aca="false">IF(Tabla1[[#This Row],[Respuesta]]="","Sin respuesta","Respondido")</f>
        <v>Respondido</v>
      </c>
      <c r="K85" s="13"/>
    </row>
    <row r="86" customFormat="false" ht="57" hidden="false" customHeight="true" outlineLevel="0" collapsed="false">
      <c r="A86" s="10" t="n">
        <v>399</v>
      </c>
      <c r="B86" s="10"/>
      <c r="C86" s="10" t="s">
        <v>6</v>
      </c>
      <c r="D86" s="10"/>
      <c r="E86" s="10" t="s">
        <v>12</v>
      </c>
      <c r="F86" s="11" t="s">
        <v>197</v>
      </c>
      <c r="G86" s="11"/>
      <c r="H86" s="12" t="s">
        <v>198</v>
      </c>
      <c r="I86" s="13"/>
      <c r="J86" s="14" t="str">
        <f aca="false">IF(Tabla1[[#This Row],[Respuesta]]="","Sin respuesta","Respondido")</f>
        <v>Respondido</v>
      </c>
      <c r="K86" s="13"/>
    </row>
    <row r="87" customFormat="false" ht="57" hidden="false" customHeight="true" outlineLevel="0" collapsed="false">
      <c r="A87" s="10" t="n">
        <v>398</v>
      </c>
      <c r="B87" s="10"/>
      <c r="C87" s="10" t="s">
        <v>6</v>
      </c>
      <c r="D87" s="10"/>
      <c r="E87" s="10" t="s">
        <v>12</v>
      </c>
      <c r="F87" s="11" t="s">
        <v>199</v>
      </c>
      <c r="G87" s="11"/>
      <c r="H87" s="12" t="s">
        <v>200</v>
      </c>
      <c r="I87" s="13"/>
      <c r="J87" s="14" t="str">
        <f aca="false">IF(Tabla1[[#This Row],[Respuesta]]="","Sin respuesta","Respondido")</f>
        <v>Respondido</v>
      </c>
      <c r="K87" s="13"/>
    </row>
    <row r="88" customFormat="false" ht="57" hidden="false" customHeight="true" outlineLevel="0" collapsed="false">
      <c r="A88" s="10" t="n">
        <v>397</v>
      </c>
      <c r="B88" s="10"/>
      <c r="C88" s="10" t="s">
        <v>6</v>
      </c>
      <c r="D88" s="10"/>
      <c r="E88" s="10" t="s">
        <v>12</v>
      </c>
      <c r="F88" s="11" t="s">
        <v>201</v>
      </c>
      <c r="G88" s="11"/>
      <c r="H88" s="12" t="s">
        <v>198</v>
      </c>
      <c r="I88" s="13"/>
      <c r="J88" s="14" t="str">
        <f aca="false">IF(Tabla1[[#This Row],[Respuesta]]="","Sin respuesta","Respondido")</f>
        <v>Respondido</v>
      </c>
      <c r="K88" s="13"/>
    </row>
    <row r="89" customFormat="false" ht="57" hidden="false" customHeight="true" outlineLevel="0" collapsed="false">
      <c r="A89" s="10" t="n">
        <v>396</v>
      </c>
      <c r="B89" s="10"/>
      <c r="C89" s="10" t="s">
        <v>6</v>
      </c>
      <c r="D89" s="10"/>
      <c r="E89" s="10" t="s">
        <v>12</v>
      </c>
      <c r="F89" s="11" t="s">
        <v>202</v>
      </c>
      <c r="G89" s="11"/>
      <c r="H89" s="12" t="s">
        <v>203</v>
      </c>
      <c r="I89" s="13"/>
      <c r="J89" s="14" t="str">
        <f aca="false">IF(Tabla1[[#This Row],[Respuesta]]="","Sin respuesta","Respondido")</f>
        <v>Respondido</v>
      </c>
      <c r="K89" s="13"/>
    </row>
    <row r="90" customFormat="false" ht="57" hidden="false" customHeight="true" outlineLevel="0" collapsed="false">
      <c r="A90" s="10" t="n">
        <v>395</v>
      </c>
      <c r="B90" s="10"/>
      <c r="C90" s="10" t="s">
        <v>6</v>
      </c>
      <c r="D90" s="10"/>
      <c r="E90" s="10" t="s">
        <v>12</v>
      </c>
      <c r="F90" s="11" t="s">
        <v>204</v>
      </c>
      <c r="G90" s="11"/>
      <c r="H90" s="12" t="s">
        <v>205</v>
      </c>
      <c r="I90" s="13"/>
      <c r="J90" s="14" t="str">
        <f aca="false">IF(Tabla1[[#This Row],[Respuesta]]="","Sin respuesta","Respondido")</f>
        <v>Respondido</v>
      </c>
      <c r="K90" s="13"/>
    </row>
    <row r="91" customFormat="false" ht="57" hidden="false" customHeight="true" outlineLevel="0" collapsed="false">
      <c r="A91" s="10" t="n">
        <v>394</v>
      </c>
      <c r="B91" s="10"/>
      <c r="C91" s="10" t="s">
        <v>6</v>
      </c>
      <c r="D91" s="10"/>
      <c r="E91" s="10" t="s">
        <v>12</v>
      </c>
      <c r="F91" s="11" t="s">
        <v>206</v>
      </c>
      <c r="G91" s="11"/>
      <c r="H91" s="12" t="s">
        <v>74</v>
      </c>
      <c r="I91" s="13"/>
      <c r="J91" s="14" t="str">
        <f aca="false">IF(Tabla1[[#This Row],[Respuesta]]="","Sin respuesta","Respondido")</f>
        <v>Respondido</v>
      </c>
      <c r="K91" s="13"/>
    </row>
    <row r="92" customFormat="false" ht="78.75" hidden="false" customHeight="true" outlineLevel="0" collapsed="false">
      <c r="A92" s="10" t="n">
        <v>393</v>
      </c>
      <c r="B92" s="10"/>
      <c r="C92" s="10" t="s">
        <v>6</v>
      </c>
      <c r="D92" s="10"/>
      <c r="E92" s="10" t="s">
        <v>12</v>
      </c>
      <c r="F92" s="11" t="s">
        <v>207</v>
      </c>
      <c r="G92" s="11"/>
      <c r="H92" s="12" t="s">
        <v>208</v>
      </c>
      <c r="I92" s="13"/>
      <c r="J92" s="14" t="str">
        <f aca="false">IF(Tabla1[[#This Row],[Respuesta]]="","Sin respuesta","Respondido")</f>
        <v>Respondido</v>
      </c>
      <c r="K92" s="13"/>
    </row>
    <row r="93" customFormat="false" ht="78.75" hidden="false" customHeight="true" outlineLevel="0" collapsed="false">
      <c r="A93" s="10" t="n">
        <v>392</v>
      </c>
      <c r="B93" s="10"/>
      <c r="C93" s="10" t="s">
        <v>6</v>
      </c>
      <c r="D93" s="10"/>
      <c r="E93" s="10" t="s">
        <v>12</v>
      </c>
      <c r="F93" s="11" t="s">
        <v>209</v>
      </c>
      <c r="G93" s="11"/>
      <c r="H93" s="12" t="s">
        <v>74</v>
      </c>
      <c r="I93" s="13"/>
      <c r="J93" s="14" t="str">
        <f aca="false">IF(Tabla1[[#This Row],[Respuesta]]="","Sin respuesta","Respondido")</f>
        <v>Respondido</v>
      </c>
      <c r="K93" s="13"/>
    </row>
    <row r="94" customFormat="false" ht="57" hidden="false" customHeight="true" outlineLevel="0" collapsed="false">
      <c r="A94" s="10" t="n">
        <v>391</v>
      </c>
      <c r="B94" s="10"/>
      <c r="C94" s="10" t="s">
        <v>6</v>
      </c>
      <c r="D94" s="10"/>
      <c r="E94" s="10" t="s">
        <v>7</v>
      </c>
      <c r="F94" s="11" t="s">
        <v>210</v>
      </c>
      <c r="G94" s="11"/>
      <c r="H94" s="12" t="s">
        <v>211</v>
      </c>
      <c r="I94" s="13"/>
      <c r="J94" s="14" t="str">
        <f aca="false">IF(Tabla1[[#This Row],[Respuesta]]="","Sin respuesta","Respondido")</f>
        <v>Respondido</v>
      </c>
      <c r="K94" s="13"/>
    </row>
    <row r="95" customFormat="false" ht="57" hidden="false" customHeight="true" outlineLevel="0" collapsed="false">
      <c r="A95" s="10" t="n">
        <v>390</v>
      </c>
      <c r="B95" s="10"/>
      <c r="C95" s="10" t="s">
        <v>6</v>
      </c>
      <c r="D95" s="10"/>
      <c r="E95" s="10" t="s">
        <v>7</v>
      </c>
      <c r="F95" s="11" t="s">
        <v>212</v>
      </c>
      <c r="G95" s="11"/>
      <c r="H95" s="12" t="s">
        <v>213</v>
      </c>
      <c r="I95" s="13"/>
      <c r="J95" s="14" t="str">
        <f aca="false">IF(Tabla1[[#This Row],[Respuesta]]="","Sin respuesta","Respondido")</f>
        <v>Respondido</v>
      </c>
      <c r="K95" s="13"/>
    </row>
    <row r="96" customFormat="false" ht="57" hidden="false" customHeight="true" outlineLevel="0" collapsed="false">
      <c r="A96" s="10" t="n">
        <v>389</v>
      </c>
      <c r="B96" s="10"/>
      <c r="C96" s="10" t="s">
        <v>6</v>
      </c>
      <c r="D96" s="10"/>
      <c r="E96" s="10" t="s">
        <v>7</v>
      </c>
      <c r="F96" s="11" t="s">
        <v>214</v>
      </c>
      <c r="G96" s="11"/>
      <c r="H96" s="12" t="s">
        <v>215</v>
      </c>
      <c r="I96" s="13"/>
      <c r="J96" s="14" t="str">
        <f aca="false">IF(Tabla1[[#This Row],[Respuesta]]="","Sin respuesta","Respondido")</f>
        <v>Respondido</v>
      </c>
      <c r="K96" s="13"/>
    </row>
    <row r="97" customFormat="false" ht="86.25" hidden="false" customHeight="true" outlineLevel="0" collapsed="false">
      <c r="A97" s="10" t="n">
        <v>388</v>
      </c>
      <c r="B97" s="10" t="n">
        <v>21</v>
      </c>
      <c r="C97" s="10" t="s">
        <v>3</v>
      </c>
      <c r="D97" s="10"/>
      <c r="E97" s="10" t="s">
        <v>18</v>
      </c>
      <c r="F97" s="11" t="s">
        <v>216</v>
      </c>
      <c r="G97" s="11"/>
      <c r="H97" s="12" t="s">
        <v>215</v>
      </c>
      <c r="I97" s="13"/>
      <c r="J97" s="14" t="str">
        <f aca="false">IF(Tabla1[[#This Row],[Respuesta]]="","Sin respuesta","Respondido")</f>
        <v>Respondido</v>
      </c>
      <c r="K97" s="13"/>
    </row>
    <row r="98" customFormat="false" ht="72.75" hidden="false" customHeight="true" outlineLevel="0" collapsed="false">
      <c r="A98" s="10" t="n">
        <v>387</v>
      </c>
      <c r="B98" s="10" t="n">
        <v>20</v>
      </c>
      <c r="C98" s="10" t="s">
        <v>3</v>
      </c>
      <c r="D98" s="10"/>
      <c r="E98" s="10" t="s">
        <v>11</v>
      </c>
      <c r="F98" s="11" t="s">
        <v>217</v>
      </c>
      <c r="G98" s="11"/>
      <c r="H98" s="12" t="s">
        <v>218</v>
      </c>
      <c r="I98" s="13"/>
      <c r="J98" s="14" t="str">
        <f aca="false">IF(Tabla1[[#This Row],[Respuesta]]="","Sin respuesta","Respondido")</f>
        <v>Respondido</v>
      </c>
      <c r="K98" s="13"/>
    </row>
    <row r="99" customFormat="false" ht="57" hidden="false" customHeight="true" outlineLevel="0" collapsed="false">
      <c r="A99" s="10" t="n">
        <v>386</v>
      </c>
      <c r="B99" s="10" t="n">
        <v>19</v>
      </c>
      <c r="C99" s="10" t="s">
        <v>3</v>
      </c>
      <c r="D99" s="10"/>
      <c r="E99" s="10" t="s">
        <v>11</v>
      </c>
      <c r="F99" s="11" t="s">
        <v>219</v>
      </c>
      <c r="G99" s="11"/>
      <c r="H99" s="12" t="s">
        <v>220</v>
      </c>
      <c r="I99" s="13"/>
      <c r="J99" s="14" t="str">
        <f aca="false">IF(Tabla1[[#This Row],[Respuesta]]="","Sin respuesta","Respondido")</f>
        <v>Respondido</v>
      </c>
      <c r="K99" s="13"/>
    </row>
    <row r="100" customFormat="false" ht="57" hidden="false" customHeight="true" outlineLevel="0" collapsed="false">
      <c r="A100" s="10" t="n">
        <v>385</v>
      </c>
      <c r="B100" s="10" t="n">
        <v>18</v>
      </c>
      <c r="C100" s="10" t="s">
        <v>3</v>
      </c>
      <c r="D100" s="10"/>
      <c r="E100" s="10" t="s">
        <v>10</v>
      </c>
      <c r="F100" s="11" t="s">
        <v>221</v>
      </c>
      <c r="G100" s="11"/>
      <c r="H100" s="12" t="s">
        <v>222</v>
      </c>
      <c r="I100" s="13"/>
      <c r="J100" s="14" t="str">
        <f aca="false">IF(Tabla1[[#This Row],[Respuesta]]="","Sin respuesta","Respondido")</f>
        <v>Respondido</v>
      </c>
      <c r="K100" s="13"/>
    </row>
    <row r="101" customFormat="false" ht="57" hidden="false" customHeight="true" outlineLevel="0" collapsed="false">
      <c r="A101" s="10" t="n">
        <v>384</v>
      </c>
      <c r="B101" s="10" t="n">
        <v>17</v>
      </c>
      <c r="C101" s="10" t="s">
        <v>3</v>
      </c>
      <c r="D101" s="10"/>
      <c r="E101" s="10" t="s">
        <v>10</v>
      </c>
      <c r="F101" s="11" t="s">
        <v>223</v>
      </c>
      <c r="G101" s="11"/>
      <c r="H101" s="12" t="s">
        <v>224</v>
      </c>
      <c r="I101" s="13"/>
      <c r="J101" s="14" t="str">
        <f aca="false">IF(Tabla1[[#This Row],[Respuesta]]="","Sin respuesta","Respondido")</f>
        <v>Respondido</v>
      </c>
      <c r="K101" s="13"/>
    </row>
    <row r="102" customFormat="false" ht="57" hidden="false" customHeight="true" outlineLevel="0" collapsed="false">
      <c r="A102" s="10" t="n">
        <v>383</v>
      </c>
      <c r="B102" s="10" t="n">
        <v>16</v>
      </c>
      <c r="C102" s="10" t="s">
        <v>3</v>
      </c>
      <c r="D102" s="10"/>
      <c r="E102" s="10" t="s">
        <v>10</v>
      </c>
      <c r="F102" s="11" t="s">
        <v>225</v>
      </c>
      <c r="G102" s="11"/>
      <c r="H102" s="12" t="s">
        <v>198</v>
      </c>
      <c r="I102" s="13"/>
      <c r="J102" s="14" t="str">
        <f aca="false">IF(Tabla1[[#This Row],[Respuesta]]="","Sin respuesta","Respondido")</f>
        <v>Respondido</v>
      </c>
      <c r="K102" s="13"/>
    </row>
    <row r="103" customFormat="false" ht="57" hidden="false" customHeight="true" outlineLevel="0" collapsed="false">
      <c r="A103" s="10" t="n">
        <v>382</v>
      </c>
      <c r="B103" s="10" t="n">
        <v>15</v>
      </c>
      <c r="C103" s="10" t="s">
        <v>3</v>
      </c>
      <c r="D103" s="10"/>
      <c r="E103" s="10" t="s">
        <v>9</v>
      </c>
      <c r="F103" s="11" t="s">
        <v>226</v>
      </c>
      <c r="G103" s="11"/>
      <c r="H103" s="12" t="s">
        <v>227</v>
      </c>
      <c r="I103" s="13"/>
      <c r="J103" s="14" t="str">
        <f aca="false">IF(Tabla1[[#This Row],[Respuesta]]="","Sin respuesta","Respondido")</f>
        <v>Respondido</v>
      </c>
      <c r="K103" s="13"/>
    </row>
    <row r="104" customFormat="false" ht="57" hidden="false" customHeight="true" outlineLevel="0" collapsed="false">
      <c r="A104" s="10" t="n">
        <v>381</v>
      </c>
      <c r="B104" s="10" t="n">
        <v>14</v>
      </c>
      <c r="C104" s="10" t="s">
        <v>3</v>
      </c>
      <c r="D104" s="10"/>
      <c r="E104" s="10" t="s">
        <v>9</v>
      </c>
      <c r="F104" s="11" t="s">
        <v>228</v>
      </c>
      <c r="G104" s="11"/>
      <c r="H104" s="12" t="s">
        <v>218</v>
      </c>
      <c r="I104" s="13"/>
      <c r="J104" s="14" t="str">
        <f aca="false">IF(Tabla1[[#This Row],[Respuesta]]="","Sin respuesta","Respondido")</f>
        <v>Respondido</v>
      </c>
      <c r="K104" s="13"/>
    </row>
    <row r="105" customFormat="false" ht="57" hidden="false" customHeight="true" outlineLevel="0" collapsed="false">
      <c r="A105" s="10" t="n">
        <v>380</v>
      </c>
      <c r="B105" s="10" t="n">
        <v>13</v>
      </c>
      <c r="C105" s="10" t="s">
        <v>3</v>
      </c>
      <c r="D105" s="10"/>
      <c r="E105" s="10" t="s">
        <v>9</v>
      </c>
      <c r="F105" s="11" t="s">
        <v>229</v>
      </c>
      <c r="G105" s="11"/>
      <c r="H105" s="12" t="s">
        <v>230</v>
      </c>
      <c r="I105" s="13"/>
      <c r="J105" s="14" t="str">
        <f aca="false">IF(Tabla1[[#This Row],[Respuesta]]="","Sin respuesta","Respondido")</f>
        <v>Respondido</v>
      </c>
      <c r="K105" s="13"/>
    </row>
    <row r="106" customFormat="false" ht="76.5" hidden="false" customHeight="true" outlineLevel="0" collapsed="false">
      <c r="A106" s="10" t="n">
        <v>379</v>
      </c>
      <c r="B106" s="10" t="n">
        <v>12</v>
      </c>
      <c r="C106" s="10" t="s">
        <v>3</v>
      </c>
      <c r="D106" s="10"/>
      <c r="E106" s="10" t="s">
        <v>9</v>
      </c>
      <c r="F106" s="11" t="s">
        <v>231</v>
      </c>
      <c r="G106" s="11"/>
      <c r="H106" s="12" t="s">
        <v>218</v>
      </c>
      <c r="I106" s="13"/>
      <c r="J106" s="14" t="str">
        <f aca="false">IF(Tabla1[[#This Row],[Respuesta]]="","Sin respuesta","Respondido")</f>
        <v>Respondido</v>
      </c>
      <c r="K106" s="13"/>
    </row>
    <row r="107" customFormat="false" ht="57" hidden="false" customHeight="true" outlineLevel="0" collapsed="false">
      <c r="A107" s="10" t="n">
        <v>378</v>
      </c>
      <c r="B107" s="10" t="n">
        <v>11</v>
      </c>
      <c r="C107" s="10" t="s">
        <v>3</v>
      </c>
      <c r="D107" s="10"/>
      <c r="E107" s="10" t="s">
        <v>9</v>
      </c>
      <c r="F107" s="11" t="s">
        <v>232</v>
      </c>
      <c r="G107" s="11"/>
      <c r="H107" s="12" t="s">
        <v>222</v>
      </c>
      <c r="I107" s="13"/>
      <c r="J107" s="14" t="str">
        <f aca="false">IF(Tabla1[[#This Row],[Respuesta]]="","Sin respuesta","Respondido")</f>
        <v>Respondido</v>
      </c>
      <c r="K107" s="13"/>
    </row>
    <row r="108" customFormat="false" ht="57" hidden="false" customHeight="true" outlineLevel="0" collapsed="false">
      <c r="A108" s="10" t="n">
        <v>377</v>
      </c>
      <c r="B108" s="10" t="n">
        <v>10</v>
      </c>
      <c r="C108" s="10" t="s">
        <v>3</v>
      </c>
      <c r="D108" s="10"/>
      <c r="E108" s="10" t="s">
        <v>12</v>
      </c>
      <c r="F108" s="11" t="s">
        <v>233</v>
      </c>
      <c r="G108" s="11"/>
      <c r="H108" s="12" t="s">
        <v>234</v>
      </c>
      <c r="I108" s="13"/>
      <c r="J108" s="14" t="str">
        <f aca="false">IF(Tabla1[[#This Row],[Respuesta]]="","Sin respuesta","Respondido")</f>
        <v>Respondido</v>
      </c>
      <c r="K108" s="13"/>
    </row>
    <row r="109" customFormat="false" ht="57" hidden="false" customHeight="true" outlineLevel="0" collapsed="false">
      <c r="A109" s="10" t="n">
        <v>376</v>
      </c>
      <c r="B109" s="10" t="n">
        <v>9</v>
      </c>
      <c r="C109" s="10" t="s">
        <v>3</v>
      </c>
      <c r="D109" s="10"/>
      <c r="E109" s="10" t="s">
        <v>12</v>
      </c>
      <c r="F109" s="11" t="s">
        <v>235</v>
      </c>
      <c r="G109" s="11"/>
      <c r="H109" s="12" t="s">
        <v>236</v>
      </c>
      <c r="I109" s="13"/>
      <c r="J109" s="14" t="str">
        <f aca="false">IF(Tabla1[[#This Row],[Respuesta]]="","Sin respuesta","Respondido")</f>
        <v>Respondido</v>
      </c>
      <c r="K109" s="13"/>
    </row>
    <row r="110" customFormat="false" ht="57" hidden="false" customHeight="true" outlineLevel="0" collapsed="false">
      <c r="A110" s="10" t="n">
        <v>375</v>
      </c>
      <c r="B110" s="10" t="n">
        <v>8</v>
      </c>
      <c r="C110" s="10" t="s">
        <v>3</v>
      </c>
      <c r="D110" s="10"/>
      <c r="E110" s="10" t="s">
        <v>12</v>
      </c>
      <c r="F110" s="11" t="s">
        <v>237</v>
      </c>
      <c r="G110" s="11"/>
      <c r="H110" s="12" t="s">
        <v>238</v>
      </c>
      <c r="I110" s="13"/>
      <c r="J110" s="14" t="str">
        <f aca="false">IF(Tabla1[[#This Row],[Respuesta]]="","Sin respuesta","Respondido")</f>
        <v>Respondido</v>
      </c>
      <c r="K110" s="13"/>
    </row>
    <row r="111" customFormat="false" ht="57" hidden="false" customHeight="true" outlineLevel="0" collapsed="false">
      <c r="A111" s="10" t="n">
        <v>374</v>
      </c>
      <c r="B111" s="10" t="n">
        <v>7</v>
      </c>
      <c r="C111" s="10" t="s">
        <v>3</v>
      </c>
      <c r="D111" s="10"/>
      <c r="E111" s="10" t="s">
        <v>8</v>
      </c>
      <c r="F111" s="11" t="s">
        <v>239</v>
      </c>
      <c r="G111" s="11"/>
      <c r="H111" s="12" t="s">
        <v>154</v>
      </c>
      <c r="I111" s="13"/>
      <c r="J111" s="14" t="str">
        <f aca="false">IF(Tabla1[[#This Row],[Respuesta]]="","Sin respuesta","Respondido")</f>
        <v>Respondido</v>
      </c>
      <c r="K111" s="13"/>
    </row>
    <row r="112" customFormat="false" ht="57" hidden="false" customHeight="true" outlineLevel="0" collapsed="false">
      <c r="A112" s="10" t="n">
        <v>373</v>
      </c>
      <c r="B112" s="10" t="n">
        <v>6</v>
      </c>
      <c r="C112" s="10" t="s">
        <v>3</v>
      </c>
      <c r="D112" s="10"/>
      <c r="E112" s="10" t="s">
        <v>8</v>
      </c>
      <c r="F112" s="11" t="s">
        <v>240</v>
      </c>
      <c r="G112" s="11"/>
      <c r="H112" s="12" t="s">
        <v>241</v>
      </c>
      <c r="I112" s="13"/>
      <c r="J112" s="14" t="str">
        <f aca="false">IF(Tabla1[[#This Row],[Respuesta]]="","Sin respuesta","Respondido")</f>
        <v>Respondido</v>
      </c>
      <c r="K112" s="13"/>
    </row>
    <row r="113" customFormat="false" ht="57" hidden="false" customHeight="true" outlineLevel="0" collapsed="false">
      <c r="A113" s="10" t="n">
        <v>372</v>
      </c>
      <c r="B113" s="10" t="n">
        <v>5</v>
      </c>
      <c r="C113" s="10" t="s">
        <v>3</v>
      </c>
      <c r="D113" s="10"/>
      <c r="E113" s="10" t="s">
        <v>8</v>
      </c>
      <c r="F113" s="11" t="s">
        <v>242</v>
      </c>
      <c r="G113" s="11"/>
      <c r="H113" s="12" t="s">
        <v>243</v>
      </c>
      <c r="I113" s="13"/>
      <c r="J113" s="14" t="str">
        <f aca="false">IF(Tabla1[[#This Row],[Respuesta]]="","Sin respuesta","Respondido")</f>
        <v>Respondido</v>
      </c>
      <c r="K113" s="13"/>
    </row>
    <row r="114" customFormat="false" ht="57" hidden="false" customHeight="true" outlineLevel="0" collapsed="false">
      <c r="A114" s="10" t="n">
        <v>371</v>
      </c>
      <c r="B114" s="10" t="n">
        <v>4</v>
      </c>
      <c r="C114" s="10" t="s">
        <v>3</v>
      </c>
      <c r="D114" s="10"/>
      <c r="E114" s="10" t="s">
        <v>8</v>
      </c>
      <c r="F114" s="11" t="s">
        <v>244</v>
      </c>
      <c r="G114" s="11"/>
      <c r="H114" s="12" t="s">
        <v>245</v>
      </c>
      <c r="I114" s="13"/>
      <c r="J114" s="14" t="str">
        <f aca="false">IF(Tabla1[[#This Row],[Respuesta]]="","Sin respuesta","Respondido")</f>
        <v>Respondido</v>
      </c>
      <c r="K114" s="13"/>
    </row>
    <row r="115" customFormat="false" ht="99.95" hidden="false" customHeight="false" outlineLevel="0" collapsed="false">
      <c r="A115" s="10" t="n">
        <v>370</v>
      </c>
      <c r="B115" s="10" t="n">
        <v>3</v>
      </c>
      <c r="C115" s="10" t="s">
        <v>3</v>
      </c>
      <c r="D115" s="10"/>
      <c r="E115" s="10" t="s">
        <v>8</v>
      </c>
      <c r="F115" s="11" t="s">
        <v>246</v>
      </c>
      <c r="G115" s="11"/>
      <c r="H115" s="12" t="s">
        <v>247</v>
      </c>
      <c r="I115" s="13"/>
      <c r="J115" s="14" t="str">
        <f aca="false">IF(Tabla1[[#This Row],[Respuesta]]="","Sin respuesta","Respondido")</f>
        <v>Respondido</v>
      </c>
      <c r="K115" s="13"/>
    </row>
    <row r="116" customFormat="false" ht="57" hidden="false" customHeight="true" outlineLevel="0" collapsed="false">
      <c r="A116" s="10" t="n">
        <v>369</v>
      </c>
      <c r="B116" s="10" t="n">
        <v>2</v>
      </c>
      <c r="C116" s="10" t="s">
        <v>3</v>
      </c>
      <c r="D116" s="10"/>
      <c r="E116" s="10" t="s">
        <v>8</v>
      </c>
      <c r="F116" s="11" t="s">
        <v>248</v>
      </c>
      <c r="G116" s="11"/>
      <c r="H116" s="12" t="s">
        <v>249</v>
      </c>
      <c r="I116" s="13"/>
      <c r="J116" s="14" t="str">
        <f aca="false">IF(Tabla1[[#This Row],[Respuesta]]="","Sin respuesta","Respondido")</f>
        <v>Respondido</v>
      </c>
      <c r="K116" s="13"/>
    </row>
    <row r="117" customFormat="false" ht="57" hidden="false" customHeight="true" outlineLevel="0" collapsed="false">
      <c r="A117" s="10" t="n">
        <v>368</v>
      </c>
      <c r="B117" s="10" t="n">
        <v>1</v>
      </c>
      <c r="C117" s="10" t="s">
        <v>3</v>
      </c>
      <c r="D117" s="10"/>
      <c r="E117" s="10" t="s">
        <v>8</v>
      </c>
      <c r="F117" s="11" t="s">
        <v>250</v>
      </c>
      <c r="G117" s="11"/>
      <c r="H117" s="12" t="s">
        <v>251</v>
      </c>
      <c r="I117" s="13"/>
      <c r="J117" s="14" t="str">
        <f aca="false">IF(Tabla1[[#This Row],[Respuesta]]="","Sin respuesta","Respondido")</f>
        <v>Respondido</v>
      </c>
      <c r="K117" s="13"/>
    </row>
    <row r="118" customFormat="false" ht="57" hidden="false" customHeight="true" outlineLevel="0" collapsed="false">
      <c r="A118" s="10" t="n">
        <v>367</v>
      </c>
      <c r="B118" s="10" t="n">
        <v>115</v>
      </c>
      <c r="C118" s="10" t="s">
        <v>2</v>
      </c>
      <c r="D118" s="10"/>
      <c r="E118" s="10" t="s">
        <v>7</v>
      </c>
      <c r="F118" s="11" t="s">
        <v>252</v>
      </c>
      <c r="G118" s="11"/>
      <c r="H118" s="12" t="s">
        <v>253</v>
      </c>
      <c r="I118" s="13"/>
      <c r="J118" s="14" t="str">
        <f aca="false">IF(Tabla1[[#This Row],[Respuesta]]="","Sin respuesta","Respondido")</f>
        <v>Respondido</v>
      </c>
      <c r="K118" s="13"/>
    </row>
    <row r="119" customFormat="false" ht="57" hidden="false" customHeight="true" outlineLevel="0" collapsed="false">
      <c r="A119" s="10" t="n">
        <v>366</v>
      </c>
      <c r="B119" s="10" t="n">
        <v>114</v>
      </c>
      <c r="C119" s="10" t="s">
        <v>2</v>
      </c>
      <c r="D119" s="10"/>
      <c r="E119" s="10" t="s">
        <v>7</v>
      </c>
      <c r="F119" s="11" t="s">
        <v>254</v>
      </c>
      <c r="G119" s="11"/>
      <c r="H119" s="12" t="s">
        <v>255</v>
      </c>
      <c r="I119" s="13"/>
      <c r="J119" s="14" t="str">
        <f aca="false">IF(Tabla1[[#This Row],[Respuesta]]="","Sin respuesta","Respondido")</f>
        <v>Respondido</v>
      </c>
      <c r="K119" s="13"/>
    </row>
    <row r="120" customFormat="false" ht="57" hidden="false" customHeight="true" outlineLevel="0" collapsed="false">
      <c r="A120" s="10" t="n">
        <v>365</v>
      </c>
      <c r="B120" s="10" t="n">
        <v>113</v>
      </c>
      <c r="C120" s="10" t="s">
        <v>2</v>
      </c>
      <c r="D120" s="10"/>
      <c r="E120" s="10" t="s">
        <v>10</v>
      </c>
      <c r="F120" s="11" t="s">
        <v>256</v>
      </c>
      <c r="G120" s="11"/>
      <c r="H120" s="12" t="s">
        <v>257</v>
      </c>
      <c r="I120" s="13"/>
      <c r="J120" s="14" t="str">
        <f aca="false">IF(Tabla1[[#This Row],[Respuesta]]="","Sin respuesta","Respondido")</f>
        <v>Respondido</v>
      </c>
      <c r="K120" s="13"/>
    </row>
    <row r="121" customFormat="false" ht="81" hidden="false" customHeight="true" outlineLevel="0" collapsed="false">
      <c r="A121" s="10" t="n">
        <v>364</v>
      </c>
      <c r="B121" s="10" t="n">
        <v>112</v>
      </c>
      <c r="C121" s="10" t="s">
        <v>2</v>
      </c>
      <c r="D121" s="10"/>
      <c r="E121" s="10" t="s">
        <v>10</v>
      </c>
      <c r="F121" s="11" t="s">
        <v>258</v>
      </c>
      <c r="G121" s="11"/>
      <c r="H121" s="12" t="s">
        <v>218</v>
      </c>
      <c r="I121" s="13"/>
      <c r="J121" s="14" t="str">
        <f aca="false">IF(Tabla1[[#This Row],[Respuesta]]="","Sin respuesta","Respondido")</f>
        <v>Respondido</v>
      </c>
      <c r="K121" s="13"/>
    </row>
    <row r="122" customFormat="false" ht="57" hidden="false" customHeight="true" outlineLevel="0" collapsed="false">
      <c r="A122" s="10" t="n">
        <v>363</v>
      </c>
      <c r="B122" s="10" t="n">
        <v>111</v>
      </c>
      <c r="C122" s="10" t="s">
        <v>2</v>
      </c>
      <c r="D122" s="10"/>
      <c r="E122" s="10" t="s">
        <v>10</v>
      </c>
      <c r="F122" s="11" t="s">
        <v>259</v>
      </c>
      <c r="G122" s="11"/>
      <c r="H122" s="12" t="s">
        <v>218</v>
      </c>
      <c r="I122" s="13"/>
      <c r="J122" s="14" t="str">
        <f aca="false">IF(Tabla1[[#This Row],[Respuesta]]="","Sin respuesta","Respondido")</f>
        <v>Respondido</v>
      </c>
      <c r="K122" s="13"/>
    </row>
    <row r="123" customFormat="false" ht="57" hidden="false" customHeight="true" outlineLevel="0" collapsed="false">
      <c r="A123" s="10" t="n">
        <v>362</v>
      </c>
      <c r="B123" s="10" t="n">
        <v>110</v>
      </c>
      <c r="C123" s="10" t="s">
        <v>2</v>
      </c>
      <c r="D123" s="10"/>
      <c r="E123" s="10" t="s">
        <v>10</v>
      </c>
      <c r="F123" s="11" t="s">
        <v>260</v>
      </c>
      <c r="G123" s="11"/>
      <c r="H123" s="12" t="s">
        <v>261</v>
      </c>
      <c r="I123" s="13"/>
      <c r="J123" s="14" t="str">
        <f aca="false">IF(Tabla1[[#This Row],[Respuesta]]="","Sin respuesta","Respondido")</f>
        <v>Respondido</v>
      </c>
      <c r="K123" s="13"/>
    </row>
    <row r="124" customFormat="false" ht="57" hidden="false" customHeight="true" outlineLevel="0" collapsed="false">
      <c r="A124" s="10" t="n">
        <v>361</v>
      </c>
      <c r="B124" s="10" t="n">
        <v>109</v>
      </c>
      <c r="C124" s="10" t="s">
        <v>2</v>
      </c>
      <c r="D124" s="10"/>
      <c r="E124" s="10" t="s">
        <v>10</v>
      </c>
      <c r="F124" s="11" t="s">
        <v>262</v>
      </c>
      <c r="G124" s="11"/>
      <c r="H124" s="12" t="s">
        <v>263</v>
      </c>
      <c r="I124" s="13"/>
      <c r="J124" s="14" t="str">
        <f aca="false">IF(Tabla1[[#This Row],[Respuesta]]="","Sin respuesta","Respondido")</f>
        <v>Respondido</v>
      </c>
      <c r="K124" s="13"/>
    </row>
    <row r="125" customFormat="false" ht="57" hidden="false" customHeight="true" outlineLevel="0" collapsed="false">
      <c r="A125" s="10" t="n">
        <v>360</v>
      </c>
      <c r="B125" s="10" t="n">
        <v>108</v>
      </c>
      <c r="C125" s="10" t="s">
        <v>2</v>
      </c>
      <c r="D125" s="10"/>
      <c r="E125" s="10" t="s">
        <v>9</v>
      </c>
      <c r="F125" s="11" t="s">
        <v>264</v>
      </c>
      <c r="G125" s="11"/>
      <c r="H125" s="12" t="s">
        <v>218</v>
      </c>
      <c r="I125" s="13"/>
      <c r="J125" s="14" t="str">
        <f aca="false">IF(Tabla1[[#This Row],[Respuesta]]="","Sin respuesta","Respondido")</f>
        <v>Respondido</v>
      </c>
      <c r="K125" s="13"/>
    </row>
    <row r="126" customFormat="false" ht="57" hidden="false" customHeight="true" outlineLevel="0" collapsed="false">
      <c r="A126" s="10" t="n">
        <v>359</v>
      </c>
      <c r="B126" s="10" t="n">
        <v>107</v>
      </c>
      <c r="C126" s="10" t="s">
        <v>2</v>
      </c>
      <c r="D126" s="10"/>
      <c r="E126" s="10" t="s">
        <v>9</v>
      </c>
      <c r="F126" s="11" t="s">
        <v>265</v>
      </c>
      <c r="G126" s="11"/>
      <c r="H126" s="12" t="s">
        <v>266</v>
      </c>
      <c r="I126" s="13"/>
      <c r="J126" s="14" t="str">
        <f aca="false">IF(Tabla1[[#This Row],[Respuesta]]="","Sin respuesta","Respondido")</f>
        <v>Respondido</v>
      </c>
      <c r="K126" s="13"/>
    </row>
    <row r="127" customFormat="false" ht="57" hidden="false" customHeight="true" outlineLevel="0" collapsed="false">
      <c r="A127" s="10" t="n">
        <v>358</v>
      </c>
      <c r="B127" s="10" t="n">
        <v>106</v>
      </c>
      <c r="C127" s="10" t="s">
        <v>2</v>
      </c>
      <c r="D127" s="10"/>
      <c r="E127" s="10" t="s">
        <v>9</v>
      </c>
      <c r="F127" s="11" t="s">
        <v>267</v>
      </c>
      <c r="G127" s="11"/>
      <c r="H127" s="12" t="s">
        <v>266</v>
      </c>
      <c r="I127" s="13"/>
      <c r="J127" s="14" t="str">
        <f aca="false">IF(Tabla1[[#This Row],[Respuesta]]="","Sin respuesta","Respondido")</f>
        <v>Respondido</v>
      </c>
      <c r="K127" s="13"/>
    </row>
    <row r="128" customFormat="false" ht="57" hidden="false" customHeight="true" outlineLevel="0" collapsed="false">
      <c r="A128" s="10" t="n">
        <v>356</v>
      </c>
      <c r="B128" s="10" t="n">
        <v>104</v>
      </c>
      <c r="C128" s="10" t="s">
        <v>2</v>
      </c>
      <c r="D128" s="10"/>
      <c r="E128" s="10" t="s">
        <v>9</v>
      </c>
      <c r="F128" s="11" t="s">
        <v>268</v>
      </c>
      <c r="G128" s="11"/>
      <c r="H128" s="12" t="s">
        <v>269</v>
      </c>
      <c r="I128" s="13"/>
      <c r="J128" s="14" t="str">
        <f aca="false">IF(Tabla1[[#This Row],[Respuesta]]="","Sin respuesta","Respondido")</f>
        <v>Respondido</v>
      </c>
      <c r="K128" s="13"/>
    </row>
    <row r="129" customFormat="false" ht="57" hidden="false" customHeight="true" outlineLevel="0" collapsed="false">
      <c r="A129" s="10" t="n">
        <v>355</v>
      </c>
      <c r="B129" s="10" t="n">
        <v>103</v>
      </c>
      <c r="C129" s="10" t="s">
        <v>2</v>
      </c>
      <c r="D129" s="10"/>
      <c r="E129" s="10" t="s">
        <v>9</v>
      </c>
      <c r="F129" s="11" t="s">
        <v>270</v>
      </c>
      <c r="G129" s="11"/>
      <c r="H129" s="12" t="s">
        <v>271</v>
      </c>
      <c r="I129" s="13"/>
      <c r="J129" s="14" t="str">
        <f aca="false">IF(Tabla1[[#This Row],[Respuesta]]="","Sin respuesta","Respondido")</f>
        <v>Respondido</v>
      </c>
      <c r="K129" s="13"/>
    </row>
    <row r="130" customFormat="false" ht="78.75" hidden="false" customHeight="true" outlineLevel="0" collapsed="false">
      <c r="A130" s="10" t="n">
        <v>354</v>
      </c>
      <c r="B130" s="10" t="n">
        <v>102</v>
      </c>
      <c r="C130" s="10" t="s">
        <v>2</v>
      </c>
      <c r="D130" s="10"/>
      <c r="E130" s="10" t="s">
        <v>9</v>
      </c>
      <c r="F130" s="11" t="s">
        <v>272</v>
      </c>
      <c r="G130" s="11"/>
      <c r="H130" s="12" t="s">
        <v>271</v>
      </c>
      <c r="I130" s="13"/>
      <c r="J130" s="14" t="str">
        <f aca="false">IF(Tabla1[[#This Row],[Respuesta]]="","Sin respuesta","Respondido")</f>
        <v>Respondido</v>
      </c>
      <c r="K130" s="13"/>
    </row>
    <row r="131" customFormat="false" ht="64.5" hidden="false" customHeight="true" outlineLevel="0" collapsed="false">
      <c r="A131" s="10" t="n">
        <v>353</v>
      </c>
      <c r="B131" s="10" t="n">
        <v>101</v>
      </c>
      <c r="C131" s="10" t="s">
        <v>2</v>
      </c>
      <c r="D131" s="10"/>
      <c r="E131" s="10" t="s">
        <v>9</v>
      </c>
      <c r="F131" s="11" t="s">
        <v>273</v>
      </c>
      <c r="G131" s="11"/>
      <c r="H131" s="12" t="s">
        <v>269</v>
      </c>
      <c r="I131" s="13"/>
      <c r="J131" s="14" t="str">
        <f aca="false">IF(Tabla1[[#This Row],[Respuesta]]="","Sin respuesta","Respondido")</f>
        <v>Respondido</v>
      </c>
      <c r="K131" s="13"/>
    </row>
    <row r="132" customFormat="false" ht="34.3" hidden="false" customHeight="false" outlineLevel="0" collapsed="false">
      <c r="A132" s="10" t="n">
        <v>352</v>
      </c>
      <c r="B132" s="10" t="n">
        <v>100</v>
      </c>
      <c r="C132" s="10" t="s">
        <v>2</v>
      </c>
      <c r="D132" s="10"/>
      <c r="E132" s="10" t="s">
        <v>9</v>
      </c>
      <c r="F132" s="11" t="s">
        <v>274</v>
      </c>
      <c r="G132" s="11"/>
      <c r="H132" s="12" t="s">
        <v>271</v>
      </c>
      <c r="I132" s="13"/>
      <c r="J132" s="14" t="str">
        <f aca="false">IF(Tabla1[[#This Row],[Respuesta]]="","Sin respuesta","Respondido")</f>
        <v>Respondido</v>
      </c>
      <c r="K132" s="13"/>
    </row>
    <row r="133" customFormat="false" ht="57" hidden="false" customHeight="true" outlineLevel="0" collapsed="false">
      <c r="A133" s="10" t="n">
        <v>351</v>
      </c>
      <c r="B133" s="10" t="n">
        <v>99</v>
      </c>
      <c r="C133" s="10" t="s">
        <v>2</v>
      </c>
      <c r="D133" s="10"/>
      <c r="E133" s="10" t="s">
        <v>12</v>
      </c>
      <c r="F133" s="11" t="s">
        <v>275</v>
      </c>
      <c r="G133" s="11"/>
      <c r="H133" s="12" t="s">
        <v>276</v>
      </c>
      <c r="I133" s="13"/>
      <c r="J133" s="14" t="str">
        <f aca="false">IF(Tabla1[[#This Row],[Respuesta]]="","Sin respuesta","Respondido")</f>
        <v>Respondido</v>
      </c>
      <c r="K133" s="13"/>
    </row>
    <row r="134" customFormat="false" ht="160.5" hidden="false" customHeight="true" outlineLevel="0" collapsed="false">
      <c r="A134" s="10" t="n">
        <v>350</v>
      </c>
      <c r="B134" s="10" t="n">
        <v>98</v>
      </c>
      <c r="C134" s="10" t="s">
        <v>2</v>
      </c>
      <c r="D134" s="10"/>
      <c r="E134" s="10" t="s">
        <v>7</v>
      </c>
      <c r="F134" s="11" t="s">
        <v>277</v>
      </c>
      <c r="G134" s="11"/>
      <c r="H134" s="12" t="s">
        <v>278</v>
      </c>
      <c r="I134" s="13"/>
      <c r="J134" s="14" t="str">
        <f aca="false">IF(Tabla1[[#This Row],[Respuesta]]="","Sin respuesta","Respondido")</f>
        <v>Respondido</v>
      </c>
      <c r="K134" s="13"/>
    </row>
    <row r="135" customFormat="false" ht="68.25" hidden="false" customHeight="true" outlineLevel="0" collapsed="false">
      <c r="A135" s="10" t="n">
        <v>349</v>
      </c>
      <c r="B135" s="10" t="n">
        <v>97</v>
      </c>
      <c r="C135" s="10" t="s">
        <v>2</v>
      </c>
      <c r="D135" s="10"/>
      <c r="E135" s="10" t="s">
        <v>7</v>
      </c>
      <c r="F135" s="11" t="s">
        <v>279</v>
      </c>
      <c r="G135" s="11"/>
      <c r="H135" s="12" t="s">
        <v>280</v>
      </c>
      <c r="I135" s="13"/>
      <c r="J135" s="14" t="str">
        <f aca="false">IF(Tabla1[[#This Row],[Respuesta]]="","Sin respuesta","Respondido")</f>
        <v>Respondido</v>
      </c>
      <c r="K135" s="13"/>
    </row>
    <row r="136" customFormat="false" ht="114" hidden="false" customHeight="true" outlineLevel="0" collapsed="false">
      <c r="A136" s="10" t="n">
        <v>348</v>
      </c>
      <c r="B136" s="10" t="n">
        <v>96</v>
      </c>
      <c r="C136" s="10" t="s">
        <v>2</v>
      </c>
      <c r="D136" s="10"/>
      <c r="E136" s="10" t="s">
        <v>7</v>
      </c>
      <c r="F136" s="11" t="s">
        <v>281</v>
      </c>
      <c r="G136" s="11"/>
      <c r="H136" s="12" t="s">
        <v>282</v>
      </c>
      <c r="I136" s="13"/>
      <c r="J136" s="14" t="str">
        <f aca="false">IF(Tabla1[[#This Row],[Respuesta]]="","Sin respuesta","Respondido")</f>
        <v>Respondido</v>
      </c>
      <c r="K136" s="13"/>
    </row>
    <row r="137" customFormat="false" ht="57" hidden="false" customHeight="true" outlineLevel="0" collapsed="false">
      <c r="A137" s="10" t="n">
        <v>347</v>
      </c>
      <c r="B137" s="10" t="n">
        <v>95</v>
      </c>
      <c r="C137" s="10" t="s">
        <v>2</v>
      </c>
      <c r="D137" s="10"/>
      <c r="E137" s="10" t="s">
        <v>7</v>
      </c>
      <c r="F137" s="11" t="s">
        <v>283</v>
      </c>
      <c r="G137" s="11"/>
      <c r="H137" s="12" t="s">
        <v>280</v>
      </c>
      <c r="I137" s="13"/>
      <c r="J137" s="14" t="str">
        <f aca="false">IF(Tabla1[[#This Row],[Respuesta]]="","Sin respuesta","Respondido")</f>
        <v>Respondido</v>
      </c>
      <c r="K137" s="13"/>
    </row>
    <row r="138" customFormat="false" ht="57" hidden="false" customHeight="true" outlineLevel="0" collapsed="false">
      <c r="A138" s="10" t="n">
        <v>346</v>
      </c>
      <c r="B138" s="10" t="n">
        <v>94</v>
      </c>
      <c r="C138" s="10" t="s">
        <v>2</v>
      </c>
      <c r="D138" s="10"/>
      <c r="E138" s="10" t="s">
        <v>13</v>
      </c>
      <c r="F138" s="11" t="s">
        <v>284</v>
      </c>
      <c r="G138" s="11"/>
      <c r="H138" s="12" t="s">
        <v>182</v>
      </c>
      <c r="I138" s="13"/>
      <c r="J138" s="14" t="str">
        <f aca="false">IF(Tabla1[[#This Row],[Respuesta]]="","Sin respuesta","Respondido")</f>
        <v>Respondido</v>
      </c>
      <c r="K138" s="13"/>
    </row>
    <row r="139" customFormat="false" ht="57" hidden="false" customHeight="true" outlineLevel="0" collapsed="false">
      <c r="A139" s="10" t="n">
        <v>345</v>
      </c>
      <c r="B139" s="10" t="n">
        <v>93</v>
      </c>
      <c r="C139" s="10" t="s">
        <v>2</v>
      </c>
      <c r="D139" s="10"/>
      <c r="E139" s="10" t="s">
        <v>8</v>
      </c>
      <c r="F139" s="11" t="s">
        <v>285</v>
      </c>
      <c r="G139" s="11"/>
      <c r="H139" s="12" t="s">
        <v>286</v>
      </c>
      <c r="I139" s="13"/>
      <c r="J139" s="14" t="str">
        <f aca="false">IF(Tabla1[[#This Row],[Respuesta]]="","Sin respuesta","Respondido")</f>
        <v>Respondido</v>
      </c>
      <c r="K139" s="13"/>
    </row>
    <row r="140" customFormat="false" ht="57" hidden="false" customHeight="true" outlineLevel="0" collapsed="false">
      <c r="A140" s="10" t="n">
        <v>344</v>
      </c>
      <c r="B140" s="10" t="n">
        <v>92</v>
      </c>
      <c r="C140" s="10" t="s">
        <v>2</v>
      </c>
      <c r="D140" s="10"/>
      <c r="E140" s="10" t="s">
        <v>11</v>
      </c>
      <c r="F140" s="11" t="s">
        <v>287</v>
      </c>
      <c r="G140" s="11"/>
      <c r="H140" s="12" t="s">
        <v>288</v>
      </c>
      <c r="I140" s="13"/>
      <c r="J140" s="14" t="str">
        <f aca="false">IF(Tabla1[[#This Row],[Respuesta]]="","Sin respuesta","Respondido")</f>
        <v>Respondido</v>
      </c>
      <c r="K140" s="13"/>
    </row>
    <row r="141" customFormat="false" ht="57" hidden="false" customHeight="true" outlineLevel="0" collapsed="false">
      <c r="A141" s="10" t="n">
        <v>343</v>
      </c>
      <c r="B141" s="10" t="n">
        <v>91</v>
      </c>
      <c r="C141" s="10" t="s">
        <v>2</v>
      </c>
      <c r="D141" s="10"/>
      <c r="E141" s="10" t="s">
        <v>9</v>
      </c>
      <c r="F141" s="11" t="s">
        <v>289</v>
      </c>
      <c r="G141" s="11"/>
      <c r="H141" s="12" t="s">
        <v>290</v>
      </c>
      <c r="I141" s="13"/>
      <c r="J141" s="14" t="str">
        <f aca="false">IF(Tabla1[[#This Row],[Respuesta]]="","Sin respuesta","Respondido")</f>
        <v>Respondido</v>
      </c>
      <c r="K141" s="13"/>
    </row>
    <row r="142" customFormat="false" ht="76.5" hidden="false" customHeight="true" outlineLevel="0" collapsed="false">
      <c r="A142" s="10" t="n">
        <v>342</v>
      </c>
      <c r="B142" s="10" t="n">
        <v>90</v>
      </c>
      <c r="C142" s="10" t="s">
        <v>2</v>
      </c>
      <c r="D142" s="10"/>
      <c r="E142" s="10" t="s">
        <v>10</v>
      </c>
      <c r="F142" s="11" t="s">
        <v>291</v>
      </c>
      <c r="G142" s="11"/>
      <c r="H142" s="12" t="s">
        <v>292</v>
      </c>
      <c r="I142" s="13"/>
      <c r="J142" s="14" t="str">
        <f aca="false">IF(Tabla1[[#This Row],[Respuesta]]="","Sin respuesta","Respondido")</f>
        <v>Respondido</v>
      </c>
      <c r="K142" s="13"/>
    </row>
    <row r="143" customFormat="false" ht="57" hidden="false" customHeight="true" outlineLevel="0" collapsed="false">
      <c r="A143" s="10" t="n">
        <v>341</v>
      </c>
      <c r="B143" s="10" t="n">
        <v>89</v>
      </c>
      <c r="C143" s="10" t="s">
        <v>2</v>
      </c>
      <c r="D143" s="10"/>
      <c r="E143" s="10" t="s">
        <v>12</v>
      </c>
      <c r="F143" s="11" t="s">
        <v>293</v>
      </c>
      <c r="G143" s="11"/>
      <c r="H143" s="12" t="s">
        <v>294</v>
      </c>
      <c r="I143" s="13"/>
      <c r="J143" s="14" t="str">
        <f aca="false">IF(Tabla1[[#This Row],[Respuesta]]="","Sin respuesta","Respondido")</f>
        <v>Respondido</v>
      </c>
      <c r="K143" s="13"/>
    </row>
    <row r="144" customFormat="false" ht="66" hidden="false" customHeight="true" outlineLevel="0" collapsed="false">
      <c r="A144" s="10" t="n">
        <v>340</v>
      </c>
      <c r="B144" s="10" t="n">
        <v>88</v>
      </c>
      <c r="C144" s="10" t="s">
        <v>2</v>
      </c>
      <c r="D144" s="10"/>
      <c r="E144" s="10" t="s">
        <v>12</v>
      </c>
      <c r="F144" s="11" t="s">
        <v>295</v>
      </c>
      <c r="G144" s="11"/>
      <c r="H144" s="12" t="s">
        <v>296</v>
      </c>
      <c r="I144" s="13"/>
      <c r="J144" s="14" t="str">
        <f aca="false">IF(Tabla1[[#This Row],[Respuesta]]="","Sin respuesta","Respondido")</f>
        <v>Respondido</v>
      </c>
      <c r="K144" s="13"/>
    </row>
    <row r="145" customFormat="false" ht="57" hidden="false" customHeight="true" outlineLevel="0" collapsed="false">
      <c r="A145" s="10" t="n">
        <v>339</v>
      </c>
      <c r="B145" s="10" t="n">
        <v>87</v>
      </c>
      <c r="C145" s="10" t="s">
        <v>2</v>
      </c>
      <c r="D145" s="10"/>
      <c r="E145" s="10" t="s">
        <v>7</v>
      </c>
      <c r="F145" s="11" t="s">
        <v>297</v>
      </c>
      <c r="G145" s="11"/>
      <c r="H145" s="12" t="s">
        <v>298</v>
      </c>
      <c r="I145" s="13"/>
      <c r="J145" s="14" t="str">
        <f aca="false">IF(Tabla1[[#This Row],[Respuesta]]="","Sin respuesta","Respondido")</f>
        <v>Respondido</v>
      </c>
      <c r="K145" s="13"/>
    </row>
    <row r="146" customFormat="false" ht="34.3" hidden="false" customHeight="false" outlineLevel="0" collapsed="false">
      <c r="A146" s="10" t="n">
        <v>338</v>
      </c>
      <c r="B146" s="10" t="n">
        <v>86</v>
      </c>
      <c r="C146" s="10" t="s">
        <v>2</v>
      </c>
      <c r="D146" s="10"/>
      <c r="E146" s="10" t="s">
        <v>7</v>
      </c>
      <c r="F146" s="11" t="s">
        <v>299</v>
      </c>
      <c r="G146" s="11"/>
      <c r="H146" s="12" t="s">
        <v>300</v>
      </c>
      <c r="I146" s="13"/>
      <c r="J146" s="14" t="str">
        <f aca="false">IF(Tabla1[[#This Row],[Respuesta]]="","Sin respuesta","Respondido")</f>
        <v>Respondido</v>
      </c>
      <c r="K146" s="13"/>
    </row>
    <row r="147" customFormat="false" ht="57" hidden="false" customHeight="true" outlineLevel="0" collapsed="false">
      <c r="A147" s="10" t="n">
        <v>337</v>
      </c>
      <c r="B147" s="10" t="n">
        <v>85</v>
      </c>
      <c r="C147" s="10" t="s">
        <v>2</v>
      </c>
      <c r="D147" s="10"/>
      <c r="E147" s="10" t="s">
        <v>12</v>
      </c>
      <c r="F147" s="11" t="s">
        <v>301</v>
      </c>
      <c r="G147" s="11"/>
      <c r="H147" s="12" t="s">
        <v>302</v>
      </c>
      <c r="I147" s="13"/>
      <c r="J147" s="14" t="str">
        <f aca="false">IF(Tabla1[[#This Row],[Respuesta]]="","Sin respuesta","Respondido")</f>
        <v>Respondido</v>
      </c>
      <c r="K147" s="13"/>
    </row>
    <row r="148" customFormat="false" ht="57" hidden="false" customHeight="true" outlineLevel="0" collapsed="false">
      <c r="A148" s="10" t="n">
        <v>336</v>
      </c>
      <c r="B148" s="10" t="n">
        <v>84</v>
      </c>
      <c r="C148" s="10" t="s">
        <v>2</v>
      </c>
      <c r="D148" s="10"/>
      <c r="E148" s="10" t="s">
        <v>7</v>
      </c>
      <c r="F148" s="11" t="s">
        <v>303</v>
      </c>
      <c r="G148" s="15" t="s">
        <v>304</v>
      </c>
      <c r="H148" s="12" t="s">
        <v>305</v>
      </c>
      <c r="I148" s="13"/>
      <c r="J148" s="14" t="str">
        <f aca="false">IF(Tabla1[[#This Row],[Respuesta]]="","Sin respuesta","Respondido")</f>
        <v>Respondido</v>
      </c>
      <c r="K148" s="13"/>
    </row>
    <row r="149" customFormat="false" ht="57" hidden="false" customHeight="true" outlineLevel="0" collapsed="false">
      <c r="A149" s="10" t="n">
        <v>335</v>
      </c>
      <c r="B149" s="10" t="n">
        <v>83</v>
      </c>
      <c r="C149" s="10" t="s">
        <v>2</v>
      </c>
      <c r="D149" s="10"/>
      <c r="E149" s="10" t="s">
        <v>12</v>
      </c>
      <c r="F149" s="11" t="s">
        <v>306</v>
      </c>
      <c r="G149" s="11"/>
      <c r="H149" s="12" t="s">
        <v>307</v>
      </c>
      <c r="I149" s="13"/>
      <c r="J149" s="14" t="str">
        <f aca="false">IF(Tabla1[[#This Row],[Respuesta]]="","Sin respuesta","Respondido")</f>
        <v>Respondido</v>
      </c>
      <c r="K149" s="13"/>
    </row>
    <row r="150" customFormat="false" ht="90" hidden="false" customHeight="true" outlineLevel="0" collapsed="false">
      <c r="A150" s="10" t="n">
        <v>334</v>
      </c>
      <c r="B150" s="10" t="n">
        <v>82</v>
      </c>
      <c r="C150" s="10" t="s">
        <v>2</v>
      </c>
      <c r="D150" s="10"/>
      <c r="E150" s="10" t="s">
        <v>12</v>
      </c>
      <c r="F150" s="11" t="s">
        <v>308</v>
      </c>
      <c r="G150" s="11"/>
      <c r="H150" s="12" t="s">
        <v>309</v>
      </c>
      <c r="I150" s="13"/>
      <c r="J150" s="14" t="str">
        <f aca="false">IF(Tabla1[[#This Row],[Respuesta]]="","Sin respuesta","Respondido")</f>
        <v>Respondido</v>
      </c>
      <c r="K150" s="13"/>
    </row>
    <row r="151" customFormat="false" ht="57" hidden="false" customHeight="true" outlineLevel="0" collapsed="false">
      <c r="A151" s="10" t="n">
        <v>333</v>
      </c>
      <c r="B151" s="10" t="n">
        <v>81</v>
      </c>
      <c r="C151" s="10" t="s">
        <v>2</v>
      </c>
      <c r="D151" s="10"/>
      <c r="E151" s="10" t="s">
        <v>12</v>
      </c>
      <c r="F151" s="11" t="s">
        <v>310</v>
      </c>
      <c r="G151" s="11"/>
      <c r="H151" s="12" t="s">
        <v>269</v>
      </c>
      <c r="I151" s="13"/>
      <c r="J151" s="14" t="str">
        <f aca="false">IF(Tabla1[[#This Row],[Respuesta]]="","Sin respuesta","Respondido")</f>
        <v>Respondido</v>
      </c>
      <c r="K151" s="13"/>
    </row>
    <row r="152" customFormat="false" ht="57" hidden="false" customHeight="true" outlineLevel="0" collapsed="false">
      <c r="A152" s="10" t="n">
        <v>332</v>
      </c>
      <c r="B152" s="10" t="n">
        <v>80</v>
      </c>
      <c r="C152" s="10" t="s">
        <v>2</v>
      </c>
      <c r="D152" s="10"/>
      <c r="E152" s="10" t="s">
        <v>12</v>
      </c>
      <c r="F152" s="11" t="s">
        <v>311</v>
      </c>
      <c r="G152" s="11"/>
      <c r="H152" s="12" t="s">
        <v>269</v>
      </c>
      <c r="I152" s="13"/>
      <c r="J152" s="14" t="str">
        <f aca="false">IF(Tabla1[[#This Row],[Respuesta]]="","Sin respuesta","Respondido")</f>
        <v>Respondido</v>
      </c>
      <c r="K152" s="13"/>
    </row>
    <row r="153" customFormat="false" ht="57" hidden="false" customHeight="true" outlineLevel="0" collapsed="false">
      <c r="A153" s="10" t="n">
        <v>331</v>
      </c>
      <c r="B153" s="10" t="n">
        <v>79</v>
      </c>
      <c r="C153" s="10" t="s">
        <v>2</v>
      </c>
      <c r="D153" s="10"/>
      <c r="E153" s="10" t="s">
        <v>12</v>
      </c>
      <c r="F153" s="11" t="s">
        <v>312</v>
      </c>
      <c r="G153" s="11"/>
      <c r="H153" s="12" t="s">
        <v>313</v>
      </c>
      <c r="I153" s="13"/>
      <c r="J153" s="14" t="str">
        <f aca="false">IF(Tabla1[[#This Row],[Respuesta]]="","Sin respuesta","Respondido")</f>
        <v>Respondido</v>
      </c>
      <c r="K153" s="13"/>
    </row>
    <row r="154" customFormat="false" ht="69.75" hidden="false" customHeight="true" outlineLevel="0" collapsed="false">
      <c r="A154" s="10" t="n">
        <v>330</v>
      </c>
      <c r="B154" s="10" t="n">
        <v>78</v>
      </c>
      <c r="C154" s="10" t="s">
        <v>2</v>
      </c>
      <c r="D154" s="10"/>
      <c r="E154" s="10" t="s">
        <v>12</v>
      </c>
      <c r="F154" s="11" t="s">
        <v>314</v>
      </c>
      <c r="G154" s="11"/>
      <c r="H154" s="12" t="s">
        <v>315</v>
      </c>
      <c r="I154" s="13"/>
      <c r="J154" s="14" t="str">
        <f aca="false">IF(Tabla1[[#This Row],[Respuesta]]="","Sin respuesta","Respondido")</f>
        <v>Respondido</v>
      </c>
      <c r="K154" s="13"/>
    </row>
    <row r="155" customFormat="false" ht="70.5" hidden="false" customHeight="true" outlineLevel="0" collapsed="false">
      <c r="A155" s="10" t="n">
        <v>329</v>
      </c>
      <c r="B155" s="10" t="n">
        <v>77</v>
      </c>
      <c r="C155" s="10" t="s">
        <v>2</v>
      </c>
      <c r="D155" s="10"/>
      <c r="E155" s="10" t="s">
        <v>12</v>
      </c>
      <c r="F155" s="11" t="s">
        <v>316</v>
      </c>
      <c r="G155" s="11"/>
      <c r="H155" s="12" t="s">
        <v>317</v>
      </c>
      <c r="I155" s="13"/>
      <c r="J155" s="14" t="str">
        <f aca="false">IF(Tabla1[[#This Row],[Respuesta]]="","Sin respuesta","Respondido")</f>
        <v>Respondido</v>
      </c>
      <c r="K155" s="13"/>
    </row>
    <row r="156" customFormat="false" ht="57" hidden="false" customHeight="true" outlineLevel="0" collapsed="false">
      <c r="A156" s="10" t="n">
        <v>328</v>
      </c>
      <c r="B156" s="10" t="n">
        <v>76</v>
      </c>
      <c r="C156" s="10" t="s">
        <v>2</v>
      </c>
      <c r="D156" s="10"/>
      <c r="E156" s="10" t="s">
        <v>12</v>
      </c>
      <c r="F156" s="11" t="s">
        <v>318</v>
      </c>
      <c r="G156" s="11"/>
      <c r="H156" s="12" t="s">
        <v>319</v>
      </c>
      <c r="I156" s="13"/>
      <c r="J156" s="14" t="str">
        <f aca="false">IF(Tabla1[[#This Row],[Respuesta]]="","Sin respuesta","Respondido")</f>
        <v>Respondido</v>
      </c>
      <c r="K156" s="13"/>
    </row>
    <row r="157" customFormat="false" ht="57" hidden="false" customHeight="true" outlineLevel="0" collapsed="false">
      <c r="A157" s="10" t="n">
        <v>327</v>
      </c>
      <c r="B157" s="10" t="n">
        <v>75</v>
      </c>
      <c r="C157" s="10" t="s">
        <v>2</v>
      </c>
      <c r="D157" s="10"/>
      <c r="E157" s="10" t="s">
        <v>12</v>
      </c>
      <c r="F157" s="11" t="s">
        <v>320</v>
      </c>
      <c r="G157" s="11"/>
      <c r="H157" s="12" t="s">
        <v>321</v>
      </c>
      <c r="I157" s="13"/>
      <c r="J157" s="14" t="str">
        <f aca="false">IF(Tabla1[[#This Row],[Respuesta]]="","Sin respuesta","Respondido")</f>
        <v>Respondido</v>
      </c>
      <c r="K157" s="13"/>
    </row>
    <row r="158" customFormat="false" ht="57" hidden="false" customHeight="true" outlineLevel="0" collapsed="false">
      <c r="A158" s="10" t="n">
        <v>326</v>
      </c>
      <c r="B158" s="10" t="n">
        <v>74</v>
      </c>
      <c r="C158" s="10" t="s">
        <v>2</v>
      </c>
      <c r="D158" s="10"/>
      <c r="E158" s="10" t="s">
        <v>12</v>
      </c>
      <c r="F158" s="11" t="s">
        <v>322</v>
      </c>
      <c r="G158" s="11"/>
      <c r="H158" s="12" t="s">
        <v>323</v>
      </c>
      <c r="I158" s="13"/>
      <c r="J158" s="14" t="str">
        <f aca="false">IF(Tabla1[[#This Row],[Respuesta]]="","Sin respuesta","Respondido")</f>
        <v>Respondido</v>
      </c>
      <c r="K158" s="13"/>
    </row>
    <row r="159" customFormat="false" ht="57" hidden="false" customHeight="true" outlineLevel="0" collapsed="false">
      <c r="A159" s="10" t="n">
        <v>325</v>
      </c>
      <c r="B159" s="10" t="n">
        <v>73</v>
      </c>
      <c r="C159" s="10" t="s">
        <v>2</v>
      </c>
      <c r="D159" s="10"/>
      <c r="E159" s="10" t="s">
        <v>7</v>
      </c>
      <c r="F159" s="11" t="s">
        <v>324</v>
      </c>
      <c r="G159" s="11"/>
      <c r="H159" s="12" t="s">
        <v>325</v>
      </c>
      <c r="I159" s="13"/>
      <c r="J159" s="14" t="str">
        <f aca="false">IF(Tabla1[[#This Row],[Respuesta]]="","Sin respuesta","Respondido")</f>
        <v>Respondido</v>
      </c>
      <c r="K159" s="13"/>
    </row>
    <row r="160" customFormat="false" ht="57" hidden="false" customHeight="true" outlineLevel="0" collapsed="false">
      <c r="A160" s="10" t="n">
        <v>324</v>
      </c>
      <c r="B160" s="10" t="n">
        <v>72</v>
      </c>
      <c r="C160" s="10" t="s">
        <v>2</v>
      </c>
      <c r="D160" s="10"/>
      <c r="E160" s="10" t="s">
        <v>7</v>
      </c>
      <c r="F160" s="11" t="s">
        <v>326</v>
      </c>
      <c r="G160" s="11"/>
      <c r="H160" s="12" t="s">
        <v>327</v>
      </c>
      <c r="I160" s="13"/>
      <c r="J160" s="14" t="str">
        <f aca="false">IF(Tabla1[[#This Row],[Respuesta]]="","Sin respuesta","Respondido")</f>
        <v>Respondido</v>
      </c>
      <c r="K160" s="13"/>
    </row>
    <row r="161" customFormat="false" ht="57" hidden="false" customHeight="true" outlineLevel="0" collapsed="false">
      <c r="A161" s="10" t="n">
        <v>323</v>
      </c>
      <c r="B161" s="10" t="n">
        <v>71</v>
      </c>
      <c r="C161" s="10" t="s">
        <v>2</v>
      </c>
      <c r="D161" s="10"/>
      <c r="E161" s="10" t="s">
        <v>7</v>
      </c>
      <c r="F161" s="11" t="s">
        <v>328</v>
      </c>
      <c r="G161" s="11"/>
      <c r="H161" s="12" t="s">
        <v>329</v>
      </c>
      <c r="I161" s="13"/>
      <c r="J161" s="14" t="str">
        <f aca="false">IF(Tabla1[[#This Row],[Respuesta]]="","Sin respuesta","Respondido")</f>
        <v>Respondido</v>
      </c>
      <c r="K161" s="13"/>
    </row>
    <row r="162" customFormat="false" ht="57" hidden="false" customHeight="true" outlineLevel="0" collapsed="false">
      <c r="A162" s="10" t="n">
        <v>322</v>
      </c>
      <c r="B162" s="10" t="n">
        <v>70</v>
      </c>
      <c r="C162" s="10" t="s">
        <v>2</v>
      </c>
      <c r="D162" s="10"/>
      <c r="E162" s="10" t="s">
        <v>13</v>
      </c>
      <c r="F162" s="11" t="s">
        <v>330</v>
      </c>
      <c r="G162" s="11"/>
      <c r="H162" s="12" t="s">
        <v>331</v>
      </c>
      <c r="I162" s="13"/>
      <c r="J162" s="14" t="str">
        <f aca="false">IF(Tabla1[[#This Row],[Respuesta]]="","Sin respuesta","Respondido")</f>
        <v>Respondido</v>
      </c>
      <c r="K162" s="13"/>
    </row>
    <row r="163" customFormat="false" ht="57" hidden="false" customHeight="true" outlineLevel="0" collapsed="false">
      <c r="A163" s="10" t="n">
        <v>321</v>
      </c>
      <c r="B163" s="10" t="n">
        <v>69</v>
      </c>
      <c r="C163" s="10" t="s">
        <v>2</v>
      </c>
      <c r="D163" s="10"/>
      <c r="E163" s="10" t="s">
        <v>13</v>
      </c>
      <c r="F163" s="11" t="s">
        <v>332</v>
      </c>
      <c r="G163" s="11"/>
      <c r="H163" s="12" t="s">
        <v>333</v>
      </c>
      <c r="I163" s="13"/>
      <c r="J163" s="14" t="str">
        <f aca="false">IF(Tabla1[[#This Row],[Respuesta]]="","Sin respuesta","Respondido")</f>
        <v>Respondido</v>
      </c>
      <c r="K163" s="13"/>
    </row>
    <row r="164" customFormat="false" ht="57" hidden="false" customHeight="true" outlineLevel="0" collapsed="false">
      <c r="A164" s="10" t="n">
        <v>320</v>
      </c>
      <c r="B164" s="10" t="n">
        <v>68</v>
      </c>
      <c r="C164" s="10" t="s">
        <v>2</v>
      </c>
      <c r="D164" s="10"/>
      <c r="E164" s="10" t="s">
        <v>13</v>
      </c>
      <c r="F164" s="11" t="s">
        <v>334</v>
      </c>
      <c r="G164" s="11"/>
      <c r="H164" s="12" t="s">
        <v>276</v>
      </c>
      <c r="I164" s="13"/>
      <c r="J164" s="14" t="str">
        <f aca="false">IF(Tabla1[[#This Row],[Respuesta]]="","Sin respuesta","Respondido")</f>
        <v>Respondido</v>
      </c>
      <c r="K164" s="13"/>
    </row>
    <row r="165" customFormat="false" ht="57" hidden="false" customHeight="true" outlineLevel="0" collapsed="false">
      <c r="A165" s="10" t="n">
        <v>319</v>
      </c>
      <c r="B165" s="10" t="n">
        <v>67</v>
      </c>
      <c r="C165" s="10" t="s">
        <v>2</v>
      </c>
      <c r="D165" s="10"/>
      <c r="E165" s="10" t="s">
        <v>7</v>
      </c>
      <c r="F165" s="11" t="s">
        <v>335</v>
      </c>
      <c r="G165" s="11"/>
      <c r="H165" s="12" t="s">
        <v>336</v>
      </c>
      <c r="I165" s="13"/>
      <c r="J165" s="14" t="str">
        <f aca="false">IF(Tabla1[[#This Row],[Respuesta]]="","Sin respuesta","Respondido")</f>
        <v>Respondido</v>
      </c>
      <c r="K165" s="13"/>
    </row>
    <row r="166" customFormat="false" ht="57" hidden="false" customHeight="true" outlineLevel="0" collapsed="false">
      <c r="A166" s="10" t="n">
        <v>318</v>
      </c>
      <c r="B166" s="10" t="n">
        <v>66</v>
      </c>
      <c r="C166" s="10" t="s">
        <v>2</v>
      </c>
      <c r="D166" s="10"/>
      <c r="E166" s="10" t="s">
        <v>7</v>
      </c>
      <c r="F166" s="11" t="s">
        <v>337</v>
      </c>
      <c r="G166" s="11"/>
      <c r="H166" s="12" t="s">
        <v>255</v>
      </c>
      <c r="I166" s="13"/>
      <c r="J166" s="14" t="str">
        <f aca="false">IF(Tabla1[[#This Row],[Respuesta]]="","Sin respuesta","Respondido")</f>
        <v>Respondido</v>
      </c>
      <c r="K166" s="13"/>
    </row>
    <row r="167" customFormat="false" ht="57" hidden="false" customHeight="true" outlineLevel="0" collapsed="false">
      <c r="A167" s="10" t="n">
        <v>317</v>
      </c>
      <c r="B167" s="10" t="n">
        <v>65</v>
      </c>
      <c r="C167" s="10" t="s">
        <v>2</v>
      </c>
      <c r="D167" s="10"/>
      <c r="E167" s="10" t="s">
        <v>7</v>
      </c>
      <c r="F167" s="11" t="s">
        <v>338</v>
      </c>
      <c r="G167" s="11"/>
      <c r="H167" s="12" t="s">
        <v>339</v>
      </c>
      <c r="I167" s="13"/>
      <c r="J167" s="14" t="str">
        <f aca="false">IF(Tabla1[[#This Row],[Respuesta]]="","Sin respuesta","Respondido")</f>
        <v>Respondido</v>
      </c>
      <c r="K167" s="13"/>
    </row>
    <row r="168" customFormat="false" ht="68.25" hidden="false" customHeight="true" outlineLevel="0" collapsed="false">
      <c r="A168" s="10" t="n">
        <v>316</v>
      </c>
      <c r="B168" s="10" t="n">
        <v>64</v>
      </c>
      <c r="C168" s="10" t="s">
        <v>2</v>
      </c>
      <c r="D168" s="10"/>
      <c r="E168" s="10" t="s">
        <v>13</v>
      </c>
      <c r="F168" s="11" t="s">
        <v>340</v>
      </c>
      <c r="G168" s="11"/>
      <c r="H168" s="12" t="s">
        <v>341</v>
      </c>
      <c r="I168" s="13"/>
      <c r="J168" s="14" t="str">
        <f aca="false">IF(Tabla1[[#This Row],[Respuesta]]="","Sin respuesta","Respondido")</f>
        <v>Respondido</v>
      </c>
      <c r="K168" s="13"/>
    </row>
    <row r="169" customFormat="false" ht="57" hidden="false" customHeight="true" outlineLevel="0" collapsed="false">
      <c r="A169" s="10" t="n">
        <v>315</v>
      </c>
      <c r="B169" s="10" t="n">
        <v>63</v>
      </c>
      <c r="C169" s="10" t="s">
        <v>2</v>
      </c>
      <c r="D169" s="10"/>
      <c r="E169" s="10" t="s">
        <v>13</v>
      </c>
      <c r="F169" s="11" t="s">
        <v>342</v>
      </c>
      <c r="G169" s="11"/>
      <c r="H169" s="12" t="s">
        <v>343</v>
      </c>
      <c r="I169" s="13"/>
      <c r="J169" s="14" t="str">
        <f aca="false">IF(Tabla1[[#This Row],[Respuesta]]="","Sin respuesta","Respondido")</f>
        <v>Respondido</v>
      </c>
      <c r="K169" s="13"/>
    </row>
    <row r="170" customFormat="false" ht="57" hidden="false" customHeight="true" outlineLevel="0" collapsed="false">
      <c r="A170" s="10" t="n">
        <v>314</v>
      </c>
      <c r="B170" s="10" t="n">
        <v>62</v>
      </c>
      <c r="C170" s="10" t="s">
        <v>2</v>
      </c>
      <c r="D170" s="10"/>
      <c r="E170" s="10" t="s">
        <v>7</v>
      </c>
      <c r="F170" s="11" t="s">
        <v>344</v>
      </c>
      <c r="G170" s="11"/>
      <c r="H170" s="12" t="s">
        <v>345</v>
      </c>
      <c r="I170" s="13"/>
      <c r="J170" s="14" t="str">
        <f aca="false">IF(Tabla1[[#This Row],[Respuesta]]="","Sin respuesta","Respondido")</f>
        <v>Respondido</v>
      </c>
      <c r="K170" s="13"/>
    </row>
    <row r="171" customFormat="false" ht="57" hidden="false" customHeight="true" outlineLevel="0" collapsed="false">
      <c r="A171" s="10" t="n">
        <v>313</v>
      </c>
      <c r="B171" s="10" t="n">
        <v>61</v>
      </c>
      <c r="C171" s="10" t="s">
        <v>2</v>
      </c>
      <c r="D171" s="10"/>
      <c r="E171" s="10" t="s">
        <v>13</v>
      </c>
      <c r="F171" s="11" t="s">
        <v>346</v>
      </c>
      <c r="G171" s="11"/>
      <c r="H171" s="12" t="s">
        <v>343</v>
      </c>
      <c r="I171" s="13"/>
      <c r="J171" s="14" t="str">
        <f aca="false">IF(Tabla1[[#This Row],[Respuesta]]="","Sin respuesta","Respondido")</f>
        <v>Respondido</v>
      </c>
      <c r="K171" s="13"/>
    </row>
    <row r="172" customFormat="false" ht="57" hidden="false" customHeight="true" outlineLevel="0" collapsed="false">
      <c r="A172" s="10" t="n">
        <v>312</v>
      </c>
      <c r="B172" s="10" t="n">
        <v>60</v>
      </c>
      <c r="C172" s="10" t="s">
        <v>2</v>
      </c>
      <c r="D172" s="10"/>
      <c r="E172" s="10" t="s">
        <v>13</v>
      </c>
      <c r="F172" s="11" t="s">
        <v>347</v>
      </c>
      <c r="G172" s="11"/>
      <c r="H172" s="12" t="s">
        <v>345</v>
      </c>
      <c r="I172" s="13"/>
      <c r="J172" s="14" t="str">
        <f aca="false">IF(Tabla1[[#This Row],[Respuesta]]="","Sin respuesta","Respondido")</f>
        <v>Respondido</v>
      </c>
      <c r="K172" s="13"/>
    </row>
    <row r="173" customFormat="false" ht="57" hidden="false" customHeight="true" outlineLevel="0" collapsed="false">
      <c r="A173" s="10" t="n">
        <v>311</v>
      </c>
      <c r="B173" s="10" t="n">
        <v>59</v>
      </c>
      <c r="C173" s="10" t="s">
        <v>2</v>
      </c>
      <c r="D173" s="10"/>
      <c r="E173" s="10" t="s">
        <v>13</v>
      </c>
      <c r="F173" s="11" t="s">
        <v>348</v>
      </c>
      <c r="G173" s="11"/>
      <c r="H173" s="12" t="s">
        <v>345</v>
      </c>
      <c r="I173" s="13"/>
      <c r="J173" s="14" t="str">
        <f aca="false">IF(Tabla1[[#This Row],[Respuesta]]="","Sin respuesta","Respondido")</f>
        <v>Respondido</v>
      </c>
      <c r="K173" s="13"/>
    </row>
    <row r="174" customFormat="false" ht="57" hidden="false" customHeight="true" outlineLevel="0" collapsed="false">
      <c r="A174" s="10" t="n">
        <v>310</v>
      </c>
      <c r="B174" s="10" t="n">
        <v>58</v>
      </c>
      <c r="C174" s="10" t="s">
        <v>2</v>
      </c>
      <c r="D174" s="10"/>
      <c r="E174" s="10" t="s">
        <v>13</v>
      </c>
      <c r="F174" s="11" t="s">
        <v>349</v>
      </c>
      <c r="G174" s="11"/>
      <c r="H174" s="12" t="s">
        <v>107</v>
      </c>
      <c r="I174" s="13"/>
      <c r="J174" s="14" t="str">
        <f aca="false">IF(Tabla1[[#This Row],[Respuesta]]="","Sin respuesta","Respondido")</f>
        <v>Respondido</v>
      </c>
      <c r="K174" s="13"/>
    </row>
    <row r="175" customFormat="false" ht="57" hidden="false" customHeight="true" outlineLevel="0" collapsed="false">
      <c r="A175" s="10" t="n">
        <v>309</v>
      </c>
      <c r="B175" s="10" t="n">
        <v>57</v>
      </c>
      <c r="C175" s="10" t="s">
        <v>2</v>
      </c>
      <c r="D175" s="10"/>
      <c r="E175" s="10" t="s">
        <v>13</v>
      </c>
      <c r="F175" s="11" t="s">
        <v>350</v>
      </c>
      <c r="G175" s="11"/>
      <c r="H175" s="12" t="s">
        <v>351</v>
      </c>
      <c r="I175" s="13"/>
      <c r="J175" s="14" t="str">
        <f aca="false">IF(Tabla1[[#This Row],[Respuesta]]="","Sin respuesta","Respondido")</f>
        <v>Respondido</v>
      </c>
      <c r="K175" s="13"/>
    </row>
    <row r="176" customFormat="false" ht="57" hidden="false" customHeight="true" outlineLevel="0" collapsed="false">
      <c r="A176" s="10" t="n">
        <v>308</v>
      </c>
      <c r="B176" s="10" t="n">
        <v>56</v>
      </c>
      <c r="C176" s="10" t="s">
        <v>2</v>
      </c>
      <c r="D176" s="10"/>
      <c r="E176" s="10" t="s">
        <v>13</v>
      </c>
      <c r="F176" s="11" t="s">
        <v>352</v>
      </c>
      <c r="G176" s="11"/>
      <c r="H176" s="12" t="s">
        <v>353</v>
      </c>
      <c r="I176" s="13"/>
      <c r="J176" s="14" t="str">
        <f aca="false">IF(Tabla1[[#This Row],[Respuesta]]="","Sin respuesta","Respondido")</f>
        <v>Respondido</v>
      </c>
      <c r="K176" s="13"/>
    </row>
    <row r="177" customFormat="false" ht="57" hidden="false" customHeight="true" outlineLevel="0" collapsed="false">
      <c r="A177" s="10" t="n">
        <v>307</v>
      </c>
      <c r="B177" s="10" t="n">
        <v>55</v>
      </c>
      <c r="C177" s="10" t="s">
        <v>2</v>
      </c>
      <c r="D177" s="10"/>
      <c r="E177" s="10" t="s">
        <v>11</v>
      </c>
      <c r="F177" s="11" t="s">
        <v>354</v>
      </c>
      <c r="G177" s="11"/>
      <c r="H177" s="12" t="s">
        <v>355</v>
      </c>
      <c r="I177" s="13"/>
      <c r="J177" s="14" t="str">
        <f aca="false">IF(Tabla1[[#This Row],[Respuesta]]="","Sin respuesta","Respondido")</f>
        <v>Respondido</v>
      </c>
      <c r="K177" s="13"/>
    </row>
    <row r="178" customFormat="false" ht="57" hidden="false" customHeight="true" outlineLevel="0" collapsed="false">
      <c r="A178" s="10" t="n">
        <v>306</v>
      </c>
      <c r="B178" s="10" t="n">
        <v>54</v>
      </c>
      <c r="C178" s="10" t="s">
        <v>2</v>
      </c>
      <c r="D178" s="10"/>
      <c r="E178" s="10" t="s">
        <v>9</v>
      </c>
      <c r="F178" s="11" t="s">
        <v>356</v>
      </c>
      <c r="G178" s="11"/>
      <c r="H178" s="12" t="s">
        <v>357</v>
      </c>
      <c r="I178" s="13"/>
      <c r="J178" s="14" t="str">
        <f aca="false">IF(Tabla1[[#This Row],[Respuesta]]="","Sin respuesta","Respondido")</f>
        <v>Respondido</v>
      </c>
      <c r="K178" s="13"/>
    </row>
    <row r="179" customFormat="false" ht="57" hidden="false" customHeight="true" outlineLevel="0" collapsed="false">
      <c r="A179" s="10" t="n">
        <v>305</v>
      </c>
      <c r="B179" s="10" t="n">
        <v>53</v>
      </c>
      <c r="C179" s="10" t="s">
        <v>2</v>
      </c>
      <c r="D179" s="10"/>
      <c r="E179" s="10" t="s">
        <v>11</v>
      </c>
      <c r="F179" s="11" t="s">
        <v>358</v>
      </c>
      <c r="G179" s="11"/>
      <c r="H179" s="12" t="s">
        <v>222</v>
      </c>
      <c r="I179" s="13"/>
      <c r="J179" s="14" t="str">
        <f aca="false">IF(Tabla1[[#This Row],[Respuesta]]="","Sin respuesta","Respondido")</f>
        <v>Respondido</v>
      </c>
      <c r="K179" s="13"/>
    </row>
    <row r="180" customFormat="false" ht="57" hidden="false" customHeight="true" outlineLevel="0" collapsed="false">
      <c r="A180" s="10" t="n">
        <v>304</v>
      </c>
      <c r="B180" s="10" t="n">
        <v>52</v>
      </c>
      <c r="C180" s="10" t="s">
        <v>2</v>
      </c>
      <c r="D180" s="10"/>
      <c r="E180" s="10" t="s">
        <v>10</v>
      </c>
      <c r="F180" s="11" t="s">
        <v>359</v>
      </c>
      <c r="G180" s="11"/>
      <c r="H180" s="12" t="s">
        <v>360</v>
      </c>
      <c r="I180" s="13"/>
      <c r="J180" s="14" t="str">
        <f aca="false">IF(Tabla1[[#This Row],[Respuesta]]="","Sin respuesta","Respondido")</f>
        <v>Respondido</v>
      </c>
      <c r="K180" s="13"/>
    </row>
    <row r="181" customFormat="false" ht="57" hidden="false" customHeight="true" outlineLevel="0" collapsed="false">
      <c r="A181" s="10" t="n">
        <v>303</v>
      </c>
      <c r="B181" s="10" t="n">
        <v>51</v>
      </c>
      <c r="C181" s="10" t="s">
        <v>2</v>
      </c>
      <c r="D181" s="10"/>
      <c r="E181" s="10" t="s">
        <v>12</v>
      </c>
      <c r="F181" s="11" t="s">
        <v>361</v>
      </c>
      <c r="G181" s="11"/>
      <c r="H181" s="12" t="s">
        <v>362</v>
      </c>
      <c r="I181" s="13"/>
      <c r="J181" s="14" t="str">
        <f aca="false">IF(Tabla1[[#This Row],[Respuesta]]="","Sin respuesta","Respondido")</f>
        <v>Respondido</v>
      </c>
      <c r="K181" s="13"/>
    </row>
    <row r="182" customFormat="false" ht="57" hidden="false" customHeight="true" outlineLevel="0" collapsed="false">
      <c r="A182" s="10" t="n">
        <v>302</v>
      </c>
      <c r="B182" s="10" t="n">
        <v>50</v>
      </c>
      <c r="C182" s="10" t="s">
        <v>2</v>
      </c>
      <c r="D182" s="10"/>
      <c r="E182" s="10" t="s">
        <v>12</v>
      </c>
      <c r="F182" s="11" t="s">
        <v>363</v>
      </c>
      <c r="G182" s="11"/>
      <c r="H182" s="12" t="s">
        <v>364</v>
      </c>
      <c r="I182" s="13"/>
      <c r="J182" s="14" t="str">
        <f aca="false">IF(Tabla1[[#This Row],[Respuesta]]="","Sin respuesta","Respondido")</f>
        <v>Respondido</v>
      </c>
      <c r="K182" s="13"/>
    </row>
    <row r="183" customFormat="false" ht="57" hidden="false" customHeight="true" outlineLevel="0" collapsed="false">
      <c r="A183" s="10" t="n">
        <v>301</v>
      </c>
      <c r="B183" s="10" t="n">
        <v>49</v>
      </c>
      <c r="C183" s="10" t="s">
        <v>2</v>
      </c>
      <c r="D183" s="10"/>
      <c r="E183" s="10" t="s">
        <v>12</v>
      </c>
      <c r="F183" s="11" t="s">
        <v>365</v>
      </c>
      <c r="G183" s="11"/>
      <c r="H183" s="12" t="s">
        <v>366</v>
      </c>
      <c r="I183" s="13"/>
      <c r="J183" s="14" t="str">
        <f aca="false">IF(Tabla1[[#This Row],[Respuesta]]="","Sin respuesta","Respondido")</f>
        <v>Respondido</v>
      </c>
      <c r="K183" s="13"/>
    </row>
    <row r="184" customFormat="false" ht="57" hidden="false" customHeight="true" outlineLevel="0" collapsed="false">
      <c r="A184" s="10" t="n">
        <v>300</v>
      </c>
      <c r="B184" s="10" t="n">
        <v>48</v>
      </c>
      <c r="C184" s="10" t="s">
        <v>2</v>
      </c>
      <c r="D184" s="10"/>
      <c r="E184" s="10" t="s">
        <v>12</v>
      </c>
      <c r="F184" s="11" t="s">
        <v>367</v>
      </c>
      <c r="G184" s="11"/>
      <c r="H184" s="12" t="s">
        <v>368</v>
      </c>
      <c r="I184" s="13"/>
      <c r="J184" s="14" t="str">
        <f aca="false">IF(Tabla1[[#This Row],[Respuesta]]="","Sin respuesta","Respondido")</f>
        <v>Respondido</v>
      </c>
      <c r="K184" s="13"/>
    </row>
    <row r="185" customFormat="false" ht="57" hidden="false" customHeight="true" outlineLevel="0" collapsed="false">
      <c r="A185" s="10" t="n">
        <v>299</v>
      </c>
      <c r="B185" s="10" t="n">
        <v>47</v>
      </c>
      <c r="C185" s="10" t="s">
        <v>2</v>
      </c>
      <c r="D185" s="10"/>
      <c r="E185" s="10" t="s">
        <v>12</v>
      </c>
      <c r="F185" s="11" t="s">
        <v>369</v>
      </c>
      <c r="G185" s="11"/>
      <c r="H185" s="12" t="s">
        <v>158</v>
      </c>
      <c r="I185" s="13"/>
      <c r="J185" s="14" t="str">
        <f aca="false">IF(Tabla1[[#This Row],[Respuesta]]="","Sin respuesta","Respondido")</f>
        <v>Respondido</v>
      </c>
      <c r="K185" s="13"/>
    </row>
    <row r="186" customFormat="false" ht="57" hidden="false" customHeight="true" outlineLevel="0" collapsed="false">
      <c r="A186" s="10" t="n">
        <v>298</v>
      </c>
      <c r="B186" s="10" t="n">
        <v>46</v>
      </c>
      <c r="C186" s="10" t="s">
        <v>2</v>
      </c>
      <c r="D186" s="10"/>
      <c r="E186" s="10" t="s">
        <v>12</v>
      </c>
      <c r="F186" s="11" t="s">
        <v>370</v>
      </c>
      <c r="G186" s="11"/>
      <c r="H186" s="12" t="s">
        <v>371</v>
      </c>
      <c r="I186" s="13"/>
      <c r="J186" s="14" t="str">
        <f aca="false">IF(Tabla1[[#This Row],[Respuesta]]="","Sin respuesta","Respondido")</f>
        <v>Respondido</v>
      </c>
      <c r="K186" s="13"/>
    </row>
    <row r="187" customFormat="false" ht="57" hidden="false" customHeight="true" outlineLevel="0" collapsed="false">
      <c r="A187" s="10" t="n">
        <v>297</v>
      </c>
      <c r="B187" s="10" t="n">
        <v>45</v>
      </c>
      <c r="C187" s="10" t="s">
        <v>2</v>
      </c>
      <c r="D187" s="10"/>
      <c r="E187" s="10" t="s">
        <v>12</v>
      </c>
      <c r="F187" s="11" t="s">
        <v>372</v>
      </c>
      <c r="G187" s="11"/>
      <c r="H187" s="12" t="s">
        <v>371</v>
      </c>
      <c r="I187" s="13"/>
      <c r="J187" s="14" t="str">
        <f aca="false">IF(Tabla1[[#This Row],[Respuesta]]="","Sin respuesta","Respondido")</f>
        <v>Respondido</v>
      </c>
      <c r="K187" s="13"/>
    </row>
    <row r="188" customFormat="false" ht="57" hidden="false" customHeight="true" outlineLevel="0" collapsed="false">
      <c r="A188" s="10" t="n">
        <v>296</v>
      </c>
      <c r="B188" s="10" t="n">
        <v>44</v>
      </c>
      <c r="C188" s="10" t="s">
        <v>2</v>
      </c>
      <c r="D188" s="10"/>
      <c r="E188" s="10" t="s">
        <v>12</v>
      </c>
      <c r="F188" s="11" t="s">
        <v>373</v>
      </c>
      <c r="G188" s="11"/>
      <c r="H188" s="12" t="s">
        <v>158</v>
      </c>
      <c r="I188" s="13"/>
      <c r="J188" s="14" t="str">
        <f aca="false">IF(Tabla1[[#This Row],[Respuesta]]="","Sin respuesta","Respondido")</f>
        <v>Respondido</v>
      </c>
      <c r="K188" s="13"/>
    </row>
    <row r="189" customFormat="false" ht="57" hidden="false" customHeight="true" outlineLevel="0" collapsed="false">
      <c r="A189" s="10" t="n">
        <v>295</v>
      </c>
      <c r="B189" s="10" t="n">
        <v>43</v>
      </c>
      <c r="C189" s="10" t="s">
        <v>2</v>
      </c>
      <c r="D189" s="10"/>
      <c r="E189" s="10" t="s">
        <v>12</v>
      </c>
      <c r="F189" s="11" t="s">
        <v>374</v>
      </c>
      <c r="G189" s="11"/>
      <c r="H189" s="12" t="s">
        <v>375</v>
      </c>
      <c r="I189" s="13"/>
      <c r="J189" s="14" t="str">
        <f aca="false">IF(Tabla1[[#This Row],[Respuesta]]="","Sin respuesta","Respondido")</f>
        <v>Respondido</v>
      </c>
      <c r="K189" s="13"/>
    </row>
    <row r="190" customFormat="false" ht="57" hidden="false" customHeight="true" outlineLevel="0" collapsed="false">
      <c r="A190" s="10" t="n">
        <v>294</v>
      </c>
      <c r="B190" s="10" t="n">
        <v>42</v>
      </c>
      <c r="C190" s="10" t="s">
        <v>2</v>
      </c>
      <c r="D190" s="10"/>
      <c r="E190" s="10" t="s">
        <v>12</v>
      </c>
      <c r="F190" s="11" t="s">
        <v>376</v>
      </c>
      <c r="G190" s="11"/>
      <c r="H190" s="12" t="s">
        <v>377</v>
      </c>
      <c r="I190" s="13"/>
      <c r="J190" s="14" t="str">
        <f aca="false">IF(Tabla1[[#This Row],[Respuesta]]="","Sin respuesta","Respondido")</f>
        <v>Respondido</v>
      </c>
      <c r="K190" s="13"/>
    </row>
    <row r="191" customFormat="false" ht="57" hidden="false" customHeight="true" outlineLevel="0" collapsed="false">
      <c r="A191" s="10" t="n">
        <v>293</v>
      </c>
      <c r="B191" s="10" t="n">
        <v>41</v>
      </c>
      <c r="C191" s="10" t="s">
        <v>2</v>
      </c>
      <c r="D191" s="10"/>
      <c r="E191" s="10" t="s">
        <v>12</v>
      </c>
      <c r="F191" s="11" t="s">
        <v>378</v>
      </c>
      <c r="G191" s="11"/>
      <c r="H191" s="12" t="s">
        <v>379</v>
      </c>
      <c r="I191" s="13"/>
      <c r="J191" s="14" t="str">
        <f aca="false">IF(Tabla1[[#This Row],[Respuesta]]="","Sin respuesta","Respondido")</f>
        <v>Respondido</v>
      </c>
      <c r="K191" s="13"/>
    </row>
    <row r="192" customFormat="false" ht="57" hidden="false" customHeight="true" outlineLevel="0" collapsed="false">
      <c r="A192" s="10" t="n">
        <v>292</v>
      </c>
      <c r="B192" s="10" t="n">
        <v>40</v>
      </c>
      <c r="C192" s="10" t="s">
        <v>2</v>
      </c>
      <c r="D192" s="10"/>
      <c r="E192" s="10" t="s">
        <v>12</v>
      </c>
      <c r="F192" s="11" t="s">
        <v>380</v>
      </c>
      <c r="G192" s="11"/>
      <c r="H192" s="12" t="s">
        <v>158</v>
      </c>
      <c r="I192" s="13"/>
      <c r="J192" s="14" t="str">
        <f aca="false">IF(Tabla1[[#This Row],[Respuesta]]="","Sin respuesta","Respondido")</f>
        <v>Respondido</v>
      </c>
      <c r="K192" s="13"/>
    </row>
    <row r="193" customFormat="false" ht="57" hidden="false" customHeight="true" outlineLevel="0" collapsed="false">
      <c r="A193" s="10" t="n">
        <v>291</v>
      </c>
      <c r="B193" s="10" t="n">
        <v>39</v>
      </c>
      <c r="C193" s="10" t="s">
        <v>2</v>
      </c>
      <c r="D193" s="10"/>
      <c r="E193" s="10" t="s">
        <v>12</v>
      </c>
      <c r="F193" s="11" t="s">
        <v>381</v>
      </c>
      <c r="G193" s="11"/>
      <c r="H193" s="12" t="s">
        <v>382</v>
      </c>
      <c r="I193" s="13"/>
      <c r="J193" s="14" t="str">
        <f aca="false">IF(Tabla1[[#This Row],[Respuesta]]="","Sin respuesta","Respondido")</f>
        <v>Respondido</v>
      </c>
      <c r="K193" s="13"/>
    </row>
    <row r="194" customFormat="false" ht="57" hidden="false" customHeight="true" outlineLevel="0" collapsed="false">
      <c r="A194" s="10" t="n">
        <v>290</v>
      </c>
      <c r="B194" s="10" t="n">
        <v>38</v>
      </c>
      <c r="C194" s="10" t="s">
        <v>2</v>
      </c>
      <c r="D194" s="10"/>
      <c r="E194" s="10" t="s">
        <v>12</v>
      </c>
      <c r="F194" s="11" t="s">
        <v>383</v>
      </c>
      <c r="G194" s="11"/>
      <c r="H194" s="12" t="s">
        <v>384</v>
      </c>
      <c r="I194" s="13"/>
      <c r="J194" s="14" t="str">
        <f aca="false">IF(Tabla1[[#This Row],[Respuesta]]="","Sin respuesta","Respondido")</f>
        <v>Respondido</v>
      </c>
      <c r="K194" s="13"/>
    </row>
    <row r="195" customFormat="false" ht="57" hidden="false" customHeight="true" outlineLevel="0" collapsed="false">
      <c r="A195" s="10" t="n">
        <v>289</v>
      </c>
      <c r="B195" s="10" t="n">
        <v>37</v>
      </c>
      <c r="C195" s="10" t="s">
        <v>2</v>
      </c>
      <c r="D195" s="10"/>
      <c r="E195" s="10" t="s">
        <v>12</v>
      </c>
      <c r="F195" s="11" t="s">
        <v>385</v>
      </c>
      <c r="G195" s="11"/>
      <c r="H195" s="12" t="s">
        <v>386</v>
      </c>
      <c r="I195" s="13"/>
      <c r="J195" s="14" t="str">
        <f aca="false">IF(Tabla1[[#This Row],[Respuesta]]="","Sin respuesta","Respondido")</f>
        <v>Respondido</v>
      </c>
      <c r="K195" s="13"/>
    </row>
    <row r="196" customFormat="false" ht="57" hidden="false" customHeight="true" outlineLevel="0" collapsed="false">
      <c r="A196" s="10" t="n">
        <v>288</v>
      </c>
      <c r="B196" s="10" t="n">
        <v>36</v>
      </c>
      <c r="C196" s="10" t="s">
        <v>2</v>
      </c>
      <c r="D196" s="10"/>
      <c r="E196" s="10" t="s">
        <v>12</v>
      </c>
      <c r="F196" s="11" t="s">
        <v>387</v>
      </c>
      <c r="G196" s="11"/>
      <c r="H196" s="12" t="s">
        <v>388</v>
      </c>
      <c r="I196" s="13"/>
      <c r="J196" s="14" t="str">
        <f aca="false">IF(Tabla1[[#This Row],[Respuesta]]="","Sin respuesta","Respondido")</f>
        <v>Respondido</v>
      </c>
      <c r="K196" s="13"/>
    </row>
    <row r="197" customFormat="false" ht="57" hidden="false" customHeight="true" outlineLevel="0" collapsed="false">
      <c r="A197" s="10" t="n">
        <v>287</v>
      </c>
      <c r="B197" s="10" t="n">
        <v>35</v>
      </c>
      <c r="C197" s="10" t="s">
        <v>2</v>
      </c>
      <c r="D197" s="10"/>
      <c r="E197" s="10" t="s">
        <v>12</v>
      </c>
      <c r="F197" s="11" t="s">
        <v>389</v>
      </c>
      <c r="G197" s="11"/>
      <c r="H197" s="12" t="s">
        <v>390</v>
      </c>
      <c r="I197" s="13"/>
      <c r="J197" s="14" t="str">
        <f aca="false">IF(Tabla1[[#This Row],[Respuesta]]="","Sin respuesta","Respondido")</f>
        <v>Respondido</v>
      </c>
      <c r="K197" s="13"/>
    </row>
    <row r="198" customFormat="false" ht="57" hidden="false" customHeight="true" outlineLevel="0" collapsed="false">
      <c r="A198" s="10" t="n">
        <v>286</v>
      </c>
      <c r="B198" s="10" t="n">
        <v>34</v>
      </c>
      <c r="C198" s="10" t="s">
        <v>2</v>
      </c>
      <c r="D198" s="10"/>
      <c r="E198" s="10" t="s">
        <v>12</v>
      </c>
      <c r="F198" s="11" t="s">
        <v>391</v>
      </c>
      <c r="G198" s="11"/>
      <c r="H198" s="12" t="s">
        <v>392</v>
      </c>
      <c r="I198" s="13"/>
      <c r="J198" s="14" t="str">
        <f aca="false">IF(Tabla1[[#This Row],[Respuesta]]="","Sin respuesta","Respondido")</f>
        <v>Respondido</v>
      </c>
      <c r="K198" s="13"/>
    </row>
    <row r="199" customFormat="false" ht="57" hidden="false" customHeight="true" outlineLevel="0" collapsed="false">
      <c r="A199" s="10" t="n">
        <v>285</v>
      </c>
      <c r="B199" s="10" t="n">
        <v>33</v>
      </c>
      <c r="C199" s="10" t="s">
        <v>2</v>
      </c>
      <c r="D199" s="10"/>
      <c r="E199" s="10" t="s">
        <v>12</v>
      </c>
      <c r="F199" s="11" t="s">
        <v>393</v>
      </c>
      <c r="G199" s="11"/>
      <c r="H199" s="12" t="s">
        <v>394</v>
      </c>
      <c r="I199" s="13"/>
      <c r="J199" s="14" t="str">
        <f aca="false">IF(Tabla1[[#This Row],[Respuesta]]="","Sin respuesta","Respondido")</f>
        <v>Respondido</v>
      </c>
      <c r="K199" s="13"/>
    </row>
    <row r="200" customFormat="false" ht="57" hidden="false" customHeight="true" outlineLevel="0" collapsed="false">
      <c r="A200" s="10" t="n">
        <v>284</v>
      </c>
      <c r="B200" s="10" t="n">
        <v>32</v>
      </c>
      <c r="C200" s="10" t="s">
        <v>2</v>
      </c>
      <c r="D200" s="10"/>
      <c r="E200" s="10" t="s">
        <v>12</v>
      </c>
      <c r="F200" s="11" t="s">
        <v>395</v>
      </c>
      <c r="G200" s="11"/>
      <c r="H200" s="12" t="s">
        <v>396</v>
      </c>
      <c r="I200" s="13"/>
      <c r="J200" s="14" t="str">
        <f aca="false">IF(Tabla1[[#This Row],[Respuesta]]="","Sin respuesta","Respondido")</f>
        <v>Respondido</v>
      </c>
      <c r="K200" s="13"/>
    </row>
    <row r="201" customFormat="false" ht="57" hidden="false" customHeight="true" outlineLevel="0" collapsed="false">
      <c r="A201" s="10" t="n">
        <v>283</v>
      </c>
      <c r="B201" s="10" t="n">
        <v>31</v>
      </c>
      <c r="C201" s="10" t="s">
        <v>2</v>
      </c>
      <c r="D201" s="10"/>
      <c r="E201" s="10" t="s">
        <v>12</v>
      </c>
      <c r="F201" s="11" t="s">
        <v>397</v>
      </c>
      <c r="G201" s="11"/>
      <c r="H201" s="16" t="s">
        <v>398</v>
      </c>
      <c r="I201" s="13"/>
      <c r="J201" s="14" t="str">
        <f aca="false">IF(Tabla1[[#This Row],[Respuesta]]="","Sin respuesta","Respondido")</f>
        <v>Respondido</v>
      </c>
      <c r="K201" s="13"/>
    </row>
    <row r="202" customFormat="false" ht="57" hidden="false" customHeight="true" outlineLevel="0" collapsed="false">
      <c r="A202" s="10" t="n">
        <v>282</v>
      </c>
      <c r="B202" s="10" t="n">
        <v>30</v>
      </c>
      <c r="C202" s="10" t="s">
        <v>2</v>
      </c>
      <c r="D202" s="10"/>
      <c r="E202" s="10" t="s">
        <v>12</v>
      </c>
      <c r="F202" s="11" t="s">
        <v>399</v>
      </c>
      <c r="G202" s="11"/>
      <c r="H202" s="12" t="s">
        <v>400</v>
      </c>
      <c r="I202" s="13"/>
      <c r="J202" s="14" t="str">
        <f aca="false">IF(Tabla1[[#This Row],[Respuesta]]="","Sin respuesta","Respondido")</f>
        <v>Respondido</v>
      </c>
      <c r="K202" s="13"/>
    </row>
    <row r="203" customFormat="false" ht="57" hidden="false" customHeight="true" outlineLevel="0" collapsed="false">
      <c r="A203" s="10" t="n">
        <v>281</v>
      </c>
      <c r="B203" s="10" t="n">
        <v>29</v>
      </c>
      <c r="C203" s="10" t="s">
        <v>2</v>
      </c>
      <c r="D203" s="10"/>
      <c r="E203" s="10" t="s">
        <v>12</v>
      </c>
      <c r="F203" s="11" t="s">
        <v>401</v>
      </c>
      <c r="G203" s="11"/>
      <c r="H203" s="12" t="s">
        <v>402</v>
      </c>
      <c r="I203" s="13"/>
      <c r="J203" s="14" t="str">
        <f aca="false">IF(Tabla1[[#This Row],[Respuesta]]="","Sin respuesta","Respondido")</f>
        <v>Respondido</v>
      </c>
      <c r="K203" s="13"/>
    </row>
    <row r="204" customFormat="false" ht="57" hidden="false" customHeight="true" outlineLevel="0" collapsed="false">
      <c r="A204" s="10" t="n">
        <v>280</v>
      </c>
      <c r="B204" s="10" t="n">
        <v>28</v>
      </c>
      <c r="C204" s="10" t="s">
        <v>2</v>
      </c>
      <c r="D204" s="10"/>
      <c r="E204" s="10" t="s">
        <v>12</v>
      </c>
      <c r="F204" s="11" t="s">
        <v>403</v>
      </c>
      <c r="G204" s="11"/>
      <c r="H204" s="12" t="s">
        <v>404</v>
      </c>
      <c r="I204" s="13"/>
      <c r="J204" s="14" t="str">
        <f aca="false">IF(Tabla1[[#This Row],[Respuesta]]="","Sin respuesta","Respondido")</f>
        <v>Respondido</v>
      </c>
      <c r="K204" s="13"/>
    </row>
    <row r="205" customFormat="false" ht="57" hidden="false" customHeight="true" outlineLevel="0" collapsed="false">
      <c r="A205" s="10" t="n">
        <v>279</v>
      </c>
      <c r="B205" s="10" t="n">
        <v>27</v>
      </c>
      <c r="C205" s="10" t="s">
        <v>2</v>
      </c>
      <c r="D205" s="10"/>
      <c r="E205" s="10" t="s">
        <v>12</v>
      </c>
      <c r="F205" s="11" t="s">
        <v>405</v>
      </c>
      <c r="G205" s="11"/>
      <c r="H205" s="12" t="s">
        <v>406</v>
      </c>
      <c r="I205" s="13"/>
      <c r="J205" s="14" t="str">
        <f aca="false">IF(Tabla1[[#This Row],[Respuesta]]="","Sin respuesta","Respondido")</f>
        <v>Respondido</v>
      </c>
      <c r="K205" s="13"/>
    </row>
    <row r="206" customFormat="false" ht="57" hidden="false" customHeight="true" outlineLevel="0" collapsed="false">
      <c r="A206" s="10" t="n">
        <v>278</v>
      </c>
      <c r="B206" s="10" t="n">
        <v>26</v>
      </c>
      <c r="C206" s="10" t="s">
        <v>2</v>
      </c>
      <c r="D206" s="10"/>
      <c r="E206" s="10" t="s">
        <v>12</v>
      </c>
      <c r="F206" s="11" t="s">
        <v>407</v>
      </c>
      <c r="G206" s="11"/>
      <c r="H206" s="12" t="s">
        <v>408</v>
      </c>
      <c r="I206" s="13"/>
      <c r="J206" s="14" t="str">
        <f aca="false">IF(Tabla1[[#This Row],[Respuesta]]="","Sin respuesta","Respondido")</f>
        <v>Respondido</v>
      </c>
      <c r="K206" s="13"/>
    </row>
    <row r="207" customFormat="false" ht="57" hidden="false" customHeight="true" outlineLevel="0" collapsed="false">
      <c r="A207" s="10" t="n">
        <v>277</v>
      </c>
      <c r="B207" s="10" t="n">
        <v>25</v>
      </c>
      <c r="C207" s="10" t="s">
        <v>2</v>
      </c>
      <c r="D207" s="10"/>
      <c r="E207" s="10" t="s">
        <v>10</v>
      </c>
      <c r="F207" s="11" t="s">
        <v>409</v>
      </c>
      <c r="G207" s="11"/>
      <c r="H207" s="12" t="s">
        <v>410</v>
      </c>
      <c r="I207" s="13"/>
      <c r="J207" s="14" t="str">
        <f aca="false">IF(Tabla1[[#This Row],[Respuesta]]="","Sin respuesta","Respondido")</f>
        <v>Respondido</v>
      </c>
      <c r="K207" s="13"/>
    </row>
    <row r="208" customFormat="false" ht="57" hidden="false" customHeight="true" outlineLevel="0" collapsed="false">
      <c r="A208" s="10" t="n">
        <v>276</v>
      </c>
      <c r="B208" s="10" t="n">
        <v>24</v>
      </c>
      <c r="C208" s="10" t="s">
        <v>2</v>
      </c>
      <c r="D208" s="10"/>
      <c r="E208" s="10" t="s">
        <v>10</v>
      </c>
      <c r="F208" s="11" t="s">
        <v>411</v>
      </c>
      <c r="G208" s="11"/>
      <c r="H208" s="12" t="s">
        <v>292</v>
      </c>
      <c r="I208" s="13"/>
      <c r="J208" s="14" t="str">
        <f aca="false">IF(Tabla1[[#This Row],[Respuesta]]="","Sin respuesta","Respondido")</f>
        <v>Respondido</v>
      </c>
      <c r="K208" s="13"/>
    </row>
    <row r="209" customFormat="false" ht="57" hidden="false" customHeight="true" outlineLevel="0" collapsed="false">
      <c r="A209" s="10" t="n">
        <v>275</v>
      </c>
      <c r="B209" s="10" t="n">
        <v>23</v>
      </c>
      <c r="C209" s="10" t="s">
        <v>2</v>
      </c>
      <c r="D209" s="10"/>
      <c r="E209" s="10" t="s">
        <v>10</v>
      </c>
      <c r="F209" s="11" t="s">
        <v>412</v>
      </c>
      <c r="G209" s="11"/>
      <c r="H209" s="12" t="s">
        <v>413</v>
      </c>
      <c r="I209" s="13"/>
      <c r="J209" s="14" t="str">
        <f aca="false">IF(Tabla1[[#This Row],[Respuesta]]="","Sin respuesta","Respondido")</f>
        <v>Respondido</v>
      </c>
      <c r="K209" s="13"/>
    </row>
    <row r="210" customFormat="false" ht="57" hidden="false" customHeight="true" outlineLevel="0" collapsed="false">
      <c r="A210" s="10" t="n">
        <v>273</v>
      </c>
      <c r="B210" s="10" t="n">
        <v>21</v>
      </c>
      <c r="C210" s="10" t="s">
        <v>2</v>
      </c>
      <c r="D210" s="10"/>
      <c r="E210" s="10" t="s">
        <v>18</v>
      </c>
      <c r="F210" s="11" t="s">
        <v>414</v>
      </c>
      <c r="G210" s="11"/>
      <c r="H210" s="12" t="s">
        <v>415</v>
      </c>
      <c r="I210" s="13"/>
      <c r="J210" s="14" t="str">
        <f aca="false">IF(Tabla1[[#This Row],[Respuesta]]="","Sin respuesta","Respondido")</f>
        <v>Respondido</v>
      </c>
      <c r="K210" s="13"/>
    </row>
    <row r="211" customFormat="false" ht="84.75" hidden="false" customHeight="true" outlineLevel="0" collapsed="false">
      <c r="A211" s="10" t="n">
        <v>272</v>
      </c>
      <c r="B211" s="10" t="n">
        <v>20</v>
      </c>
      <c r="C211" s="10" t="s">
        <v>2</v>
      </c>
      <c r="D211" s="10"/>
      <c r="E211" s="10" t="s">
        <v>18</v>
      </c>
      <c r="F211" s="11" t="s">
        <v>416</v>
      </c>
      <c r="G211" s="11"/>
      <c r="H211" s="12" t="s">
        <v>417</v>
      </c>
      <c r="I211" s="13"/>
      <c r="J211" s="14" t="str">
        <f aca="false">IF(Tabla1[[#This Row],[Respuesta]]="","Sin respuesta","Respondido")</f>
        <v>Respondido</v>
      </c>
      <c r="K211" s="13"/>
    </row>
    <row r="212" customFormat="false" ht="57" hidden="false" customHeight="true" outlineLevel="0" collapsed="false">
      <c r="A212" s="10" t="n">
        <v>271</v>
      </c>
      <c r="B212" s="10" t="n">
        <v>19</v>
      </c>
      <c r="C212" s="10" t="s">
        <v>2</v>
      </c>
      <c r="D212" s="10"/>
      <c r="E212" s="10" t="s">
        <v>18</v>
      </c>
      <c r="F212" s="11" t="s">
        <v>418</v>
      </c>
      <c r="G212" s="11"/>
      <c r="H212" s="12" t="s">
        <v>419</v>
      </c>
      <c r="I212" s="13"/>
      <c r="J212" s="14" t="str">
        <f aca="false">IF(Tabla1[[#This Row],[Respuesta]]="","Sin respuesta","Respondido")</f>
        <v>Respondido</v>
      </c>
      <c r="K212" s="13"/>
    </row>
    <row r="213" customFormat="false" ht="57" hidden="false" customHeight="true" outlineLevel="0" collapsed="false">
      <c r="A213" s="10" t="n">
        <v>270</v>
      </c>
      <c r="B213" s="10" t="n">
        <v>18</v>
      </c>
      <c r="C213" s="10" t="s">
        <v>2</v>
      </c>
      <c r="D213" s="10"/>
      <c r="E213" s="10" t="s">
        <v>18</v>
      </c>
      <c r="F213" s="11" t="s">
        <v>420</v>
      </c>
      <c r="G213" s="11"/>
      <c r="H213" s="12" t="s">
        <v>74</v>
      </c>
      <c r="I213" s="13"/>
      <c r="J213" s="14" t="str">
        <f aca="false">IF(Tabla1[[#This Row],[Respuesta]]="","Sin respuesta","Respondido")</f>
        <v>Respondido</v>
      </c>
      <c r="K213" s="13"/>
    </row>
    <row r="214" customFormat="false" ht="57" hidden="false" customHeight="true" outlineLevel="0" collapsed="false">
      <c r="A214" s="10" t="n">
        <v>269</v>
      </c>
      <c r="B214" s="10" t="n">
        <v>17</v>
      </c>
      <c r="C214" s="10" t="s">
        <v>2</v>
      </c>
      <c r="D214" s="10"/>
      <c r="E214" s="10" t="s">
        <v>18</v>
      </c>
      <c r="F214" s="11" t="s">
        <v>421</v>
      </c>
      <c r="G214" s="11"/>
      <c r="H214" s="12" t="s">
        <v>422</v>
      </c>
      <c r="I214" s="13"/>
      <c r="J214" s="14" t="str">
        <f aca="false">IF(Tabla1[[#This Row],[Respuesta]]="","Sin respuesta","Respondido")</f>
        <v>Respondido</v>
      </c>
      <c r="K214" s="13"/>
    </row>
    <row r="215" customFormat="false" ht="57" hidden="false" customHeight="true" outlineLevel="0" collapsed="false">
      <c r="A215" s="10" t="n">
        <v>268</v>
      </c>
      <c r="B215" s="10" t="n">
        <v>16</v>
      </c>
      <c r="C215" s="10" t="s">
        <v>2</v>
      </c>
      <c r="D215" s="10"/>
      <c r="E215" s="10" t="s">
        <v>18</v>
      </c>
      <c r="F215" s="11" t="s">
        <v>423</v>
      </c>
      <c r="G215" s="11"/>
      <c r="H215" s="12" t="s">
        <v>424</v>
      </c>
      <c r="I215" s="13"/>
      <c r="J215" s="14" t="str">
        <f aca="false">IF(Tabla1[[#This Row],[Respuesta]]="","Sin respuesta","Respondido")</f>
        <v>Respondido</v>
      </c>
      <c r="K215" s="13"/>
    </row>
    <row r="216" customFormat="false" ht="57" hidden="false" customHeight="true" outlineLevel="0" collapsed="false">
      <c r="A216" s="10" t="n">
        <v>267</v>
      </c>
      <c r="B216" s="10" t="n">
        <v>15</v>
      </c>
      <c r="C216" s="10" t="s">
        <v>2</v>
      </c>
      <c r="D216" s="10"/>
      <c r="E216" s="10" t="s">
        <v>18</v>
      </c>
      <c r="F216" s="11" t="s">
        <v>425</v>
      </c>
      <c r="G216" s="11"/>
      <c r="H216" s="12" t="s">
        <v>426</v>
      </c>
      <c r="I216" s="13"/>
      <c r="J216" s="14" t="str">
        <f aca="false">IF(Tabla1[[#This Row],[Respuesta]]="","Sin respuesta","Respondido")</f>
        <v>Respondido</v>
      </c>
      <c r="K216" s="13"/>
    </row>
    <row r="217" customFormat="false" ht="57" hidden="false" customHeight="true" outlineLevel="0" collapsed="false">
      <c r="A217" s="10" t="n">
        <v>266</v>
      </c>
      <c r="B217" s="10" t="n">
        <v>14</v>
      </c>
      <c r="C217" s="10" t="s">
        <v>2</v>
      </c>
      <c r="D217" s="10"/>
      <c r="E217" s="10" t="s">
        <v>18</v>
      </c>
      <c r="F217" s="11" t="s">
        <v>427</v>
      </c>
      <c r="G217" s="11"/>
      <c r="H217" s="12" t="s">
        <v>428</v>
      </c>
      <c r="I217" s="13"/>
      <c r="J217" s="14" t="str">
        <f aca="false">IF(Tabla1[[#This Row],[Respuesta]]="","Sin respuesta","Respondido")</f>
        <v>Respondido</v>
      </c>
      <c r="K217" s="13"/>
    </row>
    <row r="218" customFormat="false" ht="57" hidden="false" customHeight="true" outlineLevel="0" collapsed="false">
      <c r="A218" s="10" t="n">
        <v>265</v>
      </c>
      <c r="B218" s="10" t="n">
        <v>13</v>
      </c>
      <c r="C218" s="10" t="s">
        <v>2</v>
      </c>
      <c r="D218" s="10"/>
      <c r="E218" s="10" t="s">
        <v>14</v>
      </c>
      <c r="F218" s="11" t="s">
        <v>429</v>
      </c>
      <c r="G218" s="11"/>
      <c r="H218" s="12" t="s">
        <v>430</v>
      </c>
      <c r="I218" s="13"/>
      <c r="J218" s="14" t="str">
        <f aca="false">IF(Tabla1[[#This Row],[Respuesta]]="","Sin respuesta","Respondido")</f>
        <v>Respondido</v>
      </c>
      <c r="K218" s="13"/>
    </row>
    <row r="219" customFormat="false" ht="57" hidden="false" customHeight="true" outlineLevel="0" collapsed="false">
      <c r="A219" s="10" t="n">
        <v>264</v>
      </c>
      <c r="B219" s="10" t="n">
        <v>12</v>
      </c>
      <c r="C219" s="10" t="s">
        <v>2</v>
      </c>
      <c r="D219" s="10"/>
      <c r="E219" s="10" t="s">
        <v>14</v>
      </c>
      <c r="F219" s="11" t="s">
        <v>431</v>
      </c>
      <c r="G219" s="11"/>
      <c r="H219" s="12" t="s">
        <v>432</v>
      </c>
      <c r="I219" s="13"/>
      <c r="J219" s="14" t="str">
        <f aca="false">IF(Tabla1[[#This Row],[Respuesta]]="","Sin respuesta","Respondido")</f>
        <v>Respondido</v>
      </c>
      <c r="K219" s="13"/>
    </row>
    <row r="220" customFormat="false" ht="57" hidden="false" customHeight="true" outlineLevel="0" collapsed="false">
      <c r="A220" s="10" t="n">
        <v>263</v>
      </c>
      <c r="B220" s="10" t="n">
        <v>11</v>
      </c>
      <c r="C220" s="10" t="s">
        <v>2</v>
      </c>
      <c r="D220" s="10"/>
      <c r="E220" s="10" t="s">
        <v>7</v>
      </c>
      <c r="F220" s="11" t="s">
        <v>433</v>
      </c>
      <c r="G220" s="11"/>
      <c r="H220" s="12" t="s">
        <v>434</v>
      </c>
      <c r="I220" s="13"/>
      <c r="J220" s="14" t="str">
        <f aca="false">IF(Tabla1[[#This Row],[Respuesta]]="","Sin respuesta","Respondido")</f>
        <v>Respondido</v>
      </c>
      <c r="K220" s="13"/>
    </row>
    <row r="221" customFormat="false" ht="57" hidden="false" customHeight="true" outlineLevel="0" collapsed="false">
      <c r="A221" s="10" t="n">
        <v>262</v>
      </c>
      <c r="B221" s="10" t="n">
        <v>10</v>
      </c>
      <c r="C221" s="10" t="s">
        <v>2</v>
      </c>
      <c r="D221" s="10"/>
      <c r="E221" s="10" t="s">
        <v>8</v>
      </c>
      <c r="F221" s="11" t="s">
        <v>435</v>
      </c>
      <c r="G221" s="11"/>
      <c r="H221" s="12" t="s">
        <v>436</v>
      </c>
      <c r="I221" s="13"/>
      <c r="J221" s="14" t="str">
        <f aca="false">IF(Tabla1[[#This Row],[Respuesta]]="","Sin respuesta","Respondido")</f>
        <v>Respondido</v>
      </c>
      <c r="K221" s="13"/>
    </row>
    <row r="222" customFormat="false" ht="57" hidden="false" customHeight="true" outlineLevel="0" collapsed="false">
      <c r="A222" s="10" t="n">
        <v>261</v>
      </c>
      <c r="B222" s="10" t="n">
        <v>9</v>
      </c>
      <c r="C222" s="10" t="s">
        <v>2</v>
      </c>
      <c r="D222" s="10"/>
      <c r="E222" s="10" t="s">
        <v>8</v>
      </c>
      <c r="F222" s="11" t="s">
        <v>437</v>
      </c>
      <c r="G222" s="11"/>
      <c r="H222" s="12" t="s">
        <v>438</v>
      </c>
      <c r="I222" s="13"/>
      <c r="J222" s="14" t="str">
        <f aca="false">IF(Tabla1[[#This Row],[Respuesta]]="","Sin respuesta","Respondido")</f>
        <v>Respondido</v>
      </c>
      <c r="K222" s="13"/>
    </row>
    <row r="223" customFormat="false" ht="57" hidden="false" customHeight="true" outlineLevel="0" collapsed="false">
      <c r="A223" s="10" t="n">
        <v>260</v>
      </c>
      <c r="B223" s="10" t="n">
        <v>8</v>
      </c>
      <c r="C223" s="10" t="s">
        <v>2</v>
      </c>
      <c r="D223" s="10"/>
      <c r="E223" s="10" t="s">
        <v>7</v>
      </c>
      <c r="F223" s="11" t="s">
        <v>439</v>
      </c>
      <c r="G223" s="11"/>
      <c r="H223" s="12" t="s">
        <v>440</v>
      </c>
      <c r="I223" s="13"/>
      <c r="J223" s="14" t="str">
        <f aca="false">IF(Tabla1[[#This Row],[Respuesta]]="","Sin respuesta","Respondido")</f>
        <v>Respondido</v>
      </c>
      <c r="K223" s="13"/>
    </row>
    <row r="224" customFormat="false" ht="57" hidden="false" customHeight="true" outlineLevel="0" collapsed="false">
      <c r="A224" s="10" t="n">
        <v>259</v>
      </c>
      <c r="B224" s="10" t="n">
        <v>7</v>
      </c>
      <c r="C224" s="10" t="s">
        <v>2</v>
      </c>
      <c r="D224" s="10"/>
      <c r="E224" s="10" t="s">
        <v>8</v>
      </c>
      <c r="F224" s="11" t="s">
        <v>441</v>
      </c>
      <c r="G224" s="11"/>
      <c r="H224" s="12" t="s">
        <v>442</v>
      </c>
      <c r="I224" s="13"/>
      <c r="J224" s="14" t="str">
        <f aca="false">IF(Tabla1[[#This Row],[Respuesta]]="","Sin respuesta","Respondido")</f>
        <v>Respondido</v>
      </c>
      <c r="K224" s="13"/>
    </row>
    <row r="225" customFormat="false" ht="57" hidden="false" customHeight="true" outlineLevel="0" collapsed="false">
      <c r="A225" s="10" t="n">
        <v>258</v>
      </c>
      <c r="B225" s="10" t="n">
        <v>6</v>
      </c>
      <c r="C225" s="10" t="s">
        <v>2</v>
      </c>
      <c r="D225" s="10"/>
      <c r="E225" s="10" t="s">
        <v>7</v>
      </c>
      <c r="F225" s="11" t="s">
        <v>443</v>
      </c>
      <c r="G225" s="11"/>
      <c r="H225" s="12" t="s">
        <v>442</v>
      </c>
      <c r="I225" s="13"/>
      <c r="J225" s="14" t="str">
        <f aca="false">IF(Tabla1[[#This Row],[Respuesta]]="","Sin respuesta","Respondido")</f>
        <v>Respondido</v>
      </c>
      <c r="K225" s="13"/>
    </row>
    <row r="226" customFormat="false" ht="57" hidden="false" customHeight="true" outlineLevel="0" collapsed="false">
      <c r="A226" s="10" t="n">
        <v>257</v>
      </c>
      <c r="B226" s="10" t="n">
        <v>5</v>
      </c>
      <c r="C226" s="10" t="s">
        <v>2</v>
      </c>
      <c r="D226" s="10"/>
      <c r="E226" s="10" t="s">
        <v>8</v>
      </c>
      <c r="F226" s="11" t="s">
        <v>444</v>
      </c>
      <c r="G226" s="11"/>
      <c r="H226" s="12" t="s">
        <v>445</v>
      </c>
      <c r="I226" s="13"/>
      <c r="J226" s="14" t="str">
        <f aca="false">IF(Tabla1[[#This Row],[Respuesta]]="","Sin respuesta","Respondido")</f>
        <v>Respondido</v>
      </c>
      <c r="K226" s="13"/>
    </row>
    <row r="227" customFormat="false" ht="57" hidden="false" customHeight="true" outlineLevel="0" collapsed="false">
      <c r="A227" s="10" t="n">
        <v>256</v>
      </c>
      <c r="B227" s="10" t="n">
        <v>4</v>
      </c>
      <c r="C227" s="10" t="s">
        <v>2</v>
      </c>
      <c r="D227" s="10"/>
      <c r="E227" s="10" t="s">
        <v>8</v>
      </c>
      <c r="F227" s="11" t="s">
        <v>446</v>
      </c>
      <c r="G227" s="11"/>
      <c r="H227" s="12" t="s">
        <v>154</v>
      </c>
      <c r="I227" s="13"/>
      <c r="J227" s="14" t="str">
        <f aca="false">IF(Tabla1[[#This Row],[Respuesta]]="","Sin respuesta","Respondido")</f>
        <v>Respondido</v>
      </c>
      <c r="K227" s="13"/>
    </row>
    <row r="228" customFormat="false" ht="57" hidden="false" customHeight="true" outlineLevel="0" collapsed="false">
      <c r="A228" s="10" t="n">
        <v>255</v>
      </c>
      <c r="B228" s="10" t="n">
        <v>3</v>
      </c>
      <c r="C228" s="10" t="s">
        <v>2</v>
      </c>
      <c r="D228" s="10"/>
      <c r="E228" s="10" t="s">
        <v>8</v>
      </c>
      <c r="F228" s="11" t="s">
        <v>447</v>
      </c>
      <c r="G228" s="11"/>
      <c r="H228" s="12" t="s">
        <v>448</v>
      </c>
      <c r="I228" s="13"/>
      <c r="J228" s="14" t="str">
        <f aca="false">IF(Tabla1[[#This Row],[Respuesta]]="","Sin respuesta","Respondido")</f>
        <v>Respondido</v>
      </c>
      <c r="K228" s="13"/>
    </row>
    <row r="229" customFormat="false" ht="57" hidden="false" customHeight="true" outlineLevel="0" collapsed="false">
      <c r="A229" s="10" t="n">
        <v>254</v>
      </c>
      <c r="B229" s="10" t="n">
        <v>2</v>
      </c>
      <c r="C229" s="10" t="s">
        <v>2</v>
      </c>
      <c r="D229" s="10"/>
      <c r="E229" s="10" t="s">
        <v>8</v>
      </c>
      <c r="F229" s="11" t="s">
        <v>449</v>
      </c>
      <c r="G229" s="11"/>
      <c r="H229" s="12" t="s">
        <v>450</v>
      </c>
      <c r="I229" s="13"/>
      <c r="J229" s="14" t="str">
        <f aca="false">IF(Tabla1[[#This Row],[Respuesta]]="","Sin respuesta","Respondido")</f>
        <v>Respondido</v>
      </c>
      <c r="K229" s="13"/>
    </row>
    <row r="230" customFormat="false" ht="57" hidden="false" customHeight="true" outlineLevel="0" collapsed="false">
      <c r="A230" s="10" t="n">
        <v>253</v>
      </c>
      <c r="B230" s="10" t="n">
        <v>1</v>
      </c>
      <c r="C230" s="10" t="s">
        <v>2</v>
      </c>
      <c r="D230" s="10"/>
      <c r="E230" s="10" t="s">
        <v>16</v>
      </c>
      <c r="F230" s="11" t="s">
        <v>451</v>
      </c>
      <c r="G230" s="11"/>
      <c r="H230" s="12" t="s">
        <v>452</v>
      </c>
      <c r="I230" s="13"/>
      <c r="J230" s="14" t="str">
        <f aca="false">IF(Tabla1[[#This Row],[Respuesta]]="","Sin respuesta","Respondido")</f>
        <v>Respondido</v>
      </c>
      <c r="K230" s="13"/>
    </row>
    <row r="231" customFormat="false" ht="57" hidden="false" customHeight="true" outlineLevel="0" collapsed="false">
      <c r="A231" s="10" t="n">
        <v>252</v>
      </c>
      <c r="B231" s="10" t="n">
        <v>143</v>
      </c>
      <c r="C231" s="10" t="s">
        <v>5</v>
      </c>
      <c r="D231" s="10" t="s">
        <v>453</v>
      </c>
      <c r="E231" s="10" t="s">
        <v>12</v>
      </c>
      <c r="F231" s="11" t="s">
        <v>454</v>
      </c>
      <c r="G231" s="11" t="s">
        <v>455</v>
      </c>
      <c r="H231" s="12" t="s">
        <v>456</v>
      </c>
      <c r="I231" s="13"/>
      <c r="J231" s="14" t="str">
        <f aca="false">IF(Tabla1[[#This Row],[Respuesta]]="","Sin respuesta","Respondido")</f>
        <v>Respondido</v>
      </c>
      <c r="K231" s="13"/>
    </row>
    <row r="232" customFormat="false" ht="57" hidden="false" customHeight="true" outlineLevel="0" collapsed="false">
      <c r="A232" s="10" t="n">
        <v>251</v>
      </c>
      <c r="B232" s="10" t="n">
        <v>142</v>
      </c>
      <c r="C232" s="10" t="s">
        <v>5</v>
      </c>
      <c r="D232" s="10" t="s">
        <v>453</v>
      </c>
      <c r="E232" s="10" t="s">
        <v>11</v>
      </c>
      <c r="F232" s="11" t="s">
        <v>457</v>
      </c>
      <c r="G232" s="11"/>
      <c r="H232" s="12" t="s">
        <v>458</v>
      </c>
      <c r="I232" s="13"/>
      <c r="J232" s="14" t="str">
        <f aca="false">IF(Tabla1[[#This Row],[Respuesta]]="","Sin respuesta","Respondido")</f>
        <v>Respondido</v>
      </c>
      <c r="K232" s="13"/>
    </row>
    <row r="233" customFormat="false" ht="57" hidden="false" customHeight="true" outlineLevel="0" collapsed="false">
      <c r="A233" s="10" t="n">
        <v>250</v>
      </c>
      <c r="B233" s="10" t="n">
        <v>141</v>
      </c>
      <c r="C233" s="10" t="s">
        <v>5</v>
      </c>
      <c r="D233" s="10" t="s">
        <v>453</v>
      </c>
      <c r="E233" s="10" t="s">
        <v>11</v>
      </c>
      <c r="F233" s="11" t="s">
        <v>459</v>
      </c>
      <c r="G233" s="11"/>
      <c r="H233" s="12" t="s">
        <v>460</v>
      </c>
      <c r="I233" s="13"/>
      <c r="J233" s="14" t="str">
        <f aca="false">IF(Tabla1[[#This Row],[Respuesta]]="","Sin respuesta","Respondido")</f>
        <v>Respondido</v>
      </c>
      <c r="K233" s="13"/>
    </row>
    <row r="234" customFormat="false" ht="57" hidden="false" customHeight="true" outlineLevel="0" collapsed="false">
      <c r="A234" s="10" t="n">
        <v>249</v>
      </c>
      <c r="B234" s="10" t="n">
        <v>140</v>
      </c>
      <c r="C234" s="10" t="s">
        <v>5</v>
      </c>
      <c r="D234" s="10" t="s">
        <v>453</v>
      </c>
      <c r="E234" s="10" t="s">
        <v>11</v>
      </c>
      <c r="F234" s="11" t="s">
        <v>461</v>
      </c>
      <c r="G234" s="11"/>
      <c r="H234" s="12" t="s">
        <v>462</v>
      </c>
      <c r="I234" s="13"/>
      <c r="J234" s="14" t="str">
        <f aca="false">IF(Tabla1[[#This Row],[Respuesta]]="","Sin respuesta","Respondido")</f>
        <v>Respondido</v>
      </c>
      <c r="K234" s="13"/>
    </row>
    <row r="235" customFormat="false" ht="57" hidden="false" customHeight="true" outlineLevel="0" collapsed="false">
      <c r="A235" s="10" t="n">
        <v>248</v>
      </c>
      <c r="B235" s="10" t="n">
        <v>139</v>
      </c>
      <c r="C235" s="10" t="s">
        <v>5</v>
      </c>
      <c r="D235" s="10" t="s">
        <v>453</v>
      </c>
      <c r="E235" s="10" t="s">
        <v>11</v>
      </c>
      <c r="F235" s="11" t="s">
        <v>463</v>
      </c>
      <c r="G235" s="11"/>
      <c r="H235" s="12" t="s">
        <v>460</v>
      </c>
      <c r="I235" s="13"/>
      <c r="J235" s="14" t="str">
        <f aca="false">IF(Tabla1[[#This Row],[Respuesta]]="","Sin respuesta","Respondido")</f>
        <v>Respondido</v>
      </c>
      <c r="K235" s="13"/>
    </row>
    <row r="236" customFormat="false" ht="73.5" hidden="false" customHeight="true" outlineLevel="0" collapsed="false">
      <c r="A236" s="10" t="n">
        <v>247</v>
      </c>
      <c r="B236" s="10" t="n">
        <v>138</v>
      </c>
      <c r="C236" s="10" t="s">
        <v>5</v>
      </c>
      <c r="D236" s="10" t="s">
        <v>453</v>
      </c>
      <c r="E236" s="10" t="s">
        <v>11</v>
      </c>
      <c r="F236" s="11" t="s">
        <v>464</v>
      </c>
      <c r="G236" s="11"/>
      <c r="H236" s="12" t="s">
        <v>458</v>
      </c>
      <c r="I236" s="13"/>
      <c r="J236" s="14" t="str">
        <f aca="false">IF(Tabla1[[#This Row],[Respuesta]]="","Sin respuesta","Respondido")</f>
        <v>Respondido</v>
      </c>
      <c r="K236" s="13"/>
    </row>
    <row r="237" customFormat="false" ht="57" hidden="false" customHeight="true" outlineLevel="0" collapsed="false">
      <c r="A237" s="10" t="n">
        <v>246</v>
      </c>
      <c r="B237" s="10" t="n">
        <v>137</v>
      </c>
      <c r="C237" s="10" t="s">
        <v>5</v>
      </c>
      <c r="D237" s="10" t="s">
        <v>453</v>
      </c>
      <c r="E237" s="10" t="s">
        <v>11</v>
      </c>
      <c r="F237" s="11" t="s">
        <v>465</v>
      </c>
      <c r="G237" s="11"/>
      <c r="H237" s="12" t="s">
        <v>458</v>
      </c>
      <c r="I237" s="13"/>
      <c r="J237" s="14" t="str">
        <f aca="false">IF(Tabla1[[#This Row],[Respuesta]]="","Sin respuesta","Respondido")</f>
        <v>Respondido</v>
      </c>
      <c r="K237" s="13"/>
    </row>
    <row r="238" customFormat="false" ht="57" hidden="false" customHeight="true" outlineLevel="0" collapsed="false">
      <c r="A238" s="10" t="n">
        <v>245</v>
      </c>
      <c r="B238" s="10" t="n">
        <v>136</v>
      </c>
      <c r="C238" s="10" t="s">
        <v>5</v>
      </c>
      <c r="D238" s="10" t="s">
        <v>453</v>
      </c>
      <c r="E238" s="10" t="s">
        <v>11</v>
      </c>
      <c r="F238" s="11" t="s">
        <v>466</v>
      </c>
      <c r="G238" s="11"/>
      <c r="H238" s="12" t="s">
        <v>467</v>
      </c>
      <c r="I238" s="13"/>
      <c r="J238" s="14" t="str">
        <f aca="false">IF(Tabla1[[#This Row],[Respuesta]]="","Sin respuesta","Respondido")</f>
        <v>Respondido</v>
      </c>
      <c r="K238" s="13"/>
    </row>
    <row r="239" customFormat="false" ht="57" hidden="false" customHeight="true" outlineLevel="0" collapsed="false">
      <c r="A239" s="10" t="n">
        <v>244</v>
      </c>
      <c r="B239" s="10" t="n">
        <v>135</v>
      </c>
      <c r="C239" s="10" t="s">
        <v>5</v>
      </c>
      <c r="D239" s="10" t="s">
        <v>453</v>
      </c>
      <c r="E239" s="10" t="s">
        <v>11</v>
      </c>
      <c r="F239" s="11" t="s">
        <v>468</v>
      </c>
      <c r="G239" s="11"/>
      <c r="H239" s="12" t="s">
        <v>460</v>
      </c>
      <c r="I239" s="13"/>
      <c r="J239" s="14" t="str">
        <f aca="false">IF(Tabla1[[#This Row],[Respuesta]]="","Sin respuesta","Respondido")</f>
        <v>Respondido</v>
      </c>
      <c r="K239" s="13"/>
    </row>
    <row r="240" customFormat="false" ht="17.9" hidden="false" customHeight="false" outlineLevel="0" collapsed="false">
      <c r="A240" s="10" t="n">
        <v>243</v>
      </c>
      <c r="B240" s="10" t="n">
        <v>134</v>
      </c>
      <c r="C240" s="10" t="s">
        <v>5</v>
      </c>
      <c r="D240" s="10" t="s">
        <v>453</v>
      </c>
      <c r="E240" s="10" t="s">
        <v>11</v>
      </c>
      <c r="F240" s="11" t="s">
        <v>469</v>
      </c>
      <c r="G240" s="11"/>
      <c r="H240" s="12" t="s">
        <v>460</v>
      </c>
      <c r="I240" s="13"/>
      <c r="J240" s="14" t="str">
        <f aca="false">IF(Tabla1[[#This Row],[Respuesta]]="","Sin respuesta","Respondido")</f>
        <v>Respondido</v>
      </c>
      <c r="K240" s="13"/>
    </row>
    <row r="241" customFormat="false" ht="57" hidden="false" customHeight="true" outlineLevel="0" collapsed="false">
      <c r="A241" s="10" t="n">
        <v>242</v>
      </c>
      <c r="B241" s="10" t="n">
        <v>133</v>
      </c>
      <c r="C241" s="10" t="s">
        <v>5</v>
      </c>
      <c r="D241" s="10" t="s">
        <v>453</v>
      </c>
      <c r="E241" s="10" t="s">
        <v>11</v>
      </c>
      <c r="F241" s="11" t="s">
        <v>470</v>
      </c>
      <c r="G241" s="11"/>
      <c r="H241" s="12" t="s">
        <v>471</v>
      </c>
      <c r="I241" s="13"/>
      <c r="J241" s="14" t="str">
        <f aca="false">IF(Tabla1[[#This Row],[Respuesta]]="","Sin respuesta","Respondido")</f>
        <v>Respondido</v>
      </c>
      <c r="K241" s="13"/>
    </row>
    <row r="242" customFormat="false" ht="57" hidden="false" customHeight="true" outlineLevel="0" collapsed="false">
      <c r="A242" s="10" t="n">
        <v>241</v>
      </c>
      <c r="B242" s="10" t="n">
        <v>132</v>
      </c>
      <c r="C242" s="10" t="s">
        <v>5</v>
      </c>
      <c r="D242" s="10" t="s">
        <v>453</v>
      </c>
      <c r="E242" s="10" t="s">
        <v>11</v>
      </c>
      <c r="F242" s="11" t="s">
        <v>472</v>
      </c>
      <c r="G242" s="11"/>
      <c r="H242" s="12" t="s">
        <v>473</v>
      </c>
      <c r="I242" s="13"/>
      <c r="J242" s="14" t="str">
        <f aca="false">IF(Tabla1[[#This Row],[Respuesta]]="","Sin respuesta","Respondido")</f>
        <v>Respondido</v>
      </c>
      <c r="K242" s="13"/>
    </row>
    <row r="243" customFormat="false" ht="57" hidden="false" customHeight="true" outlineLevel="0" collapsed="false">
      <c r="A243" s="10" t="n">
        <v>240</v>
      </c>
      <c r="B243" s="10" t="n">
        <v>131</v>
      </c>
      <c r="C243" s="10" t="s">
        <v>5</v>
      </c>
      <c r="D243" s="10" t="s">
        <v>453</v>
      </c>
      <c r="E243" s="10" t="s">
        <v>11</v>
      </c>
      <c r="F243" s="11" t="s">
        <v>474</v>
      </c>
      <c r="G243" s="11"/>
      <c r="H243" s="12" t="s">
        <v>460</v>
      </c>
      <c r="I243" s="13"/>
      <c r="J243" s="14" t="str">
        <f aca="false">IF(Tabla1[[#This Row],[Respuesta]]="","Sin respuesta","Respondido")</f>
        <v>Respondido</v>
      </c>
      <c r="K243" s="13"/>
    </row>
    <row r="244" customFormat="false" ht="57" hidden="false" customHeight="true" outlineLevel="0" collapsed="false">
      <c r="A244" s="10" t="n">
        <v>239</v>
      </c>
      <c r="B244" s="10" t="n">
        <v>130</v>
      </c>
      <c r="C244" s="10" t="s">
        <v>5</v>
      </c>
      <c r="D244" s="10" t="s">
        <v>453</v>
      </c>
      <c r="E244" s="10" t="s">
        <v>11</v>
      </c>
      <c r="F244" s="11" t="s">
        <v>475</v>
      </c>
      <c r="G244" s="11"/>
      <c r="H244" s="12" t="s">
        <v>460</v>
      </c>
      <c r="I244" s="13"/>
      <c r="J244" s="14" t="str">
        <f aca="false">IF(Tabla1[[#This Row],[Respuesta]]="","Sin respuesta","Respondido")</f>
        <v>Respondido</v>
      </c>
      <c r="K244" s="13"/>
    </row>
    <row r="245" customFormat="false" ht="57" hidden="false" customHeight="true" outlineLevel="0" collapsed="false">
      <c r="A245" s="10" t="n">
        <v>238</v>
      </c>
      <c r="B245" s="10" t="n">
        <v>129</v>
      </c>
      <c r="C245" s="10" t="s">
        <v>5</v>
      </c>
      <c r="D245" s="10" t="s">
        <v>453</v>
      </c>
      <c r="E245" s="10" t="s">
        <v>11</v>
      </c>
      <c r="F245" s="11" t="s">
        <v>476</v>
      </c>
      <c r="G245" s="11"/>
      <c r="H245" s="12" t="s">
        <v>460</v>
      </c>
      <c r="I245" s="13"/>
      <c r="J245" s="14" t="str">
        <f aca="false">IF(Tabla1[[#This Row],[Respuesta]]="","Sin respuesta","Respondido")</f>
        <v>Respondido</v>
      </c>
      <c r="K245" s="13"/>
    </row>
    <row r="246" customFormat="false" ht="57" hidden="false" customHeight="true" outlineLevel="0" collapsed="false">
      <c r="A246" s="10" t="n">
        <v>237</v>
      </c>
      <c r="B246" s="10" t="n">
        <v>128</v>
      </c>
      <c r="C246" s="10" t="s">
        <v>5</v>
      </c>
      <c r="D246" s="10" t="s">
        <v>453</v>
      </c>
      <c r="E246" s="10" t="s">
        <v>11</v>
      </c>
      <c r="F246" s="11" t="s">
        <v>477</v>
      </c>
      <c r="G246" s="11"/>
      <c r="H246" s="12" t="s">
        <v>478</v>
      </c>
      <c r="I246" s="13"/>
      <c r="J246" s="14" t="str">
        <f aca="false">IF(Tabla1[[#This Row],[Respuesta]]="","Sin respuesta","Respondido")</f>
        <v>Respondido</v>
      </c>
      <c r="K246" s="13"/>
    </row>
    <row r="247" customFormat="false" ht="57" hidden="false" customHeight="true" outlineLevel="0" collapsed="false">
      <c r="A247" s="10" t="n">
        <v>236</v>
      </c>
      <c r="B247" s="10" t="n">
        <v>127</v>
      </c>
      <c r="C247" s="10" t="s">
        <v>5</v>
      </c>
      <c r="D247" s="10" t="s">
        <v>453</v>
      </c>
      <c r="E247" s="10" t="s">
        <v>11</v>
      </c>
      <c r="F247" s="11" t="s">
        <v>479</v>
      </c>
      <c r="G247" s="11"/>
      <c r="H247" s="12" t="s">
        <v>480</v>
      </c>
      <c r="I247" s="13"/>
      <c r="J247" s="14" t="str">
        <f aca="false">IF(Tabla1[[#This Row],[Respuesta]]="","Sin respuesta","Respondido")</f>
        <v>Respondido</v>
      </c>
      <c r="K247" s="13"/>
    </row>
    <row r="248" customFormat="false" ht="57" hidden="false" customHeight="true" outlineLevel="0" collapsed="false">
      <c r="A248" s="10" t="n">
        <v>235</v>
      </c>
      <c r="B248" s="10" t="n">
        <v>126</v>
      </c>
      <c r="C248" s="10" t="s">
        <v>5</v>
      </c>
      <c r="D248" s="10" t="s">
        <v>453</v>
      </c>
      <c r="E248" s="10" t="s">
        <v>11</v>
      </c>
      <c r="F248" s="11" t="s">
        <v>481</v>
      </c>
      <c r="G248" s="11"/>
      <c r="H248" s="12" t="s">
        <v>471</v>
      </c>
      <c r="I248" s="13"/>
      <c r="J248" s="14" t="str">
        <f aca="false">IF(Tabla1[[#This Row],[Respuesta]]="","Sin respuesta","Respondido")</f>
        <v>Respondido</v>
      </c>
      <c r="K248" s="13"/>
    </row>
    <row r="249" customFormat="false" ht="57" hidden="false" customHeight="true" outlineLevel="0" collapsed="false">
      <c r="A249" s="10" t="n">
        <v>234</v>
      </c>
      <c r="B249" s="10" t="n">
        <v>125</v>
      </c>
      <c r="C249" s="10" t="s">
        <v>5</v>
      </c>
      <c r="D249" s="10" t="s">
        <v>453</v>
      </c>
      <c r="E249" s="10" t="s">
        <v>11</v>
      </c>
      <c r="F249" s="11" t="s">
        <v>482</v>
      </c>
      <c r="G249" s="11"/>
      <c r="H249" s="12" t="s">
        <v>483</v>
      </c>
      <c r="I249" s="13"/>
      <c r="J249" s="14" t="str">
        <f aca="false">IF(Tabla1[[#This Row],[Respuesta]]="","Sin respuesta","Respondido")</f>
        <v>Respondido</v>
      </c>
      <c r="K249" s="13"/>
    </row>
    <row r="250" customFormat="false" ht="57" hidden="false" customHeight="true" outlineLevel="0" collapsed="false">
      <c r="A250" s="10" t="n">
        <v>233</v>
      </c>
      <c r="B250" s="10" t="n">
        <v>124</v>
      </c>
      <c r="C250" s="10" t="s">
        <v>5</v>
      </c>
      <c r="D250" s="10" t="s">
        <v>453</v>
      </c>
      <c r="E250" s="10" t="s">
        <v>11</v>
      </c>
      <c r="F250" s="11" t="s">
        <v>484</v>
      </c>
      <c r="G250" s="11"/>
      <c r="H250" s="12" t="s">
        <v>485</v>
      </c>
      <c r="I250" s="13"/>
      <c r="J250" s="14" t="str">
        <f aca="false">IF(Tabla1[[#This Row],[Respuesta]]="","Sin respuesta","Respondido")</f>
        <v>Respondido</v>
      </c>
      <c r="K250" s="13"/>
    </row>
    <row r="251" customFormat="false" ht="57" hidden="false" customHeight="true" outlineLevel="0" collapsed="false">
      <c r="A251" s="10" t="n">
        <v>232</v>
      </c>
      <c r="B251" s="10" t="n">
        <v>123</v>
      </c>
      <c r="C251" s="10" t="s">
        <v>5</v>
      </c>
      <c r="D251" s="10" t="s">
        <v>453</v>
      </c>
      <c r="E251" s="10" t="s">
        <v>11</v>
      </c>
      <c r="F251" s="11" t="s">
        <v>486</v>
      </c>
      <c r="G251" s="11"/>
      <c r="H251" s="12" t="s">
        <v>487</v>
      </c>
      <c r="I251" s="13"/>
      <c r="J251" s="14" t="str">
        <f aca="false">IF(Tabla1[[#This Row],[Respuesta]]="","Sin respuesta","Respondido")</f>
        <v>Respondido</v>
      </c>
      <c r="K251" s="13"/>
    </row>
    <row r="252" customFormat="false" ht="57" hidden="false" customHeight="true" outlineLevel="0" collapsed="false">
      <c r="A252" s="10" t="n">
        <v>231</v>
      </c>
      <c r="B252" s="10" t="n">
        <v>122</v>
      </c>
      <c r="C252" s="10" t="s">
        <v>5</v>
      </c>
      <c r="D252" s="10" t="s">
        <v>453</v>
      </c>
      <c r="E252" s="10" t="s">
        <v>11</v>
      </c>
      <c r="F252" s="11" t="s">
        <v>488</v>
      </c>
      <c r="G252" s="11"/>
      <c r="H252" s="12" t="s">
        <v>483</v>
      </c>
      <c r="I252" s="13"/>
      <c r="J252" s="14" t="str">
        <f aca="false">IF(Tabla1[[#This Row],[Respuesta]]="","Sin respuesta","Respondido")</f>
        <v>Respondido</v>
      </c>
      <c r="K252" s="13"/>
    </row>
    <row r="253" customFormat="false" ht="57" hidden="false" customHeight="true" outlineLevel="0" collapsed="false">
      <c r="A253" s="10" t="n">
        <v>230</v>
      </c>
      <c r="B253" s="10" t="n">
        <v>121</v>
      </c>
      <c r="C253" s="10" t="s">
        <v>5</v>
      </c>
      <c r="D253" s="10" t="s">
        <v>453</v>
      </c>
      <c r="E253" s="10" t="s">
        <v>11</v>
      </c>
      <c r="F253" s="11" t="s">
        <v>489</v>
      </c>
      <c r="G253" s="11"/>
      <c r="H253" s="12" t="s">
        <v>485</v>
      </c>
      <c r="I253" s="13"/>
      <c r="J253" s="14" t="str">
        <f aca="false">IF(Tabla1[[#This Row],[Respuesta]]="","Sin respuesta","Respondido")</f>
        <v>Respondido</v>
      </c>
      <c r="K253" s="13"/>
    </row>
    <row r="254" customFormat="false" ht="57" hidden="false" customHeight="true" outlineLevel="0" collapsed="false">
      <c r="A254" s="10" t="n">
        <v>229</v>
      </c>
      <c r="B254" s="10" t="n">
        <v>120</v>
      </c>
      <c r="C254" s="10" t="s">
        <v>5</v>
      </c>
      <c r="D254" s="10" t="s">
        <v>453</v>
      </c>
      <c r="E254" s="10" t="s">
        <v>11</v>
      </c>
      <c r="F254" s="11" t="s">
        <v>490</v>
      </c>
      <c r="G254" s="11"/>
      <c r="H254" s="12" t="s">
        <v>491</v>
      </c>
      <c r="I254" s="13"/>
      <c r="J254" s="14" t="str">
        <f aca="false">IF(Tabla1[[#This Row],[Respuesta]]="","Sin respuesta","Respondido")</f>
        <v>Respondido</v>
      </c>
      <c r="K254" s="13"/>
    </row>
    <row r="255" customFormat="false" ht="57" hidden="false" customHeight="true" outlineLevel="0" collapsed="false">
      <c r="A255" s="10" t="n">
        <v>228</v>
      </c>
      <c r="B255" s="10" t="n">
        <v>119</v>
      </c>
      <c r="C255" s="10" t="s">
        <v>5</v>
      </c>
      <c r="D255" s="10" t="s">
        <v>453</v>
      </c>
      <c r="E255" s="10" t="s">
        <v>11</v>
      </c>
      <c r="F255" s="11" t="s">
        <v>492</v>
      </c>
      <c r="G255" s="11"/>
      <c r="H255" s="12" t="s">
        <v>493</v>
      </c>
      <c r="I255" s="13"/>
      <c r="J255" s="14" t="str">
        <f aca="false">IF(Tabla1[[#This Row],[Respuesta]]="","Sin respuesta","Respondido")</f>
        <v>Respondido</v>
      </c>
      <c r="K255" s="13"/>
    </row>
    <row r="256" customFormat="false" ht="57" hidden="false" customHeight="true" outlineLevel="0" collapsed="false">
      <c r="A256" s="10" t="n">
        <v>227</v>
      </c>
      <c r="B256" s="10" t="n">
        <v>118</v>
      </c>
      <c r="C256" s="10" t="s">
        <v>5</v>
      </c>
      <c r="D256" s="10" t="s">
        <v>453</v>
      </c>
      <c r="E256" s="10" t="s">
        <v>11</v>
      </c>
      <c r="F256" s="11" t="s">
        <v>494</v>
      </c>
      <c r="G256" s="11"/>
      <c r="H256" s="12" t="s">
        <v>483</v>
      </c>
      <c r="I256" s="13"/>
      <c r="J256" s="14" t="str">
        <f aca="false">IF(Tabla1[[#This Row],[Respuesta]]="","Sin respuesta","Respondido")</f>
        <v>Respondido</v>
      </c>
      <c r="K256" s="13"/>
    </row>
    <row r="257" customFormat="false" ht="103.5" hidden="false" customHeight="true" outlineLevel="0" collapsed="false">
      <c r="A257" s="10" t="n">
        <v>226</v>
      </c>
      <c r="B257" s="10" t="n">
        <v>117</v>
      </c>
      <c r="C257" s="10" t="s">
        <v>5</v>
      </c>
      <c r="D257" s="10" t="s">
        <v>453</v>
      </c>
      <c r="E257" s="10" t="s">
        <v>11</v>
      </c>
      <c r="F257" s="11" t="s">
        <v>495</v>
      </c>
      <c r="G257" s="11"/>
      <c r="H257" s="12" t="s">
        <v>471</v>
      </c>
      <c r="I257" s="13"/>
      <c r="J257" s="14" t="str">
        <f aca="false">IF(Tabla1[[#This Row],[Respuesta]]="","Sin respuesta","Respondido")</f>
        <v>Respondido</v>
      </c>
      <c r="K257" s="13"/>
    </row>
    <row r="258" customFormat="false" ht="78.75" hidden="false" customHeight="true" outlineLevel="0" collapsed="false">
      <c r="A258" s="10" t="n">
        <v>225</v>
      </c>
      <c r="B258" s="10" t="n">
        <v>116</v>
      </c>
      <c r="C258" s="10" t="s">
        <v>5</v>
      </c>
      <c r="D258" s="10" t="s">
        <v>453</v>
      </c>
      <c r="E258" s="10" t="s">
        <v>11</v>
      </c>
      <c r="F258" s="11" t="s">
        <v>496</v>
      </c>
      <c r="G258" s="11"/>
      <c r="H258" s="12" t="s">
        <v>493</v>
      </c>
      <c r="I258" s="13"/>
      <c r="J258" s="14" t="str">
        <f aca="false">IF(Tabla1[[#This Row],[Respuesta]]="","Sin respuesta","Respondido")</f>
        <v>Respondido</v>
      </c>
      <c r="K258" s="13"/>
    </row>
    <row r="259" customFormat="false" ht="57" hidden="false" customHeight="true" outlineLevel="0" collapsed="false">
      <c r="A259" s="10" t="n">
        <v>224</v>
      </c>
      <c r="B259" s="10" t="n">
        <v>115</v>
      </c>
      <c r="C259" s="10" t="s">
        <v>5</v>
      </c>
      <c r="D259" s="10" t="s">
        <v>453</v>
      </c>
      <c r="E259" s="10" t="s">
        <v>11</v>
      </c>
      <c r="F259" s="11" t="s">
        <v>497</v>
      </c>
      <c r="G259" s="11"/>
      <c r="H259" s="12" t="s">
        <v>498</v>
      </c>
      <c r="I259" s="13"/>
      <c r="J259" s="14" t="str">
        <f aca="false">IF(Tabla1[[#This Row],[Respuesta]]="","Sin respuesta","Respondido")</f>
        <v>Respondido</v>
      </c>
      <c r="K259" s="13"/>
    </row>
    <row r="260" customFormat="false" ht="17.9" hidden="false" customHeight="false" outlineLevel="0" collapsed="false">
      <c r="A260" s="10" t="n">
        <v>223</v>
      </c>
      <c r="B260" s="10" t="n">
        <v>114</v>
      </c>
      <c r="C260" s="10" t="s">
        <v>5</v>
      </c>
      <c r="D260" s="10" t="s">
        <v>453</v>
      </c>
      <c r="E260" s="10" t="s">
        <v>11</v>
      </c>
      <c r="F260" s="11" t="s">
        <v>499</v>
      </c>
      <c r="G260" s="11"/>
      <c r="H260" s="12" t="s">
        <v>493</v>
      </c>
      <c r="I260" s="13"/>
      <c r="J260" s="14" t="str">
        <f aca="false">IF(Tabla1[[#This Row],[Respuesta]]="","Sin respuesta","Respondido")</f>
        <v>Respondido</v>
      </c>
      <c r="K260" s="13"/>
    </row>
    <row r="261" customFormat="false" ht="131.25" hidden="false" customHeight="true" outlineLevel="0" collapsed="false">
      <c r="A261" s="10" t="n">
        <v>222</v>
      </c>
      <c r="B261" s="10" t="n">
        <v>113</v>
      </c>
      <c r="C261" s="10" t="s">
        <v>5</v>
      </c>
      <c r="D261" s="10" t="s">
        <v>453</v>
      </c>
      <c r="E261" s="10" t="s">
        <v>11</v>
      </c>
      <c r="F261" s="11" t="s">
        <v>500</v>
      </c>
      <c r="G261" s="11"/>
      <c r="H261" s="12" t="s">
        <v>498</v>
      </c>
      <c r="I261" s="13"/>
      <c r="J261" s="14" t="str">
        <f aca="false">IF(Tabla1[[#This Row],[Respuesta]]="","Sin respuesta","Respondido")</f>
        <v>Respondido</v>
      </c>
      <c r="K261" s="13"/>
    </row>
    <row r="262" customFormat="false" ht="57" hidden="false" customHeight="true" outlineLevel="0" collapsed="false">
      <c r="A262" s="10" t="n">
        <v>221</v>
      </c>
      <c r="B262" s="10" t="n">
        <v>112</v>
      </c>
      <c r="C262" s="10" t="s">
        <v>5</v>
      </c>
      <c r="D262" s="10" t="s">
        <v>453</v>
      </c>
      <c r="E262" s="10" t="s">
        <v>11</v>
      </c>
      <c r="F262" s="11" t="s">
        <v>501</v>
      </c>
      <c r="G262" s="11"/>
      <c r="H262" s="12" t="s">
        <v>502</v>
      </c>
      <c r="I262" s="13"/>
      <c r="J262" s="14" t="str">
        <f aca="false">IF(Tabla1[[#This Row],[Respuesta]]="","Sin respuesta","Respondido")</f>
        <v>Respondido</v>
      </c>
      <c r="K262" s="13"/>
    </row>
    <row r="263" customFormat="false" ht="57" hidden="false" customHeight="true" outlineLevel="0" collapsed="false">
      <c r="A263" s="10" t="n">
        <v>220</v>
      </c>
      <c r="B263" s="10" t="n">
        <v>111</v>
      </c>
      <c r="C263" s="10" t="s">
        <v>5</v>
      </c>
      <c r="D263" s="10" t="s">
        <v>453</v>
      </c>
      <c r="E263" s="10" t="s">
        <v>11</v>
      </c>
      <c r="F263" s="11" t="s">
        <v>503</v>
      </c>
      <c r="G263" s="11"/>
      <c r="H263" s="12" t="s">
        <v>502</v>
      </c>
      <c r="I263" s="13"/>
      <c r="J263" s="14" t="str">
        <f aca="false">IF(Tabla1[[#This Row],[Respuesta]]="","Sin respuesta","Respondido")</f>
        <v>Respondido</v>
      </c>
      <c r="K263" s="13"/>
    </row>
    <row r="264" customFormat="false" ht="57" hidden="false" customHeight="true" outlineLevel="0" collapsed="false">
      <c r="A264" s="10" t="n">
        <v>219</v>
      </c>
      <c r="B264" s="10" t="n">
        <v>110</v>
      </c>
      <c r="C264" s="10" t="s">
        <v>5</v>
      </c>
      <c r="D264" s="10" t="s">
        <v>453</v>
      </c>
      <c r="E264" s="10" t="s">
        <v>11</v>
      </c>
      <c r="F264" s="11" t="s">
        <v>504</v>
      </c>
      <c r="G264" s="11"/>
      <c r="H264" s="12" t="s">
        <v>302</v>
      </c>
      <c r="I264" s="13"/>
      <c r="J264" s="14" t="str">
        <f aca="false">IF(Tabla1[[#This Row],[Respuesta]]="","Sin respuesta","Respondido")</f>
        <v>Respondido</v>
      </c>
      <c r="K264" s="13"/>
    </row>
    <row r="265" customFormat="false" ht="65.25" hidden="false" customHeight="true" outlineLevel="0" collapsed="false">
      <c r="A265" s="10" t="n">
        <v>218</v>
      </c>
      <c r="B265" s="10" t="n">
        <v>109</v>
      </c>
      <c r="C265" s="10" t="s">
        <v>5</v>
      </c>
      <c r="D265" s="10" t="s">
        <v>453</v>
      </c>
      <c r="E265" s="10" t="s">
        <v>11</v>
      </c>
      <c r="F265" s="11" t="s">
        <v>505</v>
      </c>
      <c r="G265" s="11"/>
      <c r="H265" s="12" t="s">
        <v>506</v>
      </c>
      <c r="I265" s="13"/>
      <c r="J265" s="14" t="str">
        <f aca="false">IF(Tabla1[[#This Row],[Respuesta]]="","Sin respuesta","Respondido")</f>
        <v>Respondido</v>
      </c>
      <c r="K265" s="13"/>
    </row>
    <row r="266" customFormat="false" ht="115.5" hidden="false" customHeight="true" outlineLevel="0" collapsed="false">
      <c r="A266" s="10" t="n">
        <v>217</v>
      </c>
      <c r="B266" s="10" t="n">
        <v>108</v>
      </c>
      <c r="C266" s="10" t="s">
        <v>5</v>
      </c>
      <c r="D266" s="10" t="s">
        <v>453</v>
      </c>
      <c r="E266" s="10" t="s">
        <v>11</v>
      </c>
      <c r="F266" s="11" t="s">
        <v>507</v>
      </c>
      <c r="G266" s="11"/>
      <c r="H266" s="12" t="s">
        <v>485</v>
      </c>
      <c r="I266" s="13"/>
      <c r="J266" s="14" t="str">
        <f aca="false">IF(Tabla1[[#This Row],[Respuesta]]="","Sin respuesta","Respondido")</f>
        <v>Respondido</v>
      </c>
      <c r="K266" s="13"/>
    </row>
    <row r="267" customFormat="false" ht="75" hidden="false" customHeight="true" outlineLevel="0" collapsed="false">
      <c r="A267" s="10" t="n">
        <v>216</v>
      </c>
      <c r="B267" s="10" t="n">
        <v>107</v>
      </c>
      <c r="C267" s="10" t="s">
        <v>5</v>
      </c>
      <c r="D267" s="10" t="s">
        <v>453</v>
      </c>
      <c r="E267" s="10" t="s">
        <v>11</v>
      </c>
      <c r="F267" s="11" t="s">
        <v>508</v>
      </c>
      <c r="G267" s="11"/>
      <c r="H267" s="12" t="s">
        <v>509</v>
      </c>
      <c r="I267" s="13"/>
      <c r="J267" s="14" t="str">
        <f aca="false">IF(Tabla1[[#This Row],[Respuesta]]="","Sin respuesta","Respondido")</f>
        <v>Respondido</v>
      </c>
      <c r="K267" s="13"/>
    </row>
    <row r="268" customFormat="false" ht="17.9" hidden="false" customHeight="false" outlineLevel="0" collapsed="false">
      <c r="A268" s="10" t="n">
        <v>215</v>
      </c>
      <c r="B268" s="10" t="n">
        <v>106</v>
      </c>
      <c r="C268" s="10" t="s">
        <v>5</v>
      </c>
      <c r="D268" s="10" t="s">
        <v>453</v>
      </c>
      <c r="E268" s="10" t="s">
        <v>11</v>
      </c>
      <c r="F268" s="11" t="s">
        <v>510</v>
      </c>
      <c r="G268" s="11"/>
      <c r="H268" s="12" t="s">
        <v>502</v>
      </c>
      <c r="I268" s="13"/>
      <c r="J268" s="14" t="str">
        <f aca="false">IF(Tabla1[[#This Row],[Respuesta]]="","Sin respuesta","Respondido")</f>
        <v>Respondido</v>
      </c>
      <c r="K268" s="13"/>
    </row>
    <row r="269" customFormat="false" ht="87" hidden="false" customHeight="true" outlineLevel="0" collapsed="false">
      <c r="A269" s="10" t="n">
        <v>214</v>
      </c>
      <c r="B269" s="10" t="n">
        <v>105</v>
      </c>
      <c r="C269" s="10" t="s">
        <v>5</v>
      </c>
      <c r="D269" s="10" t="s">
        <v>453</v>
      </c>
      <c r="E269" s="10" t="s">
        <v>11</v>
      </c>
      <c r="F269" s="11" t="s">
        <v>511</v>
      </c>
      <c r="G269" s="11"/>
      <c r="H269" s="12" t="s">
        <v>512</v>
      </c>
      <c r="I269" s="13"/>
      <c r="J269" s="14" t="str">
        <f aca="false">IF(Tabla1[[#This Row],[Respuesta]]="","Sin respuesta","Respondido")</f>
        <v>Respondido</v>
      </c>
      <c r="K269" s="13"/>
    </row>
    <row r="270" customFormat="false" ht="57" hidden="false" customHeight="true" outlineLevel="0" collapsed="false">
      <c r="A270" s="10" t="n">
        <v>213</v>
      </c>
      <c r="B270" s="10" t="n">
        <v>104</v>
      </c>
      <c r="C270" s="10" t="s">
        <v>5</v>
      </c>
      <c r="D270" s="10" t="s">
        <v>453</v>
      </c>
      <c r="E270" s="10" t="s">
        <v>11</v>
      </c>
      <c r="F270" s="11" t="s">
        <v>513</v>
      </c>
      <c r="G270" s="11"/>
      <c r="H270" s="12" t="s">
        <v>514</v>
      </c>
      <c r="I270" s="13"/>
      <c r="J270" s="14" t="str">
        <f aca="false">IF(Tabla1[[#This Row],[Respuesta]]="","Sin respuesta","Respondido")</f>
        <v>Respondido</v>
      </c>
      <c r="K270" s="13"/>
    </row>
    <row r="271" customFormat="false" ht="57" hidden="false" customHeight="true" outlineLevel="0" collapsed="false">
      <c r="A271" s="10" t="n">
        <v>212</v>
      </c>
      <c r="B271" s="10" t="n">
        <v>103</v>
      </c>
      <c r="C271" s="10" t="s">
        <v>5</v>
      </c>
      <c r="D271" s="10" t="s">
        <v>453</v>
      </c>
      <c r="E271" s="10" t="s">
        <v>11</v>
      </c>
      <c r="F271" s="11" t="s">
        <v>515</v>
      </c>
      <c r="G271" s="11"/>
      <c r="H271" s="12" t="s">
        <v>516</v>
      </c>
      <c r="I271" s="13"/>
      <c r="J271" s="14" t="str">
        <f aca="false">IF(Tabla1[[#This Row],[Respuesta]]="","Sin respuesta","Respondido")</f>
        <v>Respondido</v>
      </c>
      <c r="K271" s="13"/>
    </row>
    <row r="272" customFormat="false" ht="57" hidden="false" customHeight="true" outlineLevel="0" collapsed="false">
      <c r="A272" s="10" t="n">
        <v>211</v>
      </c>
      <c r="B272" s="10" t="n">
        <v>102</v>
      </c>
      <c r="C272" s="10" t="s">
        <v>5</v>
      </c>
      <c r="D272" s="10" t="s">
        <v>453</v>
      </c>
      <c r="E272" s="10" t="s">
        <v>11</v>
      </c>
      <c r="F272" s="11" t="s">
        <v>517</v>
      </c>
      <c r="G272" s="11"/>
      <c r="H272" s="12" t="s">
        <v>518</v>
      </c>
      <c r="I272" s="13"/>
      <c r="J272" s="14" t="str">
        <f aca="false">IF(Tabla1[[#This Row],[Respuesta]]="","Sin respuesta","Respondido")</f>
        <v>Respondido</v>
      </c>
      <c r="K272" s="13"/>
    </row>
    <row r="273" customFormat="false" ht="57" hidden="false" customHeight="true" outlineLevel="0" collapsed="false">
      <c r="A273" s="10" t="n">
        <v>210</v>
      </c>
      <c r="B273" s="10" t="n">
        <v>101</v>
      </c>
      <c r="C273" s="10" t="s">
        <v>5</v>
      </c>
      <c r="D273" s="10" t="s">
        <v>453</v>
      </c>
      <c r="E273" s="10" t="s">
        <v>11</v>
      </c>
      <c r="F273" s="11" t="s">
        <v>519</v>
      </c>
      <c r="G273" s="11"/>
      <c r="H273" s="12" t="s">
        <v>502</v>
      </c>
      <c r="I273" s="13"/>
      <c r="J273" s="14" t="str">
        <f aca="false">IF(Tabla1[[#This Row],[Respuesta]]="","Sin respuesta","Respondido")</f>
        <v>Respondido</v>
      </c>
      <c r="K273" s="13"/>
    </row>
    <row r="274" customFormat="false" ht="57" hidden="false" customHeight="true" outlineLevel="0" collapsed="false">
      <c r="A274" s="10" t="n">
        <v>209</v>
      </c>
      <c r="B274" s="10" t="n">
        <v>100</v>
      </c>
      <c r="C274" s="10" t="s">
        <v>5</v>
      </c>
      <c r="D274" s="10" t="s">
        <v>453</v>
      </c>
      <c r="E274" s="10" t="s">
        <v>11</v>
      </c>
      <c r="F274" s="11" t="s">
        <v>520</v>
      </c>
      <c r="G274" s="11"/>
      <c r="H274" s="12" t="s">
        <v>502</v>
      </c>
      <c r="I274" s="13"/>
      <c r="J274" s="14" t="str">
        <f aca="false">IF(Tabla1[[#This Row],[Respuesta]]="","Sin respuesta","Respondido")</f>
        <v>Respondido</v>
      </c>
      <c r="K274" s="13"/>
    </row>
    <row r="275" customFormat="false" ht="78.75" hidden="false" customHeight="true" outlineLevel="0" collapsed="false">
      <c r="A275" s="10" t="n">
        <v>208</v>
      </c>
      <c r="B275" s="10" t="n">
        <v>99</v>
      </c>
      <c r="C275" s="10" t="s">
        <v>5</v>
      </c>
      <c r="D275" s="10" t="s">
        <v>453</v>
      </c>
      <c r="E275" s="10" t="s">
        <v>11</v>
      </c>
      <c r="F275" s="11" t="s">
        <v>521</v>
      </c>
      <c r="G275" s="11"/>
      <c r="H275" s="12" t="s">
        <v>502</v>
      </c>
      <c r="I275" s="13"/>
      <c r="J275" s="14" t="str">
        <f aca="false">IF(Tabla1[[#This Row],[Respuesta]]="","Sin respuesta","Respondido")</f>
        <v>Respondido</v>
      </c>
      <c r="K275" s="13"/>
    </row>
    <row r="276" customFormat="false" ht="75.75" hidden="false" customHeight="true" outlineLevel="0" collapsed="false">
      <c r="A276" s="10" t="n">
        <v>207</v>
      </c>
      <c r="B276" s="10" t="n">
        <v>98</v>
      </c>
      <c r="C276" s="10" t="s">
        <v>5</v>
      </c>
      <c r="D276" s="10" t="s">
        <v>453</v>
      </c>
      <c r="E276" s="10" t="s">
        <v>11</v>
      </c>
      <c r="F276" s="11" t="s">
        <v>522</v>
      </c>
      <c r="G276" s="11"/>
      <c r="H276" s="12" t="s">
        <v>72</v>
      </c>
      <c r="I276" s="13"/>
      <c r="J276" s="14" t="str">
        <f aca="false">IF(Tabla1[[#This Row],[Respuesta]]="","Sin respuesta","Respondido")</f>
        <v>Respondido</v>
      </c>
      <c r="K276" s="13"/>
    </row>
    <row r="277" customFormat="false" ht="57" hidden="false" customHeight="true" outlineLevel="0" collapsed="false">
      <c r="A277" s="10" t="n">
        <v>206</v>
      </c>
      <c r="B277" s="10" t="n">
        <v>97</v>
      </c>
      <c r="C277" s="10" t="s">
        <v>5</v>
      </c>
      <c r="D277" s="10" t="s">
        <v>453</v>
      </c>
      <c r="E277" s="10" t="s">
        <v>11</v>
      </c>
      <c r="F277" s="11" t="s">
        <v>523</v>
      </c>
      <c r="G277" s="11"/>
      <c r="H277" s="17" t="s">
        <v>524</v>
      </c>
      <c r="I277" s="13"/>
      <c r="J277" s="14" t="str">
        <f aca="false">IF(Tabla1[[#This Row],[Respuesta]]="","Sin respuesta","Respondido")</f>
        <v>Respondido</v>
      </c>
      <c r="K277" s="13"/>
    </row>
    <row r="278" customFormat="false" ht="57" hidden="false" customHeight="true" outlineLevel="0" collapsed="false">
      <c r="A278" s="10" t="n">
        <v>205</v>
      </c>
      <c r="B278" s="10" t="n">
        <v>96</v>
      </c>
      <c r="C278" s="10" t="s">
        <v>5</v>
      </c>
      <c r="D278" s="10" t="s">
        <v>453</v>
      </c>
      <c r="E278" s="10" t="s">
        <v>11</v>
      </c>
      <c r="F278" s="11" t="s">
        <v>525</v>
      </c>
      <c r="G278" s="11"/>
      <c r="H278" s="12" t="s">
        <v>526</v>
      </c>
      <c r="I278" s="13"/>
      <c r="J278" s="14" t="str">
        <f aca="false">IF(Tabla1[[#This Row],[Respuesta]]="","Sin respuesta","Respondido")</f>
        <v>Respondido</v>
      </c>
      <c r="K278" s="13"/>
    </row>
    <row r="279" customFormat="false" ht="72" hidden="false" customHeight="true" outlineLevel="0" collapsed="false">
      <c r="A279" s="10" t="n">
        <v>204</v>
      </c>
      <c r="B279" s="10" t="n">
        <v>95</v>
      </c>
      <c r="C279" s="10" t="s">
        <v>5</v>
      </c>
      <c r="D279" s="10" t="s">
        <v>453</v>
      </c>
      <c r="E279" s="10" t="s">
        <v>11</v>
      </c>
      <c r="F279" s="11" t="s">
        <v>527</v>
      </c>
      <c r="G279" s="11"/>
      <c r="H279" s="18" t="s">
        <v>524</v>
      </c>
      <c r="I279" s="13"/>
      <c r="J279" s="14" t="str">
        <f aca="false">IF(Tabla1[[#This Row],[Respuesta]]="","Sin respuesta","Respondido")</f>
        <v>Respondido</v>
      </c>
      <c r="K279" s="13"/>
    </row>
    <row r="280" customFormat="false" ht="57" hidden="false" customHeight="true" outlineLevel="0" collapsed="false">
      <c r="A280" s="10" t="n">
        <v>203</v>
      </c>
      <c r="B280" s="10" t="n">
        <v>94</v>
      </c>
      <c r="C280" s="10" t="s">
        <v>5</v>
      </c>
      <c r="D280" s="10" t="s">
        <v>453</v>
      </c>
      <c r="E280" s="10" t="s">
        <v>11</v>
      </c>
      <c r="F280" s="11" t="s">
        <v>528</v>
      </c>
      <c r="G280" s="11"/>
      <c r="H280" s="12" t="s">
        <v>529</v>
      </c>
      <c r="I280" s="13"/>
      <c r="J280" s="14" t="str">
        <f aca="false">IF(Tabla1[[#This Row],[Respuesta]]="","Sin respuesta","Respondido")</f>
        <v>Respondido</v>
      </c>
      <c r="K280" s="13"/>
    </row>
    <row r="281" customFormat="false" ht="57" hidden="false" customHeight="true" outlineLevel="0" collapsed="false">
      <c r="A281" s="10" t="n">
        <v>202</v>
      </c>
      <c r="B281" s="10" t="n">
        <v>93</v>
      </c>
      <c r="C281" s="10" t="s">
        <v>5</v>
      </c>
      <c r="D281" s="10" t="s">
        <v>453</v>
      </c>
      <c r="E281" s="10" t="s">
        <v>11</v>
      </c>
      <c r="F281" s="11" t="s">
        <v>530</v>
      </c>
      <c r="G281" s="11"/>
      <c r="H281" s="12" t="s">
        <v>531</v>
      </c>
      <c r="I281" s="13"/>
      <c r="J281" s="14" t="str">
        <f aca="false">IF(Tabla1[[#This Row],[Respuesta]]="","Sin respuesta","Respondido")</f>
        <v>Respondido</v>
      </c>
      <c r="K281" s="13"/>
    </row>
    <row r="282" customFormat="false" ht="72" hidden="false" customHeight="true" outlineLevel="0" collapsed="false">
      <c r="A282" s="10" t="n">
        <v>201</v>
      </c>
      <c r="B282" s="10" t="n">
        <v>92</v>
      </c>
      <c r="C282" s="10" t="s">
        <v>5</v>
      </c>
      <c r="D282" s="10" t="s">
        <v>453</v>
      </c>
      <c r="E282" s="10" t="s">
        <v>11</v>
      </c>
      <c r="F282" s="11" t="s">
        <v>532</v>
      </c>
      <c r="G282" s="11"/>
      <c r="H282" s="12" t="s">
        <v>533</v>
      </c>
      <c r="I282" s="13"/>
      <c r="J282" s="14" t="str">
        <f aca="false">IF(Tabla1[[#This Row],[Respuesta]]="","Sin respuesta","Respondido")</f>
        <v>Respondido</v>
      </c>
      <c r="K282" s="13"/>
    </row>
    <row r="283" customFormat="false" ht="81.75" hidden="false" customHeight="true" outlineLevel="0" collapsed="false">
      <c r="A283" s="10" t="n">
        <v>200</v>
      </c>
      <c r="B283" s="10" t="n">
        <v>91</v>
      </c>
      <c r="C283" s="10" t="s">
        <v>5</v>
      </c>
      <c r="D283" s="10" t="s">
        <v>453</v>
      </c>
      <c r="E283" s="10" t="s">
        <v>11</v>
      </c>
      <c r="F283" s="11" t="s">
        <v>534</v>
      </c>
      <c r="G283" s="11"/>
      <c r="H283" s="18" t="s">
        <v>524</v>
      </c>
      <c r="I283" s="13"/>
      <c r="J283" s="14" t="str">
        <f aca="false">IF(Tabla1[[#This Row],[Respuesta]]="","Sin respuesta","Respondido")</f>
        <v>Respondido</v>
      </c>
      <c r="K283" s="13"/>
    </row>
    <row r="284" customFormat="false" ht="57" hidden="false" customHeight="true" outlineLevel="0" collapsed="false">
      <c r="A284" s="10" t="n">
        <v>199</v>
      </c>
      <c r="B284" s="10" t="n">
        <v>90</v>
      </c>
      <c r="C284" s="10" t="s">
        <v>5</v>
      </c>
      <c r="D284" s="10" t="s">
        <v>453</v>
      </c>
      <c r="E284" s="10" t="s">
        <v>11</v>
      </c>
      <c r="F284" s="11" t="s">
        <v>535</v>
      </c>
      <c r="G284" s="11"/>
      <c r="H284" s="18" t="s">
        <v>524</v>
      </c>
      <c r="I284" s="13"/>
      <c r="J284" s="14" t="str">
        <f aca="false">IF(Tabla1[[#This Row],[Respuesta]]="","Sin respuesta","Respondido")</f>
        <v>Respondido</v>
      </c>
      <c r="K284" s="13"/>
    </row>
    <row r="285" customFormat="false" ht="76.5" hidden="false" customHeight="true" outlineLevel="0" collapsed="false">
      <c r="A285" s="10" t="n">
        <v>198</v>
      </c>
      <c r="B285" s="10" t="n">
        <v>89</v>
      </c>
      <c r="C285" s="10" t="s">
        <v>5</v>
      </c>
      <c r="D285" s="10" t="s">
        <v>453</v>
      </c>
      <c r="E285" s="10" t="s">
        <v>11</v>
      </c>
      <c r="F285" s="11" t="s">
        <v>536</v>
      </c>
      <c r="G285" s="11"/>
      <c r="H285" s="18" t="s">
        <v>524</v>
      </c>
      <c r="I285" s="13"/>
      <c r="J285" s="14" t="str">
        <f aca="false">IF(Tabla1[[#This Row],[Respuesta]]="","Sin respuesta","Respondido")</f>
        <v>Respondido</v>
      </c>
      <c r="K285" s="13"/>
    </row>
    <row r="286" customFormat="false" ht="34.3" hidden="false" customHeight="false" outlineLevel="0" collapsed="false">
      <c r="A286" s="10" t="n">
        <v>197</v>
      </c>
      <c r="B286" s="10" t="n">
        <v>88</v>
      </c>
      <c r="C286" s="10" t="s">
        <v>5</v>
      </c>
      <c r="D286" s="10" t="s">
        <v>453</v>
      </c>
      <c r="E286" s="10" t="s">
        <v>11</v>
      </c>
      <c r="F286" s="11" t="s">
        <v>537</v>
      </c>
      <c r="G286" s="11"/>
      <c r="H286" s="12" t="s">
        <v>538</v>
      </c>
      <c r="I286" s="13"/>
      <c r="J286" s="14" t="str">
        <f aca="false">IF(Tabla1[[#This Row],[Respuesta]]="","Sin respuesta","Respondido")</f>
        <v>Respondido</v>
      </c>
      <c r="K286" s="13"/>
    </row>
    <row r="287" customFormat="false" ht="17.9" hidden="false" customHeight="false" outlineLevel="0" collapsed="false">
      <c r="A287" s="10" t="n">
        <v>196</v>
      </c>
      <c r="B287" s="10" t="n">
        <v>87</v>
      </c>
      <c r="C287" s="10" t="s">
        <v>5</v>
      </c>
      <c r="D287" s="10" t="s">
        <v>453</v>
      </c>
      <c r="E287" s="10" t="s">
        <v>11</v>
      </c>
      <c r="F287" s="11" t="s">
        <v>539</v>
      </c>
      <c r="G287" s="11"/>
      <c r="H287" s="18" t="s">
        <v>524</v>
      </c>
      <c r="I287" s="13"/>
      <c r="J287" s="14" t="str">
        <f aca="false">IF(Tabla1[[#This Row],[Respuesta]]="","Sin respuesta","Respondido")</f>
        <v>Respondido</v>
      </c>
      <c r="K287" s="13"/>
    </row>
    <row r="288" customFormat="false" ht="81.75" hidden="false" customHeight="true" outlineLevel="0" collapsed="false">
      <c r="A288" s="10" t="n">
        <v>195</v>
      </c>
      <c r="B288" s="10" t="n">
        <v>86</v>
      </c>
      <c r="C288" s="10" t="s">
        <v>5</v>
      </c>
      <c r="D288" s="10" t="s">
        <v>453</v>
      </c>
      <c r="E288" s="10" t="s">
        <v>11</v>
      </c>
      <c r="F288" s="11" t="s">
        <v>540</v>
      </c>
      <c r="G288" s="11"/>
      <c r="H288" s="18" t="s">
        <v>524</v>
      </c>
      <c r="I288" s="13"/>
      <c r="J288" s="14" t="str">
        <f aca="false">IF(Tabla1[[#This Row],[Respuesta]]="","Sin respuesta","Respondido")</f>
        <v>Respondido</v>
      </c>
      <c r="K288" s="13"/>
    </row>
    <row r="289" customFormat="false" ht="128.25" hidden="false" customHeight="true" outlineLevel="0" collapsed="false">
      <c r="A289" s="10" t="n">
        <v>194</v>
      </c>
      <c r="B289" s="10" t="n">
        <v>85</v>
      </c>
      <c r="C289" s="10" t="s">
        <v>5</v>
      </c>
      <c r="D289" s="10" t="s">
        <v>453</v>
      </c>
      <c r="E289" s="10" t="s">
        <v>11</v>
      </c>
      <c r="F289" s="11" t="s">
        <v>541</v>
      </c>
      <c r="G289" s="11"/>
      <c r="H289" s="12" t="s">
        <v>542</v>
      </c>
      <c r="I289" s="13"/>
      <c r="J289" s="14" t="str">
        <f aca="false">IF(Tabla1[[#This Row],[Respuesta]]="","Sin respuesta","Respondido")</f>
        <v>Respondido</v>
      </c>
      <c r="K289" s="13"/>
    </row>
    <row r="290" customFormat="false" ht="34.3" hidden="false" customHeight="false" outlineLevel="0" collapsed="false">
      <c r="A290" s="10" t="n">
        <v>193</v>
      </c>
      <c r="B290" s="10" t="n">
        <v>84</v>
      </c>
      <c r="C290" s="10" t="s">
        <v>5</v>
      </c>
      <c r="D290" s="10" t="s">
        <v>453</v>
      </c>
      <c r="E290" s="10" t="s">
        <v>11</v>
      </c>
      <c r="F290" s="11" t="s">
        <v>543</v>
      </c>
      <c r="G290" s="11"/>
      <c r="H290" s="18" t="s">
        <v>524</v>
      </c>
      <c r="I290" s="13"/>
      <c r="J290" s="14" t="str">
        <f aca="false">IF(Tabla1[[#This Row],[Respuesta]]="","Sin respuesta","Respondido")</f>
        <v>Respondido</v>
      </c>
      <c r="K290" s="13"/>
    </row>
    <row r="291" customFormat="false" ht="17.9" hidden="false" customHeight="false" outlineLevel="0" collapsed="false">
      <c r="A291" s="10" t="n">
        <v>192</v>
      </c>
      <c r="B291" s="10" t="n">
        <v>83</v>
      </c>
      <c r="C291" s="10" t="s">
        <v>5</v>
      </c>
      <c r="D291" s="10" t="s">
        <v>453</v>
      </c>
      <c r="E291" s="10" t="s">
        <v>11</v>
      </c>
      <c r="F291" s="11" t="s">
        <v>544</v>
      </c>
      <c r="G291" s="11"/>
      <c r="H291" s="18" t="s">
        <v>524</v>
      </c>
      <c r="I291" s="13"/>
      <c r="J291" s="14" t="str">
        <f aca="false">IF(Tabla1[[#This Row],[Respuesta]]="","Sin respuesta","Respondido")</f>
        <v>Respondido</v>
      </c>
      <c r="K291" s="13"/>
    </row>
    <row r="292" customFormat="false" ht="50.7" hidden="false" customHeight="false" outlineLevel="0" collapsed="false">
      <c r="A292" s="10" t="n">
        <v>191</v>
      </c>
      <c r="B292" s="10" t="n">
        <v>82</v>
      </c>
      <c r="C292" s="10" t="s">
        <v>5</v>
      </c>
      <c r="D292" s="10" t="s">
        <v>453</v>
      </c>
      <c r="E292" s="10" t="s">
        <v>11</v>
      </c>
      <c r="F292" s="11" t="s">
        <v>545</v>
      </c>
      <c r="G292" s="11"/>
      <c r="H292" s="12" t="s">
        <v>546</v>
      </c>
      <c r="I292" s="13"/>
      <c r="J292" s="14" t="str">
        <f aca="false">IF(Tabla1[[#This Row],[Respuesta]]="","Sin respuesta","Respondido")</f>
        <v>Respondido</v>
      </c>
      <c r="K292" s="13"/>
    </row>
    <row r="293" customFormat="false" ht="17.9" hidden="false" customHeight="false" outlineLevel="0" collapsed="false">
      <c r="A293" s="10" t="n">
        <v>190</v>
      </c>
      <c r="B293" s="10" t="n">
        <v>81</v>
      </c>
      <c r="C293" s="10" t="s">
        <v>5</v>
      </c>
      <c r="D293" s="10" t="s">
        <v>453</v>
      </c>
      <c r="E293" s="10" t="s">
        <v>11</v>
      </c>
      <c r="F293" s="11" t="s">
        <v>547</v>
      </c>
      <c r="G293" s="11"/>
      <c r="H293" s="18" t="s">
        <v>524</v>
      </c>
      <c r="I293" s="13"/>
      <c r="J293" s="14" t="str">
        <f aca="false">IF(Tabla1[[#This Row],[Respuesta]]="","Sin respuesta","Respondido")</f>
        <v>Respondido</v>
      </c>
      <c r="K293" s="13"/>
    </row>
    <row r="294" customFormat="false" ht="79.5" hidden="false" customHeight="true" outlineLevel="0" collapsed="false">
      <c r="A294" s="10" t="n">
        <v>189</v>
      </c>
      <c r="B294" s="10" t="n">
        <v>80</v>
      </c>
      <c r="C294" s="10" t="s">
        <v>5</v>
      </c>
      <c r="D294" s="10" t="s">
        <v>453</v>
      </c>
      <c r="E294" s="10" t="s">
        <v>11</v>
      </c>
      <c r="F294" s="11" t="s">
        <v>548</v>
      </c>
      <c r="G294" s="11"/>
      <c r="H294" s="18" t="s">
        <v>524</v>
      </c>
      <c r="I294" s="13"/>
      <c r="J294" s="14" t="str">
        <f aca="false">IF(Tabla1[[#This Row],[Respuesta]]="","Sin respuesta","Respondido")</f>
        <v>Respondido</v>
      </c>
      <c r="K294" s="13"/>
    </row>
    <row r="295" customFormat="false" ht="122.25" hidden="false" customHeight="true" outlineLevel="0" collapsed="false">
      <c r="A295" s="10" t="n">
        <v>188</v>
      </c>
      <c r="B295" s="10" t="n">
        <v>79</v>
      </c>
      <c r="C295" s="10" t="s">
        <v>5</v>
      </c>
      <c r="D295" s="10" t="s">
        <v>453</v>
      </c>
      <c r="E295" s="10" t="s">
        <v>11</v>
      </c>
      <c r="F295" s="11" t="s">
        <v>549</v>
      </c>
      <c r="G295" s="11"/>
      <c r="H295" s="12" t="s">
        <v>550</v>
      </c>
      <c r="I295" s="13"/>
      <c r="J295" s="14" t="str">
        <f aca="false">IF(Tabla1[[#This Row],[Respuesta]]="","Sin respuesta","Respondido")</f>
        <v>Respondido</v>
      </c>
      <c r="K295" s="13"/>
    </row>
    <row r="296" customFormat="false" ht="142.5" hidden="false" customHeight="true" outlineLevel="0" collapsed="false">
      <c r="A296" s="10" t="n">
        <v>187</v>
      </c>
      <c r="B296" s="10" t="n">
        <v>78</v>
      </c>
      <c r="C296" s="10" t="s">
        <v>5</v>
      </c>
      <c r="D296" s="10" t="s">
        <v>453</v>
      </c>
      <c r="E296" s="10" t="s">
        <v>11</v>
      </c>
      <c r="F296" s="11" t="s">
        <v>551</v>
      </c>
      <c r="G296" s="11"/>
      <c r="H296" s="18" t="s">
        <v>524</v>
      </c>
      <c r="I296" s="13"/>
      <c r="J296" s="14" t="str">
        <f aca="false">IF(Tabla1[[#This Row],[Respuesta]]="","Sin respuesta","Respondido")</f>
        <v>Respondido</v>
      </c>
      <c r="K296" s="13"/>
    </row>
    <row r="297" customFormat="false" ht="103.5" hidden="false" customHeight="true" outlineLevel="0" collapsed="false">
      <c r="A297" s="10" t="n">
        <v>186</v>
      </c>
      <c r="B297" s="10" t="n">
        <v>77</v>
      </c>
      <c r="C297" s="10" t="s">
        <v>5</v>
      </c>
      <c r="D297" s="10" t="s">
        <v>453</v>
      </c>
      <c r="E297" s="10" t="s">
        <v>11</v>
      </c>
      <c r="F297" s="11" t="s">
        <v>552</v>
      </c>
      <c r="G297" s="11"/>
      <c r="H297" s="12" t="s">
        <v>553</v>
      </c>
      <c r="I297" s="13"/>
      <c r="J297" s="14" t="str">
        <f aca="false">IF(Tabla1[[#This Row],[Respuesta]]="","Sin respuesta","Respondido")</f>
        <v>Respondido</v>
      </c>
      <c r="K297" s="13"/>
    </row>
    <row r="298" customFormat="false" ht="34.3" hidden="false" customHeight="false" outlineLevel="0" collapsed="false">
      <c r="A298" s="10" t="n">
        <v>185</v>
      </c>
      <c r="B298" s="10" t="n">
        <v>76</v>
      </c>
      <c r="C298" s="10" t="s">
        <v>5</v>
      </c>
      <c r="D298" s="10" t="s">
        <v>453</v>
      </c>
      <c r="E298" s="10" t="s">
        <v>11</v>
      </c>
      <c r="F298" s="11" t="s">
        <v>554</v>
      </c>
      <c r="G298" s="11"/>
      <c r="H298" s="12" t="s">
        <v>555</v>
      </c>
      <c r="I298" s="13"/>
      <c r="J298" s="14" t="str">
        <f aca="false">IF(Tabla1[[#This Row],[Respuesta]]="","Sin respuesta","Respondido")</f>
        <v>Respondido</v>
      </c>
      <c r="K298" s="13"/>
    </row>
    <row r="299" customFormat="false" ht="98.25" hidden="false" customHeight="true" outlineLevel="0" collapsed="false">
      <c r="A299" s="10" t="n">
        <v>184</v>
      </c>
      <c r="B299" s="10" t="n">
        <v>75</v>
      </c>
      <c r="C299" s="10" t="s">
        <v>5</v>
      </c>
      <c r="D299" s="10" t="s">
        <v>453</v>
      </c>
      <c r="E299" s="10" t="s">
        <v>11</v>
      </c>
      <c r="F299" s="11" t="s">
        <v>556</v>
      </c>
      <c r="G299" s="11"/>
      <c r="H299" s="12" t="s">
        <v>557</v>
      </c>
      <c r="I299" s="13"/>
      <c r="J299" s="14" t="str">
        <f aca="false">IF(Tabla1[[#This Row],[Respuesta]]="","Sin respuesta","Respondido")</f>
        <v>Respondido</v>
      </c>
      <c r="K299" s="13"/>
    </row>
    <row r="300" customFormat="false" ht="17.9" hidden="false" customHeight="false" outlineLevel="0" collapsed="false">
      <c r="A300" s="10" t="n">
        <v>183</v>
      </c>
      <c r="B300" s="10" t="n">
        <v>74</v>
      </c>
      <c r="C300" s="10" t="s">
        <v>5</v>
      </c>
      <c r="D300" s="10" t="s">
        <v>453</v>
      </c>
      <c r="E300" s="10" t="s">
        <v>11</v>
      </c>
      <c r="F300" s="11" t="s">
        <v>558</v>
      </c>
      <c r="G300" s="11"/>
      <c r="H300" s="12" t="s">
        <v>559</v>
      </c>
      <c r="I300" s="13"/>
      <c r="J300" s="14" t="str">
        <f aca="false">IF(Tabla1[[#This Row],[Respuesta]]="","Sin respuesta","Respondido")</f>
        <v>Respondido</v>
      </c>
      <c r="K300" s="13"/>
    </row>
    <row r="301" customFormat="false" ht="87" hidden="false" customHeight="true" outlineLevel="0" collapsed="false">
      <c r="A301" s="10" t="n">
        <v>182</v>
      </c>
      <c r="B301" s="10" t="n">
        <v>73</v>
      </c>
      <c r="C301" s="10" t="s">
        <v>5</v>
      </c>
      <c r="D301" s="10" t="s">
        <v>453</v>
      </c>
      <c r="E301" s="10" t="s">
        <v>11</v>
      </c>
      <c r="F301" s="11" t="s">
        <v>560</v>
      </c>
      <c r="G301" s="11"/>
      <c r="H301" s="12" t="s">
        <v>561</v>
      </c>
      <c r="I301" s="13"/>
      <c r="J301" s="14" t="str">
        <f aca="false">IF(Tabla1[[#This Row],[Respuesta]]="","Sin respuesta","Respondido")</f>
        <v>Respondido</v>
      </c>
      <c r="K301" s="13"/>
    </row>
    <row r="302" customFormat="false" ht="57" hidden="false" customHeight="true" outlineLevel="0" collapsed="false">
      <c r="A302" s="10" t="n">
        <v>181</v>
      </c>
      <c r="B302" s="10" t="n">
        <v>72</v>
      </c>
      <c r="C302" s="10" t="s">
        <v>5</v>
      </c>
      <c r="D302" s="10" t="s">
        <v>453</v>
      </c>
      <c r="E302" s="10" t="s">
        <v>11</v>
      </c>
      <c r="F302" s="11" t="s">
        <v>562</v>
      </c>
      <c r="G302" s="11"/>
      <c r="H302" s="18" t="s">
        <v>524</v>
      </c>
      <c r="I302" s="13"/>
      <c r="J302" s="14" t="str">
        <f aca="false">IF(Tabla1[[#This Row],[Respuesta]]="","Sin respuesta","Respondido")</f>
        <v>Respondido</v>
      </c>
      <c r="K302" s="13"/>
    </row>
    <row r="303" customFormat="false" ht="78.75" hidden="false" customHeight="true" outlineLevel="0" collapsed="false">
      <c r="A303" s="10" t="n">
        <v>180</v>
      </c>
      <c r="B303" s="10" t="n">
        <v>71</v>
      </c>
      <c r="C303" s="10" t="s">
        <v>5</v>
      </c>
      <c r="D303" s="10" t="s">
        <v>453</v>
      </c>
      <c r="E303" s="10" t="s">
        <v>11</v>
      </c>
      <c r="F303" s="11" t="s">
        <v>563</v>
      </c>
      <c r="G303" s="11"/>
      <c r="H303" s="18" t="s">
        <v>524</v>
      </c>
      <c r="I303" s="13"/>
      <c r="J303" s="14" t="str">
        <f aca="false">IF(Tabla1[[#This Row],[Respuesta]]="","Sin respuesta","Respondido")</f>
        <v>Respondido</v>
      </c>
      <c r="K303" s="13"/>
    </row>
    <row r="304" customFormat="false" ht="34.3" hidden="false" customHeight="false" outlineLevel="0" collapsed="false">
      <c r="A304" s="10" t="n">
        <v>179</v>
      </c>
      <c r="B304" s="10" t="n">
        <v>70</v>
      </c>
      <c r="C304" s="10" t="s">
        <v>5</v>
      </c>
      <c r="D304" s="10" t="s">
        <v>453</v>
      </c>
      <c r="E304" s="10" t="s">
        <v>11</v>
      </c>
      <c r="F304" s="11" t="s">
        <v>564</v>
      </c>
      <c r="G304" s="11"/>
      <c r="H304" s="12" t="s">
        <v>565</v>
      </c>
      <c r="I304" s="13"/>
      <c r="J304" s="14" t="str">
        <f aca="false">IF(Tabla1[[#This Row],[Respuesta]]="","Sin respuesta","Respondido")</f>
        <v>Respondido</v>
      </c>
      <c r="K304" s="13"/>
    </row>
    <row r="305" customFormat="false" ht="17.9" hidden="false" customHeight="false" outlineLevel="0" collapsed="false">
      <c r="A305" s="10" t="n">
        <v>178</v>
      </c>
      <c r="B305" s="10" t="n">
        <v>69</v>
      </c>
      <c r="C305" s="10" t="s">
        <v>5</v>
      </c>
      <c r="D305" s="10" t="s">
        <v>453</v>
      </c>
      <c r="E305" s="10" t="s">
        <v>11</v>
      </c>
      <c r="F305" s="11" t="s">
        <v>566</v>
      </c>
      <c r="G305" s="11"/>
      <c r="H305" s="18" t="s">
        <v>524</v>
      </c>
      <c r="I305" s="13"/>
      <c r="J305" s="14" t="str">
        <f aca="false">IF(Tabla1[[#This Row],[Respuesta]]="","Sin respuesta","Respondido")</f>
        <v>Respondido</v>
      </c>
      <c r="K305" s="13"/>
    </row>
    <row r="306" customFormat="false" ht="78.75" hidden="false" customHeight="true" outlineLevel="0" collapsed="false">
      <c r="A306" s="10" t="n">
        <v>177</v>
      </c>
      <c r="B306" s="10" t="n">
        <v>68</v>
      </c>
      <c r="C306" s="10" t="s">
        <v>5</v>
      </c>
      <c r="D306" s="10" t="s">
        <v>453</v>
      </c>
      <c r="E306" s="10" t="s">
        <v>11</v>
      </c>
      <c r="F306" s="11" t="s">
        <v>567</v>
      </c>
      <c r="G306" s="11"/>
      <c r="H306" s="18" t="s">
        <v>524</v>
      </c>
      <c r="I306" s="13"/>
      <c r="J306" s="14" t="str">
        <f aca="false">IF(Tabla1[[#This Row],[Respuesta]]="","Sin respuesta","Respondido")</f>
        <v>Respondido</v>
      </c>
      <c r="K306" s="13"/>
    </row>
    <row r="307" customFormat="false" ht="17.9" hidden="false" customHeight="false" outlineLevel="0" collapsed="false">
      <c r="A307" s="10" t="n">
        <v>176</v>
      </c>
      <c r="B307" s="10" t="n">
        <v>67</v>
      </c>
      <c r="C307" s="10" t="s">
        <v>5</v>
      </c>
      <c r="D307" s="10" t="s">
        <v>453</v>
      </c>
      <c r="E307" s="10" t="s">
        <v>11</v>
      </c>
      <c r="F307" s="11" t="s">
        <v>568</v>
      </c>
      <c r="G307" s="11"/>
      <c r="H307" s="18" t="s">
        <v>524</v>
      </c>
      <c r="I307" s="13"/>
      <c r="J307" s="14" t="str">
        <f aca="false">IF(Tabla1[[#This Row],[Respuesta]]="","Sin respuesta","Respondido")</f>
        <v>Respondido</v>
      </c>
      <c r="K307" s="13"/>
    </row>
    <row r="308" customFormat="false" ht="57" hidden="false" customHeight="true" outlineLevel="0" collapsed="false">
      <c r="A308" s="10" t="n">
        <v>175</v>
      </c>
      <c r="B308" s="10" t="n">
        <v>66</v>
      </c>
      <c r="C308" s="10" t="s">
        <v>5</v>
      </c>
      <c r="D308" s="10" t="s">
        <v>453</v>
      </c>
      <c r="E308" s="10" t="s">
        <v>11</v>
      </c>
      <c r="F308" s="11" t="s">
        <v>569</v>
      </c>
      <c r="G308" s="11"/>
      <c r="H308" s="18" t="s">
        <v>524</v>
      </c>
      <c r="I308" s="13"/>
      <c r="J308" s="14" t="str">
        <f aca="false">IF(Tabla1[[#This Row],[Respuesta]]="","Sin respuesta","Respondido")</f>
        <v>Respondido</v>
      </c>
      <c r="K308" s="13"/>
    </row>
    <row r="309" customFormat="false" ht="57" hidden="false" customHeight="true" outlineLevel="0" collapsed="false">
      <c r="A309" s="10" t="n">
        <v>174</v>
      </c>
      <c r="B309" s="10" t="n">
        <v>65</v>
      </c>
      <c r="C309" s="10" t="s">
        <v>5</v>
      </c>
      <c r="D309" s="10" t="s">
        <v>453</v>
      </c>
      <c r="E309" s="10" t="s">
        <v>11</v>
      </c>
      <c r="F309" s="11" t="s">
        <v>570</v>
      </c>
      <c r="G309" s="11"/>
      <c r="H309" s="12" t="s">
        <v>571</v>
      </c>
      <c r="I309" s="13"/>
      <c r="J309" s="14" t="str">
        <f aca="false">IF(Tabla1[[#This Row],[Respuesta]]="","Sin respuesta","Respondido")</f>
        <v>Respondido</v>
      </c>
      <c r="K309" s="13"/>
    </row>
    <row r="310" customFormat="false" ht="57" hidden="false" customHeight="true" outlineLevel="0" collapsed="false">
      <c r="A310" s="10" t="n">
        <v>173</v>
      </c>
      <c r="B310" s="10" t="n">
        <v>64</v>
      </c>
      <c r="C310" s="10" t="s">
        <v>5</v>
      </c>
      <c r="D310" s="10" t="s">
        <v>453</v>
      </c>
      <c r="E310" s="10" t="s">
        <v>11</v>
      </c>
      <c r="F310" s="11" t="s">
        <v>572</v>
      </c>
      <c r="G310" s="11"/>
      <c r="H310" s="12" t="s">
        <v>573</v>
      </c>
      <c r="I310" s="13"/>
      <c r="J310" s="14" t="str">
        <f aca="false">IF(Tabla1[[#This Row],[Respuesta]]="","Sin respuesta","Respondido")</f>
        <v>Respondido</v>
      </c>
      <c r="K310" s="13"/>
    </row>
    <row r="311" customFormat="false" ht="57" hidden="false" customHeight="true" outlineLevel="0" collapsed="false">
      <c r="A311" s="10" t="n">
        <v>172</v>
      </c>
      <c r="B311" s="10" t="n">
        <v>63</v>
      </c>
      <c r="C311" s="10" t="s">
        <v>5</v>
      </c>
      <c r="D311" s="10" t="s">
        <v>453</v>
      </c>
      <c r="E311" s="10" t="s">
        <v>11</v>
      </c>
      <c r="F311" s="11" t="s">
        <v>574</v>
      </c>
      <c r="G311" s="11"/>
      <c r="H311" s="12" t="s">
        <v>575</v>
      </c>
      <c r="I311" s="13"/>
      <c r="J311" s="14" t="str">
        <f aca="false">IF(Tabla1[[#This Row],[Respuesta]]="","Sin respuesta","Respondido")</f>
        <v>Respondido</v>
      </c>
      <c r="K311" s="13"/>
    </row>
    <row r="312" customFormat="false" ht="57" hidden="false" customHeight="true" outlineLevel="0" collapsed="false">
      <c r="A312" s="10" t="n">
        <v>171</v>
      </c>
      <c r="B312" s="10" t="n">
        <v>62</v>
      </c>
      <c r="C312" s="10" t="s">
        <v>5</v>
      </c>
      <c r="D312" s="10" t="s">
        <v>453</v>
      </c>
      <c r="E312" s="10" t="s">
        <v>11</v>
      </c>
      <c r="F312" s="11" t="s">
        <v>576</v>
      </c>
      <c r="G312" s="11"/>
      <c r="H312" s="12" t="s">
        <v>577</v>
      </c>
      <c r="I312" s="13"/>
      <c r="J312" s="14" t="str">
        <f aca="false">IF(Tabla1[[#This Row],[Respuesta]]="","Sin respuesta","Respondido")</f>
        <v>Respondido</v>
      </c>
      <c r="K312" s="13"/>
    </row>
    <row r="313" customFormat="false" ht="57" hidden="false" customHeight="true" outlineLevel="0" collapsed="false">
      <c r="A313" s="10" t="n">
        <v>170</v>
      </c>
      <c r="B313" s="10" t="n">
        <v>61</v>
      </c>
      <c r="C313" s="10" t="s">
        <v>5</v>
      </c>
      <c r="D313" s="10" t="s">
        <v>453</v>
      </c>
      <c r="E313" s="10" t="s">
        <v>11</v>
      </c>
      <c r="F313" s="11" t="s">
        <v>578</v>
      </c>
      <c r="G313" s="11"/>
      <c r="H313" s="12" t="s">
        <v>577</v>
      </c>
      <c r="I313" s="13"/>
      <c r="J313" s="14" t="str">
        <f aca="false">IF(Tabla1[[#This Row],[Respuesta]]="","Sin respuesta","Respondido")</f>
        <v>Respondido</v>
      </c>
      <c r="K313" s="13"/>
    </row>
    <row r="314" customFormat="false" ht="57" hidden="false" customHeight="true" outlineLevel="0" collapsed="false">
      <c r="A314" s="10" t="n">
        <v>169</v>
      </c>
      <c r="B314" s="10" t="n">
        <v>60</v>
      </c>
      <c r="C314" s="10" t="s">
        <v>5</v>
      </c>
      <c r="D314" s="10" t="s">
        <v>453</v>
      </c>
      <c r="E314" s="10" t="s">
        <v>11</v>
      </c>
      <c r="F314" s="11" t="s">
        <v>579</v>
      </c>
      <c r="G314" s="11"/>
      <c r="H314" s="12" t="s">
        <v>580</v>
      </c>
      <c r="I314" s="13"/>
      <c r="J314" s="14" t="str">
        <f aca="false">IF(Tabla1[[#This Row],[Respuesta]]="","Sin respuesta","Respondido")</f>
        <v>Respondido</v>
      </c>
      <c r="K314" s="13"/>
    </row>
    <row r="315" customFormat="false" ht="57" hidden="false" customHeight="true" outlineLevel="0" collapsed="false">
      <c r="A315" s="10" t="n">
        <v>168</v>
      </c>
      <c r="B315" s="10" t="n">
        <v>59</v>
      </c>
      <c r="C315" s="10" t="s">
        <v>5</v>
      </c>
      <c r="D315" s="10" t="s">
        <v>453</v>
      </c>
      <c r="E315" s="10" t="s">
        <v>11</v>
      </c>
      <c r="F315" s="11" t="s">
        <v>581</v>
      </c>
      <c r="G315" s="11"/>
      <c r="H315" s="12" t="s">
        <v>582</v>
      </c>
      <c r="I315" s="13"/>
      <c r="J315" s="14" t="str">
        <f aca="false">IF(Tabla1[[#This Row],[Respuesta]]="","Sin respuesta","Respondido")</f>
        <v>Respondido</v>
      </c>
      <c r="K315" s="13"/>
    </row>
    <row r="316" customFormat="false" ht="57" hidden="false" customHeight="true" outlineLevel="0" collapsed="false">
      <c r="A316" s="10" t="n">
        <v>167</v>
      </c>
      <c r="B316" s="10" t="n">
        <v>58</v>
      </c>
      <c r="C316" s="10" t="s">
        <v>5</v>
      </c>
      <c r="D316" s="10" t="s">
        <v>453</v>
      </c>
      <c r="E316" s="10" t="s">
        <v>11</v>
      </c>
      <c r="F316" s="11" t="s">
        <v>583</v>
      </c>
      <c r="G316" s="11"/>
      <c r="H316" s="12" t="s">
        <v>524</v>
      </c>
      <c r="I316" s="13"/>
      <c r="J316" s="14" t="str">
        <f aca="false">IF(Tabla1[[#This Row],[Respuesta]]="","Sin respuesta","Respondido")</f>
        <v>Respondido</v>
      </c>
      <c r="K316" s="13"/>
    </row>
    <row r="317" customFormat="false" ht="57" hidden="false" customHeight="true" outlineLevel="0" collapsed="false">
      <c r="A317" s="10" t="n">
        <v>166</v>
      </c>
      <c r="B317" s="10" t="n">
        <v>57</v>
      </c>
      <c r="C317" s="10" t="s">
        <v>5</v>
      </c>
      <c r="D317" s="10" t="s">
        <v>453</v>
      </c>
      <c r="E317" s="10" t="s">
        <v>11</v>
      </c>
      <c r="F317" s="11" t="s">
        <v>584</v>
      </c>
      <c r="G317" s="11"/>
      <c r="H317" s="12" t="s">
        <v>585</v>
      </c>
      <c r="I317" s="13"/>
      <c r="J317" s="14" t="str">
        <f aca="false">IF(Tabla1[[#This Row],[Respuesta]]="","Sin respuesta","Respondido")</f>
        <v>Respondido</v>
      </c>
      <c r="K317" s="13"/>
    </row>
    <row r="318" customFormat="false" ht="57" hidden="false" customHeight="true" outlineLevel="0" collapsed="false">
      <c r="A318" s="10" t="n">
        <v>165</v>
      </c>
      <c r="B318" s="10" t="n">
        <v>56</v>
      </c>
      <c r="C318" s="10" t="s">
        <v>5</v>
      </c>
      <c r="D318" s="10" t="s">
        <v>453</v>
      </c>
      <c r="E318" s="10" t="s">
        <v>11</v>
      </c>
      <c r="F318" s="11" t="s">
        <v>586</v>
      </c>
      <c r="G318" s="11"/>
      <c r="H318" s="12" t="s">
        <v>587</v>
      </c>
      <c r="I318" s="13"/>
      <c r="J318" s="14" t="str">
        <f aca="false">IF(Tabla1[[#This Row],[Respuesta]]="","Sin respuesta","Respondido")</f>
        <v>Respondido</v>
      </c>
      <c r="K318" s="13"/>
    </row>
    <row r="319" customFormat="false" ht="57" hidden="false" customHeight="true" outlineLevel="0" collapsed="false">
      <c r="A319" s="10" t="n">
        <v>164</v>
      </c>
      <c r="B319" s="10" t="n">
        <v>55</v>
      </c>
      <c r="C319" s="10" t="s">
        <v>5</v>
      </c>
      <c r="D319" s="10" t="s">
        <v>453</v>
      </c>
      <c r="E319" s="10" t="s">
        <v>11</v>
      </c>
      <c r="F319" s="11" t="s">
        <v>588</v>
      </c>
      <c r="G319" s="11"/>
      <c r="H319" s="12" t="s">
        <v>589</v>
      </c>
      <c r="I319" s="13"/>
      <c r="J319" s="14" t="str">
        <f aca="false">IF(Tabla1[[#This Row],[Respuesta]]="","Sin respuesta","Respondido")</f>
        <v>Respondido</v>
      </c>
      <c r="K319" s="13"/>
    </row>
    <row r="320" customFormat="false" ht="57" hidden="false" customHeight="true" outlineLevel="0" collapsed="false">
      <c r="A320" s="10" t="n">
        <v>163</v>
      </c>
      <c r="B320" s="10" t="n">
        <v>54</v>
      </c>
      <c r="C320" s="10" t="s">
        <v>5</v>
      </c>
      <c r="D320" s="10" t="s">
        <v>453</v>
      </c>
      <c r="E320" s="10" t="s">
        <v>11</v>
      </c>
      <c r="F320" s="11" t="s">
        <v>590</v>
      </c>
      <c r="G320" s="11"/>
      <c r="H320" s="12" t="s">
        <v>591</v>
      </c>
      <c r="I320" s="13"/>
      <c r="J320" s="14" t="str">
        <f aca="false">IF(Tabla1[[#This Row],[Respuesta]]="","Sin respuesta","Respondido")</f>
        <v>Respondido</v>
      </c>
      <c r="K320" s="13"/>
    </row>
    <row r="321" customFormat="false" ht="57" hidden="false" customHeight="true" outlineLevel="0" collapsed="false">
      <c r="A321" s="10" t="n">
        <v>162</v>
      </c>
      <c r="B321" s="10" t="n">
        <v>53</v>
      </c>
      <c r="C321" s="10" t="s">
        <v>5</v>
      </c>
      <c r="D321" s="10" t="s">
        <v>453</v>
      </c>
      <c r="E321" s="10" t="s">
        <v>11</v>
      </c>
      <c r="F321" s="11" t="s">
        <v>592</v>
      </c>
      <c r="G321" s="11"/>
      <c r="H321" s="12" t="s">
        <v>524</v>
      </c>
      <c r="I321" s="13"/>
      <c r="J321" s="14" t="str">
        <f aca="false">IF(Tabla1[[#This Row],[Respuesta]]="","Sin respuesta","Respondido")</f>
        <v>Respondido</v>
      </c>
      <c r="K321" s="13"/>
    </row>
    <row r="322" customFormat="false" ht="57" hidden="false" customHeight="true" outlineLevel="0" collapsed="false">
      <c r="A322" s="10" t="n">
        <v>161</v>
      </c>
      <c r="B322" s="10" t="n">
        <v>52</v>
      </c>
      <c r="C322" s="10" t="s">
        <v>5</v>
      </c>
      <c r="D322" s="10" t="s">
        <v>453</v>
      </c>
      <c r="E322" s="10" t="s">
        <v>11</v>
      </c>
      <c r="F322" s="11" t="s">
        <v>593</v>
      </c>
      <c r="G322" s="11"/>
      <c r="H322" s="12" t="s">
        <v>524</v>
      </c>
      <c r="I322" s="13"/>
      <c r="J322" s="14" t="str">
        <f aca="false">IF(Tabla1[[#This Row],[Respuesta]]="","Sin respuesta","Respondido")</f>
        <v>Respondido</v>
      </c>
      <c r="K322" s="13"/>
    </row>
    <row r="323" customFormat="false" ht="57" hidden="false" customHeight="true" outlineLevel="0" collapsed="false">
      <c r="A323" s="10" t="n">
        <v>160</v>
      </c>
      <c r="B323" s="10" t="n">
        <v>51</v>
      </c>
      <c r="C323" s="10" t="s">
        <v>5</v>
      </c>
      <c r="D323" s="10" t="s">
        <v>453</v>
      </c>
      <c r="E323" s="10" t="s">
        <v>11</v>
      </c>
      <c r="F323" s="11" t="s">
        <v>594</v>
      </c>
      <c r="G323" s="11"/>
      <c r="H323" s="12" t="s">
        <v>595</v>
      </c>
      <c r="I323" s="13"/>
      <c r="J323" s="14" t="str">
        <f aca="false">IF(Tabla1[[#This Row],[Respuesta]]="","Sin respuesta","Respondido")</f>
        <v>Respondido</v>
      </c>
      <c r="K323" s="13"/>
    </row>
    <row r="324" customFormat="false" ht="57" hidden="false" customHeight="true" outlineLevel="0" collapsed="false">
      <c r="A324" s="10" t="n">
        <v>159</v>
      </c>
      <c r="B324" s="10" t="n">
        <v>50</v>
      </c>
      <c r="C324" s="10" t="s">
        <v>5</v>
      </c>
      <c r="D324" s="10" t="s">
        <v>453</v>
      </c>
      <c r="E324" s="10" t="s">
        <v>11</v>
      </c>
      <c r="F324" s="11" t="s">
        <v>596</v>
      </c>
      <c r="G324" s="11" t="s">
        <v>597</v>
      </c>
      <c r="H324" s="12" t="s">
        <v>598</v>
      </c>
      <c r="I324" s="13"/>
      <c r="J324" s="14" t="str">
        <f aca="false">IF(Tabla1[[#This Row],[Respuesta]]="","Sin respuesta","Respondido")</f>
        <v>Respondido</v>
      </c>
      <c r="K324" s="13"/>
    </row>
    <row r="325" customFormat="false" ht="57" hidden="false" customHeight="true" outlineLevel="0" collapsed="false">
      <c r="A325" s="10" t="n">
        <v>158</v>
      </c>
      <c r="B325" s="10" t="n">
        <v>49</v>
      </c>
      <c r="C325" s="10" t="s">
        <v>5</v>
      </c>
      <c r="D325" s="10" t="s">
        <v>453</v>
      </c>
      <c r="E325" s="10" t="s">
        <v>11</v>
      </c>
      <c r="F325" s="11" t="s">
        <v>599</v>
      </c>
      <c r="G325" s="11"/>
      <c r="H325" s="12" t="s">
        <v>600</v>
      </c>
      <c r="I325" s="13"/>
      <c r="J325" s="14" t="str">
        <f aca="false">IF(Tabla1[[#This Row],[Respuesta]]="","Sin respuesta","Respondido")</f>
        <v>Respondido</v>
      </c>
      <c r="K325" s="13"/>
    </row>
    <row r="326" customFormat="false" ht="72.75" hidden="false" customHeight="true" outlineLevel="0" collapsed="false">
      <c r="A326" s="10" t="n">
        <v>157</v>
      </c>
      <c r="B326" s="10" t="n">
        <v>48</v>
      </c>
      <c r="C326" s="10" t="s">
        <v>5</v>
      </c>
      <c r="D326" s="10" t="s">
        <v>453</v>
      </c>
      <c r="E326" s="10" t="s">
        <v>11</v>
      </c>
      <c r="F326" s="11" t="s">
        <v>601</v>
      </c>
      <c r="G326" s="11"/>
      <c r="H326" s="12" t="s">
        <v>524</v>
      </c>
      <c r="I326" s="13"/>
      <c r="J326" s="14" t="str">
        <f aca="false">IF(Tabla1[[#This Row],[Respuesta]]="","Sin respuesta","Respondido")</f>
        <v>Respondido</v>
      </c>
      <c r="K326" s="13"/>
    </row>
    <row r="327" customFormat="false" ht="57" hidden="false" customHeight="true" outlineLevel="0" collapsed="false">
      <c r="A327" s="10" t="n">
        <v>156</v>
      </c>
      <c r="B327" s="10" t="n">
        <v>47</v>
      </c>
      <c r="C327" s="10" t="s">
        <v>5</v>
      </c>
      <c r="D327" s="10" t="s">
        <v>453</v>
      </c>
      <c r="E327" s="10" t="s">
        <v>11</v>
      </c>
      <c r="F327" s="11" t="s">
        <v>602</v>
      </c>
      <c r="G327" s="11"/>
      <c r="H327" s="12" t="s">
        <v>524</v>
      </c>
      <c r="I327" s="13"/>
      <c r="J327" s="14" t="str">
        <f aca="false">IF(Tabla1[[#This Row],[Respuesta]]="","Sin respuesta","Respondido")</f>
        <v>Respondido</v>
      </c>
      <c r="K327" s="13"/>
    </row>
    <row r="328" customFormat="false" ht="57" hidden="false" customHeight="true" outlineLevel="0" collapsed="false">
      <c r="A328" s="10" t="n">
        <v>155</v>
      </c>
      <c r="B328" s="10" t="n">
        <v>46</v>
      </c>
      <c r="C328" s="10" t="s">
        <v>5</v>
      </c>
      <c r="D328" s="10" t="s">
        <v>453</v>
      </c>
      <c r="E328" s="10" t="s">
        <v>11</v>
      </c>
      <c r="F328" s="11" t="s">
        <v>603</v>
      </c>
      <c r="G328" s="11"/>
      <c r="H328" s="12" t="s">
        <v>524</v>
      </c>
      <c r="I328" s="13"/>
      <c r="J328" s="14" t="str">
        <f aca="false">IF(Tabla1[[#This Row],[Respuesta]]="","Sin respuesta","Respondido")</f>
        <v>Respondido</v>
      </c>
      <c r="K328" s="13"/>
    </row>
    <row r="329" customFormat="false" ht="81.75" hidden="false" customHeight="true" outlineLevel="0" collapsed="false">
      <c r="A329" s="10" t="n">
        <v>154</v>
      </c>
      <c r="B329" s="10" t="n">
        <v>45</v>
      </c>
      <c r="C329" s="10" t="s">
        <v>5</v>
      </c>
      <c r="D329" s="10" t="s">
        <v>453</v>
      </c>
      <c r="E329" s="10" t="s">
        <v>11</v>
      </c>
      <c r="F329" s="11" t="s">
        <v>604</v>
      </c>
      <c r="G329" s="11"/>
      <c r="H329" s="12" t="s">
        <v>605</v>
      </c>
      <c r="I329" s="13"/>
      <c r="J329" s="14" t="str">
        <f aca="false">IF(Tabla1[[#This Row],[Respuesta]]="","Sin respuesta","Respondido")</f>
        <v>Respondido</v>
      </c>
      <c r="K329" s="13"/>
    </row>
    <row r="330" customFormat="false" ht="88.5" hidden="false" customHeight="true" outlineLevel="0" collapsed="false">
      <c r="A330" s="10" t="n">
        <v>153</v>
      </c>
      <c r="B330" s="10" t="n">
        <v>44</v>
      </c>
      <c r="C330" s="10" t="s">
        <v>5</v>
      </c>
      <c r="D330" s="10" t="s">
        <v>453</v>
      </c>
      <c r="E330" s="10" t="s">
        <v>11</v>
      </c>
      <c r="F330" s="11" t="s">
        <v>606</v>
      </c>
      <c r="G330" s="11"/>
      <c r="H330" s="12" t="s">
        <v>524</v>
      </c>
      <c r="I330" s="13"/>
      <c r="J330" s="14" t="str">
        <f aca="false">IF(Tabla1[[#This Row],[Respuesta]]="","Sin respuesta","Respondido")</f>
        <v>Respondido</v>
      </c>
      <c r="K330" s="13"/>
    </row>
    <row r="331" customFormat="false" ht="57" hidden="false" customHeight="true" outlineLevel="0" collapsed="false">
      <c r="A331" s="10" t="n">
        <v>152</v>
      </c>
      <c r="B331" s="10" t="n">
        <v>43</v>
      </c>
      <c r="C331" s="10" t="s">
        <v>5</v>
      </c>
      <c r="D331" s="10" t="s">
        <v>453</v>
      </c>
      <c r="E331" s="10" t="s">
        <v>11</v>
      </c>
      <c r="F331" s="11" t="s">
        <v>607</v>
      </c>
      <c r="G331" s="11"/>
      <c r="H331" s="12" t="s">
        <v>608</v>
      </c>
      <c r="I331" s="13"/>
      <c r="J331" s="14" t="str">
        <f aca="false">IF(Tabla1[[#This Row],[Respuesta]]="","Sin respuesta","Respondido")</f>
        <v>Respondido</v>
      </c>
      <c r="K331" s="13"/>
    </row>
    <row r="332" customFormat="false" ht="57" hidden="false" customHeight="true" outlineLevel="0" collapsed="false">
      <c r="A332" s="10" t="n">
        <v>151</v>
      </c>
      <c r="B332" s="10" t="n">
        <v>42</v>
      </c>
      <c r="C332" s="10" t="s">
        <v>5</v>
      </c>
      <c r="D332" s="10" t="s">
        <v>453</v>
      </c>
      <c r="E332" s="10" t="s">
        <v>8</v>
      </c>
      <c r="F332" s="11" t="s">
        <v>609</v>
      </c>
      <c r="G332" s="19" t="s">
        <v>610</v>
      </c>
      <c r="H332" s="12" t="s">
        <v>611</v>
      </c>
      <c r="I332" s="13"/>
      <c r="J332" s="14" t="str">
        <f aca="false">IF(Tabla1[[#This Row],[Respuesta]]="","Sin respuesta","Respondido")</f>
        <v>Respondido</v>
      </c>
      <c r="K332" s="13"/>
    </row>
    <row r="333" customFormat="false" ht="57" hidden="false" customHeight="true" outlineLevel="0" collapsed="false">
      <c r="A333" s="10" t="n">
        <v>150</v>
      </c>
      <c r="B333" s="10" t="n">
        <v>41</v>
      </c>
      <c r="C333" s="10" t="s">
        <v>5</v>
      </c>
      <c r="D333" s="10" t="s">
        <v>453</v>
      </c>
      <c r="E333" s="10" t="s">
        <v>8</v>
      </c>
      <c r="F333" s="11" t="s">
        <v>612</v>
      </c>
      <c r="G333" s="19" t="s">
        <v>613</v>
      </c>
      <c r="H333" s="12" t="s">
        <v>614</v>
      </c>
      <c r="I333" s="13"/>
      <c r="J333" s="14" t="str">
        <f aca="false">IF(Tabla1[[#This Row],[Respuesta]]="","Sin respuesta","Respondido")</f>
        <v>Respondido</v>
      </c>
      <c r="K333" s="13"/>
    </row>
    <row r="334" customFormat="false" ht="84" hidden="false" customHeight="true" outlineLevel="0" collapsed="false">
      <c r="A334" s="10" t="n">
        <v>149</v>
      </c>
      <c r="B334" s="10" t="n">
        <v>40</v>
      </c>
      <c r="C334" s="10" t="s">
        <v>5</v>
      </c>
      <c r="D334" s="10" t="s">
        <v>453</v>
      </c>
      <c r="E334" s="10" t="s">
        <v>8</v>
      </c>
      <c r="F334" s="11" t="s">
        <v>615</v>
      </c>
      <c r="G334" s="19" t="s">
        <v>613</v>
      </c>
      <c r="H334" s="12" t="s">
        <v>616</v>
      </c>
      <c r="I334" s="13"/>
      <c r="J334" s="14" t="str">
        <f aca="false">IF(Tabla1[[#This Row],[Respuesta]]="","Sin respuesta","Respondido")</f>
        <v>Respondido</v>
      </c>
      <c r="K334" s="13"/>
    </row>
    <row r="335" customFormat="false" ht="73.5" hidden="false" customHeight="true" outlineLevel="0" collapsed="false">
      <c r="A335" s="10" t="n">
        <v>148</v>
      </c>
      <c r="B335" s="10" t="n">
        <v>39</v>
      </c>
      <c r="C335" s="10" t="s">
        <v>5</v>
      </c>
      <c r="D335" s="10" t="s">
        <v>453</v>
      </c>
      <c r="E335" s="10" t="s">
        <v>8</v>
      </c>
      <c r="F335" s="11" t="s">
        <v>617</v>
      </c>
      <c r="G335" s="19" t="s">
        <v>613</v>
      </c>
      <c r="H335" s="12" t="s">
        <v>618</v>
      </c>
      <c r="I335" s="13"/>
      <c r="J335" s="14" t="str">
        <f aca="false">IF(Tabla1[[#This Row],[Respuesta]]="","Sin respuesta","Respondido")</f>
        <v>Respondido</v>
      </c>
      <c r="K335" s="13"/>
    </row>
    <row r="336" customFormat="false" ht="57" hidden="false" customHeight="true" outlineLevel="0" collapsed="false">
      <c r="A336" s="10" t="n">
        <v>147</v>
      </c>
      <c r="B336" s="10" t="n">
        <v>38</v>
      </c>
      <c r="C336" s="10" t="s">
        <v>5</v>
      </c>
      <c r="D336" s="10" t="s">
        <v>453</v>
      </c>
      <c r="E336" s="10" t="s">
        <v>8</v>
      </c>
      <c r="F336" s="11" t="s">
        <v>619</v>
      </c>
      <c r="G336" s="19"/>
      <c r="H336" s="12" t="s">
        <v>620</v>
      </c>
      <c r="I336" s="13"/>
      <c r="J336" s="14" t="str">
        <f aca="false">IF(Tabla1[[#This Row],[Respuesta]]="","Sin respuesta","Respondido")</f>
        <v>Respondido</v>
      </c>
      <c r="K336" s="13"/>
    </row>
    <row r="337" customFormat="false" ht="57" hidden="false" customHeight="true" outlineLevel="0" collapsed="false">
      <c r="A337" s="10" t="n">
        <v>146</v>
      </c>
      <c r="B337" s="10" t="n">
        <v>37</v>
      </c>
      <c r="C337" s="10" t="s">
        <v>5</v>
      </c>
      <c r="D337" s="10" t="s">
        <v>453</v>
      </c>
      <c r="E337" s="10" t="s">
        <v>8</v>
      </c>
      <c r="F337" s="11" t="s">
        <v>621</v>
      </c>
      <c r="G337" s="19" t="s">
        <v>622</v>
      </c>
      <c r="H337" s="12" t="s">
        <v>623</v>
      </c>
      <c r="I337" s="13"/>
      <c r="J337" s="14" t="str">
        <f aca="false">IF(Tabla1[[#This Row],[Respuesta]]="","Sin respuesta","Respondido")</f>
        <v>Respondido</v>
      </c>
      <c r="K337" s="13"/>
    </row>
    <row r="338" customFormat="false" ht="57" hidden="false" customHeight="true" outlineLevel="0" collapsed="false">
      <c r="A338" s="10" t="n">
        <v>145</v>
      </c>
      <c r="B338" s="10" t="n">
        <v>36</v>
      </c>
      <c r="C338" s="10" t="s">
        <v>5</v>
      </c>
      <c r="D338" s="10" t="s">
        <v>453</v>
      </c>
      <c r="E338" s="10" t="s">
        <v>8</v>
      </c>
      <c r="F338" s="11" t="s">
        <v>624</v>
      </c>
      <c r="G338" s="11"/>
      <c r="H338" s="12" t="s">
        <v>611</v>
      </c>
      <c r="I338" s="13"/>
      <c r="J338" s="14" t="str">
        <f aca="false">IF(Tabla1[[#This Row],[Respuesta]]="","Sin respuesta","Respondido")</f>
        <v>Respondido</v>
      </c>
      <c r="K338" s="13"/>
    </row>
    <row r="339" customFormat="false" ht="50.7" hidden="false" customHeight="false" outlineLevel="0" collapsed="false">
      <c r="A339" s="10" t="n">
        <v>144</v>
      </c>
      <c r="B339" s="10" t="n">
        <v>35</v>
      </c>
      <c r="C339" s="10" t="s">
        <v>5</v>
      </c>
      <c r="D339" s="10" t="s">
        <v>453</v>
      </c>
      <c r="E339" s="10" t="s">
        <v>8</v>
      </c>
      <c r="F339" s="11" t="s">
        <v>625</v>
      </c>
      <c r="G339" s="11"/>
      <c r="H339" s="12" t="s">
        <v>611</v>
      </c>
      <c r="I339" s="13"/>
      <c r="J339" s="14" t="str">
        <f aca="false">IF(Tabla1[[#This Row],[Respuesta]]="","Sin respuesta","Respondido")</f>
        <v>Respondido</v>
      </c>
      <c r="K339" s="13"/>
    </row>
    <row r="340" customFormat="false" ht="57" hidden="false" customHeight="true" outlineLevel="0" collapsed="false">
      <c r="A340" s="10" t="n">
        <v>143</v>
      </c>
      <c r="B340" s="10" t="n">
        <v>34</v>
      </c>
      <c r="C340" s="10" t="s">
        <v>5</v>
      </c>
      <c r="D340" s="10" t="s">
        <v>453</v>
      </c>
      <c r="E340" s="10" t="s">
        <v>8</v>
      </c>
      <c r="F340" s="11" t="s">
        <v>626</v>
      </c>
      <c r="G340" s="11"/>
      <c r="H340" s="12" t="s">
        <v>627</v>
      </c>
      <c r="I340" s="13"/>
      <c r="J340" s="14" t="str">
        <f aca="false">IF(Tabla1[[#This Row],[Respuesta]]="","Sin respuesta","Respondido")</f>
        <v>Respondido</v>
      </c>
      <c r="K340" s="13"/>
    </row>
    <row r="341" customFormat="false" ht="57" hidden="false" customHeight="true" outlineLevel="0" collapsed="false">
      <c r="A341" s="10" t="n">
        <v>142</v>
      </c>
      <c r="B341" s="10" t="n">
        <v>33</v>
      </c>
      <c r="C341" s="10" t="s">
        <v>5</v>
      </c>
      <c r="D341" s="10" t="s">
        <v>453</v>
      </c>
      <c r="E341" s="10" t="s">
        <v>8</v>
      </c>
      <c r="F341" s="11" t="s">
        <v>628</v>
      </c>
      <c r="G341" s="11"/>
      <c r="H341" s="12" t="s">
        <v>629</v>
      </c>
      <c r="I341" s="13"/>
      <c r="J341" s="14" t="str">
        <f aca="false">IF(Tabla1[[#This Row],[Respuesta]]="","Sin respuesta","Respondido")</f>
        <v>Respondido</v>
      </c>
      <c r="K341" s="13"/>
    </row>
    <row r="342" customFormat="false" ht="57" hidden="false" customHeight="true" outlineLevel="0" collapsed="false">
      <c r="A342" s="10" t="n">
        <v>141</v>
      </c>
      <c r="B342" s="10" t="n">
        <v>32</v>
      </c>
      <c r="C342" s="10" t="s">
        <v>5</v>
      </c>
      <c r="D342" s="10" t="s">
        <v>453</v>
      </c>
      <c r="E342" s="10" t="s">
        <v>8</v>
      </c>
      <c r="F342" s="11" t="s">
        <v>630</v>
      </c>
      <c r="G342" s="11"/>
      <c r="H342" s="12" t="s">
        <v>627</v>
      </c>
      <c r="I342" s="13"/>
      <c r="J342" s="14" t="str">
        <f aca="false">IF(Tabla1[[#This Row],[Respuesta]]="","Sin respuesta","Respondido")</f>
        <v>Respondido</v>
      </c>
      <c r="K342" s="13"/>
    </row>
    <row r="343" customFormat="false" ht="57" hidden="false" customHeight="true" outlineLevel="0" collapsed="false">
      <c r="A343" s="10" t="n">
        <v>140</v>
      </c>
      <c r="B343" s="10" t="n">
        <v>31</v>
      </c>
      <c r="C343" s="10" t="s">
        <v>5</v>
      </c>
      <c r="D343" s="10" t="s">
        <v>453</v>
      </c>
      <c r="E343" s="10" t="s">
        <v>8</v>
      </c>
      <c r="F343" s="11" t="s">
        <v>631</v>
      </c>
      <c r="G343" s="11"/>
      <c r="H343" s="12" t="s">
        <v>632</v>
      </c>
      <c r="I343" s="13"/>
      <c r="J343" s="14" t="str">
        <f aca="false">IF(Tabla1[[#This Row],[Respuesta]]="","Sin respuesta","Respondido")</f>
        <v>Respondido</v>
      </c>
      <c r="K343" s="13"/>
    </row>
    <row r="344" customFormat="false" ht="57" hidden="false" customHeight="true" outlineLevel="0" collapsed="false">
      <c r="A344" s="10" t="n">
        <v>139</v>
      </c>
      <c r="B344" s="10" t="n">
        <v>30</v>
      </c>
      <c r="C344" s="10" t="s">
        <v>5</v>
      </c>
      <c r="D344" s="10" t="s">
        <v>453</v>
      </c>
      <c r="E344" s="10" t="s">
        <v>8</v>
      </c>
      <c r="F344" s="11" t="s">
        <v>633</v>
      </c>
      <c r="G344" s="11"/>
      <c r="H344" s="12" t="s">
        <v>634</v>
      </c>
      <c r="I344" s="13"/>
      <c r="J344" s="14" t="str">
        <f aca="false">IF(Tabla1[[#This Row],[Respuesta]]="","Sin respuesta","Respondido")</f>
        <v>Respondido</v>
      </c>
      <c r="K344" s="13"/>
    </row>
    <row r="345" customFormat="false" ht="57" hidden="false" customHeight="true" outlineLevel="0" collapsed="false">
      <c r="A345" s="10" t="n">
        <v>138</v>
      </c>
      <c r="B345" s="10" t="n">
        <v>29</v>
      </c>
      <c r="C345" s="10" t="s">
        <v>5</v>
      </c>
      <c r="D345" s="10" t="s">
        <v>453</v>
      </c>
      <c r="E345" s="10" t="s">
        <v>8</v>
      </c>
      <c r="F345" s="11" t="s">
        <v>635</v>
      </c>
      <c r="G345" s="11"/>
      <c r="H345" s="12" t="s">
        <v>636</v>
      </c>
      <c r="I345" s="13"/>
      <c r="J345" s="14" t="str">
        <f aca="false">IF(Tabla1[[#This Row],[Respuesta]]="","Sin respuesta","Respondido")</f>
        <v>Respondido</v>
      </c>
      <c r="K345" s="13"/>
    </row>
    <row r="346" customFormat="false" ht="57" hidden="false" customHeight="true" outlineLevel="0" collapsed="false">
      <c r="A346" s="10" t="n">
        <v>137</v>
      </c>
      <c r="B346" s="10" t="n">
        <v>28</v>
      </c>
      <c r="C346" s="10" t="s">
        <v>5</v>
      </c>
      <c r="D346" s="10" t="s">
        <v>453</v>
      </c>
      <c r="E346" s="10" t="s">
        <v>8</v>
      </c>
      <c r="F346" s="11" t="s">
        <v>637</v>
      </c>
      <c r="G346" s="11"/>
      <c r="H346" s="12" t="s">
        <v>74</v>
      </c>
      <c r="I346" s="13"/>
      <c r="J346" s="14" t="str">
        <f aca="false">IF(Tabla1[[#This Row],[Respuesta]]="","Sin respuesta","Respondido")</f>
        <v>Respondido</v>
      </c>
      <c r="K346" s="13"/>
    </row>
    <row r="347" customFormat="false" ht="57" hidden="false" customHeight="true" outlineLevel="0" collapsed="false">
      <c r="A347" s="10" t="n">
        <v>136</v>
      </c>
      <c r="B347" s="10" t="n">
        <v>27</v>
      </c>
      <c r="C347" s="10" t="s">
        <v>5</v>
      </c>
      <c r="D347" s="10" t="s">
        <v>453</v>
      </c>
      <c r="E347" s="10" t="s">
        <v>8</v>
      </c>
      <c r="F347" s="11" t="s">
        <v>638</v>
      </c>
      <c r="G347" s="11"/>
      <c r="H347" s="12" t="s">
        <v>639</v>
      </c>
      <c r="I347" s="13"/>
      <c r="J347" s="14" t="str">
        <f aca="false">IF(Tabla1[[#This Row],[Respuesta]]="","Sin respuesta","Respondido")</f>
        <v>Respondido</v>
      </c>
      <c r="K347" s="13"/>
    </row>
    <row r="348" customFormat="false" ht="57" hidden="false" customHeight="true" outlineLevel="0" collapsed="false">
      <c r="A348" s="10" t="n">
        <v>135</v>
      </c>
      <c r="B348" s="10" t="n">
        <v>26</v>
      </c>
      <c r="C348" s="10" t="s">
        <v>5</v>
      </c>
      <c r="D348" s="10" t="s">
        <v>453</v>
      </c>
      <c r="E348" s="10" t="s">
        <v>8</v>
      </c>
      <c r="F348" s="11" t="s">
        <v>640</v>
      </c>
      <c r="G348" s="11"/>
      <c r="H348" s="12" t="s">
        <v>641</v>
      </c>
      <c r="I348" s="13"/>
      <c r="J348" s="14" t="str">
        <f aca="false">IF(Tabla1[[#This Row],[Respuesta]]="","Sin respuesta","Respondido")</f>
        <v>Respondido</v>
      </c>
      <c r="K348" s="13"/>
    </row>
    <row r="349" customFormat="false" ht="57" hidden="false" customHeight="true" outlineLevel="0" collapsed="false">
      <c r="A349" s="10" t="n">
        <v>134</v>
      </c>
      <c r="B349" s="10" t="n">
        <v>25</v>
      </c>
      <c r="C349" s="10" t="s">
        <v>5</v>
      </c>
      <c r="D349" s="10" t="s">
        <v>453</v>
      </c>
      <c r="E349" s="10" t="s">
        <v>8</v>
      </c>
      <c r="F349" s="11" t="s">
        <v>642</v>
      </c>
      <c r="G349" s="11"/>
      <c r="H349" s="12" t="s">
        <v>643</v>
      </c>
      <c r="I349" s="13"/>
      <c r="J349" s="14" t="str">
        <f aca="false">IF(Tabla1[[#This Row],[Respuesta]]="","Sin respuesta","Respondido")</f>
        <v>Respondido</v>
      </c>
      <c r="K349" s="13"/>
    </row>
    <row r="350" customFormat="false" ht="57" hidden="false" customHeight="true" outlineLevel="0" collapsed="false">
      <c r="A350" s="10" t="n">
        <v>133</v>
      </c>
      <c r="B350" s="10" t="n">
        <v>24</v>
      </c>
      <c r="C350" s="10" t="s">
        <v>5</v>
      </c>
      <c r="D350" s="10" t="s">
        <v>453</v>
      </c>
      <c r="E350" s="10" t="s">
        <v>8</v>
      </c>
      <c r="F350" s="11" t="s">
        <v>644</v>
      </c>
      <c r="G350" s="11"/>
      <c r="H350" s="12" t="s">
        <v>645</v>
      </c>
      <c r="I350" s="13"/>
      <c r="J350" s="14" t="str">
        <f aca="false">IF(Tabla1[[#This Row],[Respuesta]]="","Sin respuesta","Respondido")</f>
        <v>Respondido</v>
      </c>
      <c r="K350" s="13"/>
    </row>
    <row r="351" customFormat="false" ht="57" hidden="false" customHeight="true" outlineLevel="0" collapsed="false">
      <c r="A351" s="10" t="n">
        <v>132</v>
      </c>
      <c r="B351" s="10" t="n">
        <v>23</v>
      </c>
      <c r="C351" s="10" t="s">
        <v>5</v>
      </c>
      <c r="D351" s="10" t="s">
        <v>453</v>
      </c>
      <c r="E351" s="10" t="s">
        <v>8</v>
      </c>
      <c r="F351" s="11" t="s">
        <v>646</v>
      </c>
      <c r="G351" s="11"/>
      <c r="H351" s="12" t="s">
        <v>647</v>
      </c>
      <c r="I351" s="13"/>
      <c r="J351" s="14" t="str">
        <f aca="false">IF(Tabla1[[#This Row],[Respuesta]]="","Sin respuesta","Respondido")</f>
        <v>Respondido</v>
      </c>
      <c r="K351" s="13"/>
    </row>
    <row r="352" customFormat="false" ht="57" hidden="false" customHeight="true" outlineLevel="0" collapsed="false">
      <c r="A352" s="10" t="n">
        <v>131</v>
      </c>
      <c r="B352" s="10" t="n">
        <v>22</v>
      </c>
      <c r="C352" s="10" t="s">
        <v>5</v>
      </c>
      <c r="D352" s="10" t="s">
        <v>453</v>
      </c>
      <c r="E352" s="10" t="s">
        <v>8</v>
      </c>
      <c r="F352" s="11" t="s">
        <v>648</v>
      </c>
      <c r="G352" s="11"/>
      <c r="H352" s="12" t="s">
        <v>649</v>
      </c>
      <c r="I352" s="13"/>
      <c r="J352" s="14" t="str">
        <f aca="false">IF(Tabla1[[#This Row],[Respuesta]]="","Sin respuesta","Respondido")</f>
        <v>Respondido</v>
      </c>
      <c r="K352" s="13"/>
    </row>
    <row r="353" customFormat="false" ht="57" hidden="false" customHeight="true" outlineLevel="0" collapsed="false">
      <c r="A353" s="10" t="n">
        <v>130</v>
      </c>
      <c r="B353" s="10" t="n">
        <v>21</v>
      </c>
      <c r="C353" s="10" t="s">
        <v>5</v>
      </c>
      <c r="D353" s="10" t="s">
        <v>453</v>
      </c>
      <c r="E353" s="10" t="s">
        <v>8</v>
      </c>
      <c r="F353" s="11" t="s">
        <v>650</v>
      </c>
      <c r="G353" s="11"/>
      <c r="H353" s="12" t="s">
        <v>651</v>
      </c>
      <c r="I353" s="13"/>
      <c r="J353" s="14" t="str">
        <f aca="false">IF(Tabla1[[#This Row],[Respuesta]]="","Sin respuesta","Respondido")</f>
        <v>Respondido</v>
      </c>
      <c r="K353" s="13"/>
    </row>
    <row r="354" customFormat="false" ht="57" hidden="false" customHeight="true" outlineLevel="0" collapsed="false">
      <c r="A354" s="10" t="n">
        <v>129</v>
      </c>
      <c r="B354" s="10" t="n">
        <v>19</v>
      </c>
      <c r="C354" s="10" t="s">
        <v>5</v>
      </c>
      <c r="D354" s="10" t="s">
        <v>453</v>
      </c>
      <c r="E354" s="10" t="s">
        <v>7</v>
      </c>
      <c r="F354" s="11" t="s">
        <v>652</v>
      </c>
      <c r="G354" s="11"/>
      <c r="H354" s="12" t="s">
        <v>653</v>
      </c>
      <c r="I354" s="13"/>
      <c r="J354" s="14" t="str">
        <f aca="false">IF(Tabla1[[#This Row],[Respuesta]]="","Sin respuesta","Respondido")</f>
        <v>Respondido</v>
      </c>
      <c r="K354" s="13"/>
    </row>
    <row r="355" customFormat="false" ht="57" hidden="false" customHeight="true" outlineLevel="0" collapsed="false">
      <c r="A355" s="10" t="n">
        <v>128</v>
      </c>
      <c r="B355" s="10" t="n">
        <v>18</v>
      </c>
      <c r="C355" s="10" t="s">
        <v>5</v>
      </c>
      <c r="D355" s="10" t="s">
        <v>453</v>
      </c>
      <c r="E355" s="10" t="s">
        <v>7</v>
      </c>
      <c r="F355" s="11" t="s">
        <v>654</v>
      </c>
      <c r="G355" s="11"/>
      <c r="H355" s="12" t="s">
        <v>655</v>
      </c>
      <c r="I355" s="13"/>
      <c r="J355" s="14" t="str">
        <f aca="false">IF(Tabla1[[#This Row],[Respuesta]]="","Sin respuesta","Respondido")</f>
        <v>Respondido</v>
      </c>
      <c r="K355" s="13"/>
    </row>
    <row r="356" customFormat="false" ht="57" hidden="false" customHeight="true" outlineLevel="0" collapsed="false">
      <c r="A356" s="10" t="n">
        <v>127</v>
      </c>
      <c r="B356" s="10" t="n">
        <v>17</v>
      </c>
      <c r="C356" s="10" t="s">
        <v>5</v>
      </c>
      <c r="D356" s="10" t="s">
        <v>453</v>
      </c>
      <c r="E356" s="10" t="s">
        <v>8</v>
      </c>
      <c r="F356" s="11" t="s">
        <v>656</v>
      </c>
      <c r="G356" s="11"/>
      <c r="H356" s="12" t="s">
        <v>657</v>
      </c>
      <c r="I356" s="13"/>
      <c r="J356" s="14" t="str">
        <f aca="false">IF(Tabla1[[#This Row],[Respuesta]]="","Sin respuesta","Respondido")</f>
        <v>Respondido</v>
      </c>
      <c r="K356" s="13"/>
    </row>
    <row r="357" customFormat="false" ht="57" hidden="false" customHeight="true" outlineLevel="0" collapsed="false">
      <c r="A357" s="10" t="n">
        <v>126</v>
      </c>
      <c r="B357" s="10" t="n">
        <v>16</v>
      </c>
      <c r="C357" s="10" t="s">
        <v>5</v>
      </c>
      <c r="D357" s="10" t="s">
        <v>453</v>
      </c>
      <c r="E357" s="10" t="s">
        <v>8</v>
      </c>
      <c r="F357" s="11" t="s">
        <v>658</v>
      </c>
      <c r="G357" s="11"/>
      <c r="H357" s="20" t="s">
        <v>154</v>
      </c>
      <c r="I357" s="13"/>
      <c r="J357" s="14" t="str">
        <f aca="false">IF(Tabla1[[#This Row],[Respuesta]]="","Sin respuesta","Respondido")</f>
        <v>Respondido</v>
      </c>
      <c r="K357" s="13"/>
    </row>
    <row r="358" customFormat="false" ht="57" hidden="false" customHeight="true" outlineLevel="0" collapsed="false">
      <c r="A358" s="10" t="n">
        <v>125</v>
      </c>
      <c r="B358" s="10" t="n">
        <v>15</v>
      </c>
      <c r="C358" s="10" t="s">
        <v>5</v>
      </c>
      <c r="D358" s="10" t="s">
        <v>453</v>
      </c>
      <c r="E358" s="10" t="s">
        <v>7</v>
      </c>
      <c r="F358" s="11" t="s">
        <v>659</v>
      </c>
      <c r="G358" s="11"/>
      <c r="H358" s="12" t="s">
        <v>660</v>
      </c>
      <c r="I358" s="13"/>
      <c r="J358" s="14" t="str">
        <f aca="false">IF(Tabla1[[#This Row],[Respuesta]]="","Sin respuesta","Respondido")</f>
        <v>Respondido</v>
      </c>
      <c r="K358" s="13"/>
    </row>
    <row r="359" customFormat="false" ht="57" hidden="false" customHeight="true" outlineLevel="0" collapsed="false">
      <c r="A359" s="10" t="n">
        <v>124</v>
      </c>
      <c r="B359" s="10" t="n">
        <v>14</v>
      </c>
      <c r="C359" s="10" t="s">
        <v>5</v>
      </c>
      <c r="D359" s="10" t="s">
        <v>453</v>
      </c>
      <c r="E359" s="10" t="s">
        <v>16</v>
      </c>
      <c r="F359" s="11" t="s">
        <v>661</v>
      </c>
      <c r="G359" s="11"/>
      <c r="H359" s="12" t="s">
        <v>662</v>
      </c>
      <c r="I359" s="13"/>
      <c r="J359" s="14" t="str">
        <f aca="false">IF(Tabla1[[#This Row],[Respuesta]]="","Sin respuesta","Respondido")</f>
        <v>Respondido</v>
      </c>
      <c r="K359" s="13"/>
    </row>
    <row r="360" customFormat="false" ht="57" hidden="false" customHeight="true" outlineLevel="0" collapsed="false">
      <c r="A360" s="10" t="n">
        <v>123</v>
      </c>
      <c r="B360" s="10" t="n">
        <v>13</v>
      </c>
      <c r="C360" s="10" t="s">
        <v>5</v>
      </c>
      <c r="D360" s="10" t="s">
        <v>453</v>
      </c>
      <c r="E360" s="10" t="s">
        <v>16</v>
      </c>
      <c r="F360" s="11" t="s">
        <v>663</v>
      </c>
      <c r="G360" s="11"/>
      <c r="H360" s="12" t="s">
        <v>662</v>
      </c>
      <c r="I360" s="13"/>
      <c r="J360" s="14" t="str">
        <f aca="false">IF(Tabla1[[#This Row],[Respuesta]]="","Sin respuesta","Respondido")</f>
        <v>Respondido</v>
      </c>
      <c r="K360" s="13"/>
    </row>
    <row r="361" customFormat="false" ht="57" hidden="false" customHeight="true" outlineLevel="0" collapsed="false">
      <c r="A361" s="10" t="n">
        <v>122</v>
      </c>
      <c r="B361" s="10" t="n">
        <v>12</v>
      </c>
      <c r="C361" s="10" t="s">
        <v>5</v>
      </c>
      <c r="D361" s="10" t="s">
        <v>453</v>
      </c>
      <c r="E361" s="10" t="s">
        <v>15</v>
      </c>
      <c r="F361" s="11" t="s">
        <v>664</v>
      </c>
      <c r="G361" s="11"/>
      <c r="H361" s="12" t="s">
        <v>662</v>
      </c>
      <c r="I361" s="13"/>
      <c r="J361" s="14" t="str">
        <f aca="false">IF(Tabla1[[#This Row],[Respuesta]]="","Sin respuesta","Respondido")</f>
        <v>Respondido</v>
      </c>
      <c r="K361" s="13"/>
    </row>
    <row r="362" customFormat="false" ht="57" hidden="false" customHeight="true" outlineLevel="0" collapsed="false">
      <c r="A362" s="10" t="n">
        <v>121</v>
      </c>
      <c r="B362" s="10" t="n">
        <v>11</v>
      </c>
      <c r="C362" s="10" t="s">
        <v>5</v>
      </c>
      <c r="D362" s="10" t="s">
        <v>453</v>
      </c>
      <c r="E362" s="10" t="s">
        <v>16</v>
      </c>
      <c r="F362" s="11" t="s">
        <v>665</v>
      </c>
      <c r="G362" s="11"/>
      <c r="H362" s="12" t="s">
        <v>666</v>
      </c>
      <c r="I362" s="13"/>
      <c r="J362" s="14" t="str">
        <f aca="false">IF(Tabla1[[#This Row],[Respuesta]]="","Sin respuesta","Respondido")</f>
        <v>Respondido</v>
      </c>
      <c r="K362" s="13"/>
    </row>
    <row r="363" customFormat="false" ht="57" hidden="false" customHeight="true" outlineLevel="0" collapsed="false">
      <c r="A363" s="10" t="n">
        <v>120</v>
      </c>
      <c r="B363" s="10" t="n">
        <v>10</v>
      </c>
      <c r="C363" s="10" t="s">
        <v>5</v>
      </c>
      <c r="D363" s="10" t="s">
        <v>453</v>
      </c>
      <c r="E363" s="10" t="s">
        <v>15</v>
      </c>
      <c r="F363" s="11" t="s">
        <v>667</v>
      </c>
      <c r="G363" s="11"/>
      <c r="H363" s="12" t="s">
        <v>668</v>
      </c>
      <c r="I363" s="13"/>
      <c r="J363" s="14" t="str">
        <f aca="false">IF(Tabla1[[#This Row],[Respuesta]]="","Sin respuesta","Respondido")</f>
        <v>Respondido</v>
      </c>
      <c r="K363" s="13"/>
    </row>
    <row r="364" customFormat="false" ht="57" hidden="false" customHeight="true" outlineLevel="0" collapsed="false">
      <c r="A364" s="10" t="n">
        <v>119</v>
      </c>
      <c r="B364" s="10" t="n">
        <v>9</v>
      </c>
      <c r="C364" s="10" t="s">
        <v>5</v>
      </c>
      <c r="D364" s="10" t="s">
        <v>453</v>
      </c>
      <c r="E364" s="10" t="s">
        <v>15</v>
      </c>
      <c r="F364" s="11" t="s">
        <v>669</v>
      </c>
      <c r="G364" s="11"/>
      <c r="H364" s="12" t="s">
        <v>668</v>
      </c>
      <c r="I364" s="13"/>
      <c r="J364" s="14" t="str">
        <f aca="false">IF(Tabla1[[#This Row],[Respuesta]]="","Sin respuesta","Respondido")</f>
        <v>Respondido</v>
      </c>
      <c r="K364" s="13"/>
    </row>
    <row r="365" customFormat="false" ht="57" hidden="false" customHeight="true" outlineLevel="0" collapsed="false">
      <c r="A365" s="10" t="n">
        <v>118</v>
      </c>
      <c r="B365" s="10" t="n">
        <v>8</v>
      </c>
      <c r="C365" s="10" t="s">
        <v>5</v>
      </c>
      <c r="D365" s="10" t="s">
        <v>453</v>
      </c>
      <c r="E365" s="10" t="s">
        <v>15</v>
      </c>
      <c r="F365" s="11" t="s">
        <v>670</v>
      </c>
      <c r="G365" s="11"/>
      <c r="H365" s="12" t="s">
        <v>668</v>
      </c>
      <c r="I365" s="13"/>
      <c r="J365" s="14" t="str">
        <f aca="false">IF(Tabla1[[#This Row],[Respuesta]]="","Sin respuesta","Respondido")</f>
        <v>Respondido</v>
      </c>
      <c r="K365" s="13"/>
    </row>
    <row r="366" customFormat="false" ht="57" hidden="false" customHeight="true" outlineLevel="0" collapsed="false">
      <c r="A366" s="10" t="n">
        <v>117</v>
      </c>
      <c r="B366" s="10" t="n">
        <v>7</v>
      </c>
      <c r="C366" s="10" t="s">
        <v>5</v>
      </c>
      <c r="D366" s="10" t="s">
        <v>453</v>
      </c>
      <c r="E366" s="10" t="s">
        <v>15</v>
      </c>
      <c r="F366" s="11" t="s">
        <v>671</v>
      </c>
      <c r="G366" s="11"/>
      <c r="H366" s="12" t="s">
        <v>672</v>
      </c>
      <c r="I366" s="13"/>
      <c r="J366" s="14" t="str">
        <f aca="false">IF(Tabla1[[#This Row],[Respuesta]]="","Sin respuesta","Respondido")</f>
        <v>Respondido</v>
      </c>
      <c r="K366" s="13"/>
    </row>
    <row r="367" customFormat="false" ht="57" hidden="false" customHeight="true" outlineLevel="0" collapsed="false">
      <c r="A367" s="10" t="n">
        <v>116</v>
      </c>
      <c r="B367" s="10" t="n">
        <v>6</v>
      </c>
      <c r="C367" s="10" t="s">
        <v>5</v>
      </c>
      <c r="D367" s="10" t="s">
        <v>453</v>
      </c>
      <c r="E367" s="10" t="s">
        <v>15</v>
      </c>
      <c r="F367" s="11" t="s">
        <v>673</v>
      </c>
      <c r="G367" s="11"/>
      <c r="H367" s="12" t="s">
        <v>668</v>
      </c>
      <c r="I367" s="13"/>
      <c r="J367" s="14" t="str">
        <f aca="false">IF(Tabla1[[#This Row],[Respuesta]]="","Sin respuesta","Respondido")</f>
        <v>Respondido</v>
      </c>
      <c r="K367" s="13"/>
    </row>
    <row r="368" customFormat="false" ht="57" hidden="false" customHeight="true" outlineLevel="0" collapsed="false">
      <c r="A368" s="10" t="n">
        <v>115</v>
      </c>
      <c r="B368" s="10" t="n">
        <v>5</v>
      </c>
      <c r="C368" s="10" t="s">
        <v>5</v>
      </c>
      <c r="D368" s="10" t="s">
        <v>453</v>
      </c>
      <c r="E368" s="10" t="s">
        <v>15</v>
      </c>
      <c r="F368" s="11" t="s">
        <v>674</v>
      </c>
      <c r="G368" s="11"/>
      <c r="H368" s="12" t="s">
        <v>668</v>
      </c>
      <c r="I368" s="13"/>
      <c r="J368" s="14" t="str">
        <f aca="false">IF(Tabla1[[#This Row],[Respuesta]]="","Sin respuesta","Respondido")</f>
        <v>Respondido</v>
      </c>
      <c r="K368" s="13"/>
    </row>
    <row r="369" customFormat="false" ht="98.25" hidden="false" customHeight="true" outlineLevel="0" collapsed="false">
      <c r="A369" s="10" t="n">
        <v>114</v>
      </c>
      <c r="B369" s="10" t="n">
        <v>4</v>
      </c>
      <c r="C369" s="10" t="s">
        <v>5</v>
      </c>
      <c r="D369" s="10" t="s">
        <v>453</v>
      </c>
      <c r="E369" s="10" t="s">
        <v>15</v>
      </c>
      <c r="F369" s="11" t="s">
        <v>675</v>
      </c>
      <c r="G369" s="11"/>
      <c r="H369" s="12" t="s">
        <v>668</v>
      </c>
      <c r="I369" s="13"/>
      <c r="J369" s="14" t="str">
        <f aca="false">IF(Tabla1[[#This Row],[Respuesta]]="","Sin respuesta","Respondido")</f>
        <v>Respondido</v>
      </c>
      <c r="K369" s="13"/>
    </row>
    <row r="370" customFormat="false" ht="57" hidden="false" customHeight="true" outlineLevel="0" collapsed="false">
      <c r="A370" s="10" t="n">
        <v>113</v>
      </c>
      <c r="B370" s="10" t="n">
        <v>3</v>
      </c>
      <c r="C370" s="10" t="s">
        <v>5</v>
      </c>
      <c r="D370" s="10" t="s">
        <v>453</v>
      </c>
      <c r="E370" s="10" t="s">
        <v>15</v>
      </c>
      <c r="F370" s="11" t="s">
        <v>676</v>
      </c>
      <c r="G370" s="11"/>
      <c r="H370" s="12" t="s">
        <v>668</v>
      </c>
      <c r="I370" s="13"/>
      <c r="J370" s="14" t="str">
        <f aca="false">IF(Tabla1[[#This Row],[Respuesta]]="","Sin respuesta","Respondido")</f>
        <v>Respondido</v>
      </c>
      <c r="K370" s="13"/>
    </row>
    <row r="371" customFormat="false" ht="57" hidden="false" customHeight="true" outlineLevel="0" collapsed="false">
      <c r="A371" s="10" t="n">
        <v>112</v>
      </c>
      <c r="B371" s="10" t="n">
        <v>2</v>
      </c>
      <c r="C371" s="10" t="s">
        <v>5</v>
      </c>
      <c r="D371" s="10" t="s">
        <v>453</v>
      </c>
      <c r="E371" s="10" t="s">
        <v>15</v>
      </c>
      <c r="F371" s="11" t="s">
        <v>677</v>
      </c>
      <c r="G371" s="11"/>
      <c r="H371" s="12" t="s">
        <v>668</v>
      </c>
      <c r="I371" s="13"/>
      <c r="J371" s="14" t="str">
        <f aca="false">IF(Tabla1[[#This Row],[Respuesta]]="","Sin respuesta","Respondido")</f>
        <v>Respondido</v>
      </c>
      <c r="K371" s="13"/>
    </row>
    <row r="372" customFormat="false" ht="57" hidden="false" customHeight="true" outlineLevel="0" collapsed="false">
      <c r="A372" s="10" t="n">
        <v>111</v>
      </c>
      <c r="B372" s="10" t="n">
        <v>1</v>
      </c>
      <c r="C372" s="10" t="s">
        <v>5</v>
      </c>
      <c r="D372" s="10" t="s">
        <v>453</v>
      </c>
      <c r="E372" s="10" t="s">
        <v>15</v>
      </c>
      <c r="F372" s="11" t="s">
        <v>678</v>
      </c>
      <c r="G372" s="11"/>
      <c r="H372" s="12" t="s">
        <v>679</v>
      </c>
      <c r="I372" s="13"/>
      <c r="J372" s="14" t="str">
        <f aca="false">IF(Tabla1[[#This Row],[Respuesta]]="","Sin respuesta","Respondido")</f>
        <v>Respondido</v>
      </c>
      <c r="K372" s="13"/>
    </row>
    <row r="373" customFormat="false" ht="143.25" hidden="false" customHeight="true" outlineLevel="0" collapsed="false">
      <c r="A373" s="10" t="n">
        <v>110</v>
      </c>
      <c r="B373" s="10" t="n">
        <v>56</v>
      </c>
      <c r="C373" s="10" t="s">
        <v>4</v>
      </c>
      <c r="D373" s="10"/>
      <c r="E373" s="10" t="s">
        <v>13</v>
      </c>
      <c r="F373" s="11" t="s">
        <v>680</v>
      </c>
      <c r="G373" s="11"/>
      <c r="H373" s="12" t="s">
        <v>681</v>
      </c>
      <c r="I373" s="13"/>
      <c r="J373" s="14" t="str">
        <f aca="false">IF(Tabla1[[#This Row],[Respuesta]]="","Sin respuesta","Respondido")</f>
        <v>Respondido</v>
      </c>
      <c r="K373" s="13"/>
    </row>
    <row r="374" customFormat="false" ht="118.5" hidden="false" customHeight="true" outlineLevel="0" collapsed="false">
      <c r="A374" s="10" t="n">
        <v>109</v>
      </c>
      <c r="B374" s="10" t="n">
        <v>55</v>
      </c>
      <c r="C374" s="10" t="s">
        <v>4</v>
      </c>
      <c r="D374" s="10"/>
      <c r="E374" s="10" t="s">
        <v>13</v>
      </c>
      <c r="F374" s="11" t="s">
        <v>682</v>
      </c>
      <c r="G374" s="11"/>
      <c r="H374" s="12" t="s">
        <v>681</v>
      </c>
      <c r="I374" s="13"/>
      <c r="J374" s="14" t="str">
        <f aca="false">IF(Tabla1[[#This Row],[Respuesta]]="","Sin respuesta","Respondido")</f>
        <v>Respondido</v>
      </c>
      <c r="K374" s="13"/>
    </row>
    <row r="375" customFormat="false" ht="57" hidden="false" customHeight="true" outlineLevel="0" collapsed="false">
      <c r="A375" s="10" t="n">
        <v>108</v>
      </c>
      <c r="B375" s="10" t="n">
        <v>54</v>
      </c>
      <c r="C375" s="10" t="s">
        <v>4</v>
      </c>
      <c r="D375" s="10"/>
      <c r="E375" s="10" t="s">
        <v>13</v>
      </c>
      <c r="F375" s="11" t="s">
        <v>683</v>
      </c>
      <c r="G375" s="11"/>
      <c r="H375" s="12" t="s">
        <v>681</v>
      </c>
      <c r="I375" s="13"/>
      <c r="J375" s="14" t="str">
        <f aca="false">IF(Tabla1[[#This Row],[Respuesta]]="","Sin respuesta","Respondido")</f>
        <v>Respondido</v>
      </c>
      <c r="K375" s="13"/>
    </row>
    <row r="376" customFormat="false" ht="57" hidden="false" customHeight="true" outlineLevel="0" collapsed="false">
      <c r="A376" s="10" t="n">
        <v>107</v>
      </c>
      <c r="B376" s="10" t="n">
        <v>53</v>
      </c>
      <c r="C376" s="10" t="s">
        <v>4</v>
      </c>
      <c r="D376" s="10"/>
      <c r="E376" s="10" t="s">
        <v>13</v>
      </c>
      <c r="F376" s="11" t="s">
        <v>684</v>
      </c>
      <c r="G376" s="11"/>
      <c r="H376" s="12" t="s">
        <v>681</v>
      </c>
      <c r="I376" s="13"/>
      <c r="J376" s="14" t="str">
        <f aca="false">IF(Tabla1[[#This Row],[Respuesta]]="","Sin respuesta","Respondido")</f>
        <v>Respondido</v>
      </c>
      <c r="K376" s="13"/>
    </row>
    <row r="377" customFormat="false" ht="57" hidden="false" customHeight="true" outlineLevel="0" collapsed="false">
      <c r="A377" s="10" t="n">
        <v>106</v>
      </c>
      <c r="B377" s="10" t="n">
        <v>52</v>
      </c>
      <c r="C377" s="10" t="s">
        <v>4</v>
      </c>
      <c r="D377" s="10"/>
      <c r="E377" s="10" t="s">
        <v>13</v>
      </c>
      <c r="F377" s="11" t="s">
        <v>685</v>
      </c>
      <c r="G377" s="11"/>
      <c r="H377" s="12" t="s">
        <v>686</v>
      </c>
      <c r="I377" s="13"/>
      <c r="J377" s="14" t="str">
        <f aca="false">IF(Tabla1[[#This Row],[Respuesta]]="","Sin respuesta","Respondido")</f>
        <v>Respondido</v>
      </c>
      <c r="K377" s="13"/>
    </row>
    <row r="378" customFormat="false" ht="57" hidden="false" customHeight="true" outlineLevel="0" collapsed="false">
      <c r="A378" s="10" t="n">
        <v>105</v>
      </c>
      <c r="B378" s="10" t="n">
        <v>51</v>
      </c>
      <c r="C378" s="10" t="s">
        <v>4</v>
      </c>
      <c r="D378" s="10"/>
      <c r="E378" s="10" t="s">
        <v>13</v>
      </c>
      <c r="F378" s="11" t="s">
        <v>687</v>
      </c>
      <c r="G378" s="11"/>
      <c r="H378" s="12" t="s">
        <v>688</v>
      </c>
      <c r="I378" s="13"/>
      <c r="J378" s="14" t="str">
        <f aca="false">IF(Tabla1[[#This Row],[Respuesta]]="","Sin respuesta","Respondido")</f>
        <v>Respondido</v>
      </c>
      <c r="K378" s="13"/>
    </row>
    <row r="379" customFormat="false" ht="76.5" hidden="false" customHeight="true" outlineLevel="0" collapsed="false">
      <c r="A379" s="10" t="n">
        <v>104</v>
      </c>
      <c r="B379" s="10" t="n">
        <v>50</v>
      </c>
      <c r="C379" s="10" t="s">
        <v>4</v>
      </c>
      <c r="D379" s="10"/>
      <c r="E379" s="10" t="s">
        <v>13</v>
      </c>
      <c r="F379" s="11" t="s">
        <v>689</v>
      </c>
      <c r="G379" s="11"/>
      <c r="H379" s="12" t="s">
        <v>690</v>
      </c>
      <c r="I379" s="13"/>
      <c r="J379" s="14" t="str">
        <f aca="false">IF(Tabla1[[#This Row],[Respuesta]]="","Sin respuesta","Respondido")</f>
        <v>Respondido</v>
      </c>
      <c r="K379" s="13"/>
    </row>
    <row r="380" customFormat="false" ht="105" hidden="false" customHeight="true" outlineLevel="0" collapsed="false">
      <c r="A380" s="10" t="n">
        <v>103</v>
      </c>
      <c r="B380" s="10" t="n">
        <v>49</v>
      </c>
      <c r="C380" s="10" t="s">
        <v>4</v>
      </c>
      <c r="D380" s="10"/>
      <c r="E380" s="10" t="s">
        <v>13</v>
      </c>
      <c r="F380" s="11" t="s">
        <v>691</v>
      </c>
      <c r="G380" s="11"/>
      <c r="H380" s="12" t="s">
        <v>215</v>
      </c>
      <c r="I380" s="13"/>
      <c r="J380" s="14" t="str">
        <f aca="false">IF(Tabla1[[#This Row],[Respuesta]]="","Sin respuesta","Respondido")</f>
        <v>Respondido</v>
      </c>
      <c r="K380" s="13"/>
    </row>
    <row r="381" customFormat="false" ht="67.5" hidden="false" customHeight="true" outlineLevel="0" collapsed="false">
      <c r="A381" s="10" t="n">
        <v>102</v>
      </c>
      <c r="B381" s="10" t="n">
        <v>48</v>
      </c>
      <c r="C381" s="10" t="s">
        <v>4</v>
      </c>
      <c r="D381" s="10"/>
      <c r="E381" s="10" t="s">
        <v>7</v>
      </c>
      <c r="F381" s="11" t="s">
        <v>692</v>
      </c>
      <c r="G381" s="11"/>
      <c r="H381" s="12" t="s">
        <v>693</v>
      </c>
      <c r="I381" s="13"/>
      <c r="J381" s="14" t="str">
        <f aca="false">IF(Tabla1[[#This Row],[Respuesta]]="","Sin respuesta","Respondido")</f>
        <v>Respondido</v>
      </c>
      <c r="K381" s="13"/>
    </row>
    <row r="382" customFormat="false" ht="57" hidden="false" customHeight="true" outlineLevel="0" collapsed="false">
      <c r="A382" s="10" t="n">
        <v>101</v>
      </c>
      <c r="B382" s="10" t="n">
        <v>47</v>
      </c>
      <c r="C382" s="10" t="s">
        <v>4</v>
      </c>
      <c r="D382" s="10"/>
      <c r="E382" s="10" t="s">
        <v>13</v>
      </c>
      <c r="F382" s="11" t="s">
        <v>694</v>
      </c>
      <c r="G382" s="11"/>
      <c r="H382" s="12" t="s">
        <v>695</v>
      </c>
      <c r="I382" s="13"/>
      <c r="J382" s="14" t="str">
        <f aca="false">IF(Tabla1[[#This Row],[Respuesta]]="","Sin respuesta","Respondido")</f>
        <v>Respondido</v>
      </c>
      <c r="K382" s="13"/>
    </row>
    <row r="383" customFormat="false" ht="57" hidden="false" customHeight="true" outlineLevel="0" collapsed="false">
      <c r="A383" s="10" t="n">
        <v>100</v>
      </c>
      <c r="B383" s="10" t="n">
        <v>46</v>
      </c>
      <c r="C383" s="10" t="s">
        <v>4</v>
      </c>
      <c r="D383" s="10"/>
      <c r="E383" s="10" t="s">
        <v>13</v>
      </c>
      <c r="F383" s="11" t="s">
        <v>696</v>
      </c>
      <c r="G383" s="11"/>
      <c r="H383" s="12" t="s">
        <v>697</v>
      </c>
      <c r="I383" s="13"/>
      <c r="J383" s="14" t="str">
        <f aca="false">IF(Tabla1[[#This Row],[Respuesta]]="","Sin respuesta","Respondido")</f>
        <v>Respondido</v>
      </c>
      <c r="K383" s="13"/>
    </row>
    <row r="384" customFormat="false" ht="57" hidden="false" customHeight="true" outlineLevel="0" collapsed="false">
      <c r="A384" s="10" t="n">
        <v>99</v>
      </c>
      <c r="B384" s="10" t="n">
        <v>45</v>
      </c>
      <c r="C384" s="10" t="s">
        <v>4</v>
      </c>
      <c r="D384" s="10"/>
      <c r="E384" s="10" t="s">
        <v>13</v>
      </c>
      <c r="F384" s="11" t="s">
        <v>698</v>
      </c>
      <c r="G384" s="11"/>
      <c r="H384" s="12" t="s">
        <v>697</v>
      </c>
      <c r="I384" s="13"/>
      <c r="J384" s="14" t="str">
        <f aca="false">IF(Tabla1[[#This Row],[Respuesta]]="","Sin respuesta","Respondido")</f>
        <v>Respondido</v>
      </c>
      <c r="K384" s="13"/>
    </row>
    <row r="385" customFormat="false" ht="57" hidden="false" customHeight="true" outlineLevel="0" collapsed="false">
      <c r="A385" s="10" t="n">
        <v>98</v>
      </c>
      <c r="B385" s="10" t="n">
        <v>44</v>
      </c>
      <c r="C385" s="10" t="s">
        <v>4</v>
      </c>
      <c r="D385" s="10"/>
      <c r="E385" s="10" t="s">
        <v>13</v>
      </c>
      <c r="F385" s="11" t="s">
        <v>699</v>
      </c>
      <c r="G385" s="11"/>
      <c r="H385" s="12" t="s">
        <v>697</v>
      </c>
      <c r="I385" s="13"/>
      <c r="J385" s="14" t="str">
        <f aca="false">IF(Tabla1[[#This Row],[Respuesta]]="","Sin respuesta","Respondido")</f>
        <v>Respondido</v>
      </c>
      <c r="K385" s="13"/>
    </row>
    <row r="386" customFormat="false" ht="57" hidden="false" customHeight="true" outlineLevel="0" collapsed="false">
      <c r="A386" s="10" t="n">
        <v>97</v>
      </c>
      <c r="B386" s="10" t="n">
        <v>43</v>
      </c>
      <c r="C386" s="10" t="s">
        <v>4</v>
      </c>
      <c r="D386" s="10"/>
      <c r="E386" s="10" t="s">
        <v>13</v>
      </c>
      <c r="F386" s="11" t="s">
        <v>700</v>
      </c>
      <c r="G386" s="11"/>
      <c r="H386" s="12" t="s">
        <v>697</v>
      </c>
      <c r="I386" s="13"/>
      <c r="J386" s="14" t="str">
        <f aca="false">IF(Tabla1[[#This Row],[Respuesta]]="","Sin respuesta","Respondido")</f>
        <v>Respondido</v>
      </c>
      <c r="K386" s="13"/>
    </row>
    <row r="387" customFormat="false" ht="57" hidden="false" customHeight="true" outlineLevel="0" collapsed="false">
      <c r="A387" s="10" t="n">
        <v>96</v>
      </c>
      <c r="B387" s="10" t="n">
        <v>42</v>
      </c>
      <c r="C387" s="10" t="s">
        <v>4</v>
      </c>
      <c r="D387" s="10"/>
      <c r="E387" s="10" t="s">
        <v>13</v>
      </c>
      <c r="F387" s="11" t="s">
        <v>701</v>
      </c>
      <c r="G387" s="11"/>
      <c r="H387" s="12" t="s">
        <v>702</v>
      </c>
      <c r="I387" s="13"/>
      <c r="J387" s="14" t="str">
        <f aca="false">IF(Tabla1[[#This Row],[Respuesta]]="","Sin respuesta","Respondido")</f>
        <v>Respondido</v>
      </c>
      <c r="K387" s="13"/>
    </row>
    <row r="388" customFormat="false" ht="57" hidden="false" customHeight="true" outlineLevel="0" collapsed="false">
      <c r="A388" s="10" t="n">
        <v>95</v>
      </c>
      <c r="B388" s="10" t="n">
        <v>41</v>
      </c>
      <c r="C388" s="10" t="s">
        <v>4</v>
      </c>
      <c r="D388" s="10"/>
      <c r="E388" s="10" t="s">
        <v>13</v>
      </c>
      <c r="F388" s="11" t="s">
        <v>703</v>
      </c>
      <c r="G388" s="11"/>
      <c r="H388" s="12" t="s">
        <v>704</v>
      </c>
      <c r="I388" s="13"/>
      <c r="J388" s="14" t="str">
        <f aca="false">IF(Tabla1[[#This Row],[Respuesta]]="","Sin respuesta","Respondido")</f>
        <v>Respondido</v>
      </c>
      <c r="K388" s="13"/>
    </row>
    <row r="389" customFormat="false" ht="57" hidden="false" customHeight="true" outlineLevel="0" collapsed="false">
      <c r="A389" s="10" t="n">
        <v>94</v>
      </c>
      <c r="B389" s="10" t="n">
        <v>40</v>
      </c>
      <c r="C389" s="10" t="s">
        <v>4</v>
      </c>
      <c r="D389" s="10"/>
      <c r="E389" s="10" t="s">
        <v>13</v>
      </c>
      <c r="F389" s="11" t="s">
        <v>705</v>
      </c>
      <c r="G389" s="11"/>
      <c r="H389" s="12" t="s">
        <v>706</v>
      </c>
      <c r="I389" s="13"/>
      <c r="J389" s="14" t="str">
        <f aca="false">IF(Tabla1[[#This Row],[Respuesta]]="","Sin respuesta","Respondido")</f>
        <v>Respondido</v>
      </c>
      <c r="K389" s="13"/>
    </row>
    <row r="390" customFormat="false" ht="57" hidden="false" customHeight="true" outlineLevel="0" collapsed="false">
      <c r="A390" s="10" t="n">
        <v>93</v>
      </c>
      <c r="B390" s="10" t="n">
        <v>39</v>
      </c>
      <c r="C390" s="10" t="s">
        <v>4</v>
      </c>
      <c r="D390" s="10"/>
      <c r="E390" s="10" t="s">
        <v>13</v>
      </c>
      <c r="F390" s="11" t="s">
        <v>707</v>
      </c>
      <c r="G390" s="11"/>
      <c r="H390" s="12" t="s">
        <v>708</v>
      </c>
      <c r="I390" s="13"/>
      <c r="J390" s="14" t="str">
        <f aca="false">IF(Tabla1[[#This Row],[Respuesta]]="","Sin respuesta","Respondido")</f>
        <v>Respondido</v>
      </c>
      <c r="K390" s="13"/>
    </row>
    <row r="391" customFormat="false" ht="57" hidden="false" customHeight="true" outlineLevel="0" collapsed="false">
      <c r="A391" s="10" t="n">
        <v>92</v>
      </c>
      <c r="B391" s="10" t="n">
        <v>38</v>
      </c>
      <c r="C391" s="10" t="s">
        <v>4</v>
      </c>
      <c r="D391" s="10"/>
      <c r="E391" s="10" t="s">
        <v>13</v>
      </c>
      <c r="F391" s="11" t="s">
        <v>709</v>
      </c>
      <c r="G391" s="11" t="s">
        <v>710</v>
      </c>
      <c r="H391" s="12" t="s">
        <v>711</v>
      </c>
      <c r="I391" s="13"/>
      <c r="J391" s="14" t="str">
        <f aca="false">IF(Tabla1[[#This Row],[Respuesta]]="","Sin respuesta","Respondido")</f>
        <v>Respondido</v>
      </c>
      <c r="K391" s="13"/>
    </row>
    <row r="392" customFormat="false" ht="57" hidden="false" customHeight="true" outlineLevel="0" collapsed="false">
      <c r="A392" s="10" t="n">
        <v>91</v>
      </c>
      <c r="B392" s="10" t="n">
        <v>37</v>
      </c>
      <c r="C392" s="10" t="s">
        <v>4</v>
      </c>
      <c r="D392" s="10"/>
      <c r="E392" s="10" t="s">
        <v>13</v>
      </c>
      <c r="F392" s="11" t="s">
        <v>712</v>
      </c>
      <c r="G392" s="11" t="s">
        <v>713</v>
      </c>
      <c r="H392" s="12" t="s">
        <v>711</v>
      </c>
      <c r="I392" s="13"/>
      <c r="J392" s="14" t="str">
        <f aca="false">IF(Tabla1[[#This Row],[Respuesta]]="","Sin respuesta","Respondido")</f>
        <v>Respondido</v>
      </c>
      <c r="K392" s="13"/>
    </row>
    <row r="393" customFormat="false" ht="57" hidden="false" customHeight="true" outlineLevel="0" collapsed="false">
      <c r="A393" s="10" t="n">
        <v>90</v>
      </c>
      <c r="B393" s="10" t="n">
        <v>36</v>
      </c>
      <c r="C393" s="10" t="s">
        <v>4</v>
      </c>
      <c r="D393" s="10"/>
      <c r="E393" s="10" t="s">
        <v>13</v>
      </c>
      <c r="F393" s="11" t="s">
        <v>714</v>
      </c>
      <c r="G393" s="11" t="s">
        <v>715</v>
      </c>
      <c r="H393" s="12" t="s">
        <v>711</v>
      </c>
      <c r="I393" s="13"/>
      <c r="J393" s="14" t="str">
        <f aca="false">IF(Tabla1[[#This Row],[Respuesta]]="","Sin respuesta","Respondido")</f>
        <v>Respondido</v>
      </c>
      <c r="K393" s="13"/>
    </row>
    <row r="394" customFormat="false" ht="72.75" hidden="false" customHeight="true" outlineLevel="0" collapsed="false">
      <c r="A394" s="10" t="n">
        <v>89</v>
      </c>
      <c r="B394" s="10" t="n">
        <v>35</v>
      </c>
      <c r="C394" s="10" t="s">
        <v>4</v>
      </c>
      <c r="D394" s="10"/>
      <c r="E394" s="10" t="s">
        <v>13</v>
      </c>
      <c r="F394" s="11" t="s">
        <v>716</v>
      </c>
      <c r="G394" s="11" t="s">
        <v>717</v>
      </c>
      <c r="H394" s="12" t="s">
        <v>711</v>
      </c>
      <c r="I394" s="13"/>
      <c r="J394" s="14" t="str">
        <f aca="false">IF(Tabla1[[#This Row],[Respuesta]]="","Sin respuesta","Respondido")</f>
        <v>Respondido</v>
      </c>
      <c r="K394" s="13"/>
    </row>
    <row r="395" customFormat="false" ht="57" hidden="false" customHeight="true" outlineLevel="0" collapsed="false">
      <c r="A395" s="10" t="n">
        <v>88</v>
      </c>
      <c r="B395" s="10" t="n">
        <v>34</v>
      </c>
      <c r="C395" s="10" t="s">
        <v>4</v>
      </c>
      <c r="D395" s="10"/>
      <c r="E395" s="10" t="s">
        <v>13</v>
      </c>
      <c r="F395" s="11" t="s">
        <v>718</v>
      </c>
      <c r="G395" s="11" t="s">
        <v>719</v>
      </c>
      <c r="H395" s="12" t="s">
        <v>720</v>
      </c>
      <c r="I395" s="13"/>
      <c r="J395" s="14" t="str">
        <f aca="false">IF(Tabla1[[#This Row],[Respuesta]]="","Sin respuesta","Respondido")</f>
        <v>Respondido</v>
      </c>
      <c r="K395" s="13"/>
    </row>
    <row r="396" customFormat="false" ht="57" hidden="false" customHeight="true" outlineLevel="0" collapsed="false">
      <c r="A396" s="10" t="n">
        <v>87</v>
      </c>
      <c r="B396" s="10" t="n">
        <v>33</v>
      </c>
      <c r="C396" s="10" t="s">
        <v>4</v>
      </c>
      <c r="D396" s="10"/>
      <c r="E396" s="10" t="s">
        <v>13</v>
      </c>
      <c r="F396" s="11" t="s">
        <v>721</v>
      </c>
      <c r="G396" s="11" t="s">
        <v>722</v>
      </c>
      <c r="H396" s="12" t="s">
        <v>723</v>
      </c>
      <c r="I396" s="13"/>
      <c r="J396" s="14" t="str">
        <f aca="false">IF(Tabla1[[#This Row],[Respuesta]]="","Sin respuesta","Respondido")</f>
        <v>Respondido</v>
      </c>
      <c r="K396" s="13"/>
    </row>
    <row r="397" customFormat="false" ht="57" hidden="false" customHeight="true" outlineLevel="0" collapsed="false">
      <c r="A397" s="10" t="n">
        <v>86</v>
      </c>
      <c r="B397" s="10" t="n">
        <v>32</v>
      </c>
      <c r="C397" s="10" t="s">
        <v>4</v>
      </c>
      <c r="D397" s="10"/>
      <c r="E397" s="10" t="s">
        <v>13</v>
      </c>
      <c r="F397" s="11" t="s">
        <v>724</v>
      </c>
      <c r="G397" s="11" t="s">
        <v>725</v>
      </c>
      <c r="H397" s="12" t="s">
        <v>711</v>
      </c>
      <c r="I397" s="13"/>
      <c r="J397" s="14" t="str">
        <f aca="false">IF(Tabla1[[#This Row],[Respuesta]]="","Sin respuesta","Respondido")</f>
        <v>Respondido</v>
      </c>
      <c r="K397" s="13"/>
    </row>
    <row r="398" customFormat="false" ht="57" hidden="false" customHeight="true" outlineLevel="0" collapsed="false">
      <c r="A398" s="10" t="n">
        <v>85</v>
      </c>
      <c r="B398" s="10" t="n">
        <v>31</v>
      </c>
      <c r="C398" s="10" t="s">
        <v>4</v>
      </c>
      <c r="D398" s="10"/>
      <c r="E398" s="10" t="s">
        <v>13</v>
      </c>
      <c r="F398" s="11" t="s">
        <v>726</v>
      </c>
      <c r="G398" s="11" t="s">
        <v>727</v>
      </c>
      <c r="H398" s="12" t="s">
        <v>711</v>
      </c>
      <c r="I398" s="13"/>
      <c r="J398" s="14" t="str">
        <f aca="false">IF(Tabla1[[#This Row],[Respuesta]]="","Sin respuesta","Respondido")</f>
        <v>Respondido</v>
      </c>
      <c r="K398" s="13"/>
    </row>
    <row r="399" customFormat="false" ht="57" hidden="false" customHeight="true" outlineLevel="0" collapsed="false">
      <c r="A399" s="10" t="n">
        <v>84</v>
      </c>
      <c r="B399" s="10" t="n">
        <v>30</v>
      </c>
      <c r="C399" s="10" t="s">
        <v>4</v>
      </c>
      <c r="D399" s="10"/>
      <c r="E399" s="10" t="s">
        <v>13</v>
      </c>
      <c r="F399" s="11" t="s">
        <v>728</v>
      </c>
      <c r="G399" s="11" t="s">
        <v>727</v>
      </c>
      <c r="H399" s="12" t="s">
        <v>711</v>
      </c>
      <c r="I399" s="13"/>
      <c r="J399" s="14" t="str">
        <f aca="false">IF(Tabla1[[#This Row],[Respuesta]]="","Sin respuesta","Respondido")</f>
        <v>Respondido</v>
      </c>
      <c r="K399" s="13"/>
    </row>
    <row r="400" customFormat="false" ht="57" hidden="false" customHeight="true" outlineLevel="0" collapsed="false">
      <c r="A400" s="10" t="n">
        <v>83</v>
      </c>
      <c r="B400" s="10" t="n">
        <v>29</v>
      </c>
      <c r="C400" s="10" t="s">
        <v>4</v>
      </c>
      <c r="D400" s="10"/>
      <c r="E400" s="10" t="s">
        <v>13</v>
      </c>
      <c r="F400" s="11" t="s">
        <v>729</v>
      </c>
      <c r="G400" s="11" t="s">
        <v>727</v>
      </c>
      <c r="H400" s="12" t="s">
        <v>730</v>
      </c>
      <c r="I400" s="13"/>
      <c r="J400" s="14" t="str">
        <f aca="false">IF(Tabla1[[#This Row],[Respuesta]]="","Sin respuesta","Respondido")</f>
        <v>Respondido</v>
      </c>
      <c r="K400" s="13"/>
    </row>
    <row r="401" customFormat="false" ht="57" hidden="false" customHeight="true" outlineLevel="0" collapsed="false">
      <c r="A401" s="10" t="n">
        <v>82</v>
      </c>
      <c r="B401" s="10" t="n">
        <v>28</v>
      </c>
      <c r="C401" s="10" t="s">
        <v>4</v>
      </c>
      <c r="D401" s="10"/>
      <c r="E401" s="10" t="s">
        <v>13</v>
      </c>
      <c r="F401" s="11" t="s">
        <v>731</v>
      </c>
      <c r="G401" s="11" t="s">
        <v>732</v>
      </c>
      <c r="H401" s="12" t="s">
        <v>720</v>
      </c>
      <c r="I401" s="13"/>
      <c r="J401" s="14" t="str">
        <f aca="false">IF(Tabla1[[#This Row],[Respuesta]]="","Sin respuesta","Respondido")</f>
        <v>Respondido</v>
      </c>
      <c r="K401" s="13"/>
    </row>
    <row r="402" customFormat="false" ht="57" hidden="false" customHeight="true" outlineLevel="0" collapsed="false">
      <c r="A402" s="10" t="n">
        <v>81</v>
      </c>
      <c r="B402" s="10" t="n">
        <v>27</v>
      </c>
      <c r="C402" s="10" t="s">
        <v>4</v>
      </c>
      <c r="D402" s="10"/>
      <c r="E402" s="10" t="s">
        <v>13</v>
      </c>
      <c r="F402" s="11" t="s">
        <v>733</v>
      </c>
      <c r="G402" s="11" t="s">
        <v>722</v>
      </c>
      <c r="H402" s="12" t="s">
        <v>730</v>
      </c>
      <c r="I402" s="13"/>
      <c r="J402" s="14" t="str">
        <f aca="false">IF(Tabla1[[#This Row],[Respuesta]]="","Sin respuesta","Respondido")</f>
        <v>Respondido</v>
      </c>
      <c r="K402" s="13"/>
    </row>
    <row r="403" customFormat="false" ht="57" hidden="false" customHeight="true" outlineLevel="0" collapsed="false">
      <c r="A403" s="10" t="n">
        <v>80</v>
      </c>
      <c r="B403" s="10" t="n">
        <v>26</v>
      </c>
      <c r="C403" s="10" t="s">
        <v>4</v>
      </c>
      <c r="D403" s="10"/>
      <c r="E403" s="10" t="s">
        <v>13</v>
      </c>
      <c r="F403" s="11" t="s">
        <v>734</v>
      </c>
      <c r="G403" s="11" t="s">
        <v>735</v>
      </c>
      <c r="H403" s="12" t="s">
        <v>720</v>
      </c>
      <c r="I403" s="13"/>
      <c r="J403" s="14" t="str">
        <f aca="false">IF(Tabla1[[#This Row],[Respuesta]]="","Sin respuesta","Respondido")</f>
        <v>Respondido</v>
      </c>
      <c r="K403" s="13"/>
    </row>
    <row r="404" customFormat="false" ht="57" hidden="false" customHeight="true" outlineLevel="0" collapsed="false">
      <c r="A404" s="10" t="n">
        <v>79</v>
      </c>
      <c r="B404" s="10" t="n">
        <v>25</v>
      </c>
      <c r="C404" s="10" t="s">
        <v>4</v>
      </c>
      <c r="D404" s="10"/>
      <c r="E404" s="10" t="s">
        <v>13</v>
      </c>
      <c r="F404" s="11" t="s">
        <v>736</v>
      </c>
      <c r="G404" s="11" t="s">
        <v>737</v>
      </c>
      <c r="H404" s="12" t="s">
        <v>738</v>
      </c>
      <c r="I404" s="13"/>
      <c r="J404" s="14" t="str">
        <f aca="false">IF(Tabla1[[#This Row],[Respuesta]]="","Sin respuesta","Respondido")</f>
        <v>Respondido</v>
      </c>
      <c r="K404" s="13"/>
    </row>
    <row r="405" customFormat="false" ht="57" hidden="false" customHeight="true" outlineLevel="0" collapsed="false">
      <c r="A405" s="10" t="n">
        <v>78</v>
      </c>
      <c r="B405" s="10" t="n">
        <v>24</v>
      </c>
      <c r="C405" s="10" t="s">
        <v>4</v>
      </c>
      <c r="D405" s="10"/>
      <c r="E405" s="10" t="s">
        <v>14</v>
      </c>
      <c r="F405" s="11" t="s">
        <v>739</v>
      </c>
      <c r="G405" s="11"/>
      <c r="H405" s="12" t="s">
        <v>740</v>
      </c>
      <c r="I405" s="13"/>
      <c r="J405" s="14" t="str">
        <f aca="false">IF(Tabla1[[#This Row],[Respuesta]]="","Sin respuesta","Respondido")</f>
        <v>Respondido</v>
      </c>
      <c r="K405" s="13"/>
    </row>
    <row r="406" customFormat="false" ht="57" hidden="false" customHeight="true" outlineLevel="0" collapsed="false">
      <c r="A406" s="10" t="n">
        <v>77</v>
      </c>
      <c r="B406" s="10" t="n">
        <v>23</v>
      </c>
      <c r="C406" s="10" t="s">
        <v>4</v>
      </c>
      <c r="D406" s="10"/>
      <c r="E406" s="10" t="s">
        <v>14</v>
      </c>
      <c r="F406" s="11" t="s">
        <v>741</v>
      </c>
      <c r="G406" s="11"/>
      <c r="H406" s="12" t="s">
        <v>740</v>
      </c>
      <c r="I406" s="13"/>
      <c r="J406" s="14" t="str">
        <f aca="false">IF(Tabla1[[#This Row],[Respuesta]]="","Sin respuesta","Respondido")</f>
        <v>Respondido</v>
      </c>
      <c r="K406" s="13"/>
    </row>
    <row r="407" customFormat="false" ht="57" hidden="false" customHeight="true" outlineLevel="0" collapsed="false">
      <c r="A407" s="10" t="n">
        <v>76</v>
      </c>
      <c r="B407" s="10" t="n">
        <v>22</v>
      </c>
      <c r="C407" s="10" t="s">
        <v>4</v>
      </c>
      <c r="D407" s="10"/>
      <c r="E407" s="10" t="s">
        <v>14</v>
      </c>
      <c r="F407" s="11" t="s">
        <v>742</v>
      </c>
      <c r="G407" s="11"/>
      <c r="H407" s="12" t="s">
        <v>743</v>
      </c>
      <c r="I407" s="13"/>
      <c r="J407" s="14" t="str">
        <f aca="false">IF(Tabla1[[#This Row],[Respuesta]]="","Sin respuesta","Respondido")</f>
        <v>Respondido</v>
      </c>
      <c r="K407" s="13"/>
    </row>
    <row r="408" customFormat="false" ht="57" hidden="false" customHeight="true" outlineLevel="0" collapsed="false">
      <c r="A408" s="10" t="n">
        <v>75</v>
      </c>
      <c r="B408" s="10" t="n">
        <v>21</v>
      </c>
      <c r="C408" s="10" t="s">
        <v>4</v>
      </c>
      <c r="D408" s="10"/>
      <c r="E408" s="10" t="s">
        <v>14</v>
      </c>
      <c r="F408" s="11" t="s">
        <v>744</v>
      </c>
      <c r="G408" s="11"/>
      <c r="H408" s="12" t="s">
        <v>745</v>
      </c>
      <c r="I408" s="13"/>
      <c r="J408" s="14" t="str">
        <f aca="false">IF(Tabla1[[#This Row],[Respuesta]]="","Sin respuesta","Respondido")</f>
        <v>Respondido</v>
      </c>
      <c r="K408" s="13"/>
    </row>
    <row r="409" customFormat="false" ht="57" hidden="false" customHeight="true" outlineLevel="0" collapsed="false">
      <c r="A409" s="10" t="n">
        <v>74</v>
      </c>
      <c r="B409" s="10" t="n">
        <v>20</v>
      </c>
      <c r="C409" s="10" t="s">
        <v>4</v>
      </c>
      <c r="D409" s="10"/>
      <c r="E409" s="10" t="s">
        <v>13</v>
      </c>
      <c r="F409" s="11" t="s">
        <v>746</v>
      </c>
      <c r="G409" s="11" t="s">
        <v>747</v>
      </c>
      <c r="H409" s="12" t="s">
        <v>215</v>
      </c>
      <c r="I409" s="13"/>
      <c r="J409" s="14" t="str">
        <f aca="false">IF(Tabla1[[#This Row],[Respuesta]]="","Sin respuesta","Respondido")</f>
        <v>Respondido</v>
      </c>
      <c r="K409" s="13"/>
    </row>
    <row r="410" customFormat="false" ht="57" hidden="false" customHeight="true" outlineLevel="0" collapsed="false">
      <c r="A410" s="10" t="n">
        <v>73</v>
      </c>
      <c r="B410" s="10" t="n">
        <v>19</v>
      </c>
      <c r="C410" s="10" t="s">
        <v>4</v>
      </c>
      <c r="D410" s="10"/>
      <c r="E410" s="10" t="s">
        <v>12</v>
      </c>
      <c r="F410" s="11" t="s">
        <v>748</v>
      </c>
      <c r="G410" s="11" t="s">
        <v>747</v>
      </c>
      <c r="H410" s="12" t="s">
        <v>749</v>
      </c>
      <c r="I410" s="13"/>
      <c r="J410" s="14" t="str">
        <f aca="false">IF(Tabla1[[#This Row],[Respuesta]]="","Sin respuesta","Respondido")</f>
        <v>Respondido</v>
      </c>
      <c r="K410" s="13"/>
    </row>
    <row r="411" customFormat="false" ht="57" hidden="false" customHeight="true" outlineLevel="0" collapsed="false">
      <c r="A411" s="10" t="n">
        <v>72</v>
      </c>
      <c r="B411" s="10" t="n">
        <v>18</v>
      </c>
      <c r="C411" s="10" t="s">
        <v>4</v>
      </c>
      <c r="D411" s="10"/>
      <c r="E411" s="10" t="s">
        <v>12</v>
      </c>
      <c r="F411" s="11" t="s">
        <v>750</v>
      </c>
      <c r="G411" s="11" t="s">
        <v>747</v>
      </c>
      <c r="H411" s="12" t="s">
        <v>751</v>
      </c>
      <c r="I411" s="13"/>
      <c r="J411" s="14" t="str">
        <f aca="false">IF(Tabla1[[#This Row],[Respuesta]]="","Sin respuesta","Respondido")</f>
        <v>Respondido</v>
      </c>
      <c r="K411" s="13"/>
    </row>
    <row r="412" customFormat="false" ht="57" hidden="false" customHeight="true" outlineLevel="0" collapsed="false">
      <c r="A412" s="10" t="n">
        <v>71</v>
      </c>
      <c r="B412" s="10" t="n">
        <v>17</v>
      </c>
      <c r="C412" s="10" t="s">
        <v>4</v>
      </c>
      <c r="D412" s="10"/>
      <c r="E412" s="10" t="s">
        <v>12</v>
      </c>
      <c r="F412" s="11" t="s">
        <v>752</v>
      </c>
      <c r="G412" s="11" t="s">
        <v>747</v>
      </c>
      <c r="H412" s="12" t="s">
        <v>215</v>
      </c>
      <c r="I412" s="13"/>
      <c r="J412" s="14" t="str">
        <f aca="false">IF(Tabla1[[#This Row],[Respuesta]]="","Sin respuesta","Respondido")</f>
        <v>Respondido</v>
      </c>
      <c r="K412" s="13"/>
    </row>
    <row r="413" customFormat="false" ht="57" hidden="false" customHeight="true" outlineLevel="0" collapsed="false">
      <c r="A413" s="10" t="n">
        <v>70</v>
      </c>
      <c r="B413" s="10" t="n">
        <v>16</v>
      </c>
      <c r="C413" s="10" t="s">
        <v>4</v>
      </c>
      <c r="D413" s="10"/>
      <c r="E413" s="10" t="s">
        <v>8</v>
      </c>
      <c r="F413" s="11" t="s">
        <v>753</v>
      </c>
      <c r="G413" s="11" t="s">
        <v>747</v>
      </c>
      <c r="H413" s="12" t="s">
        <v>754</v>
      </c>
      <c r="I413" s="13"/>
      <c r="J413" s="14" t="str">
        <f aca="false">IF(Tabla1[[#This Row],[Respuesta]]="","Sin respuesta","Respondido")</f>
        <v>Respondido</v>
      </c>
      <c r="K413" s="13"/>
    </row>
    <row r="414" customFormat="false" ht="57" hidden="false" customHeight="true" outlineLevel="0" collapsed="false">
      <c r="A414" s="10" t="n">
        <v>69</v>
      </c>
      <c r="B414" s="10" t="n">
        <v>15</v>
      </c>
      <c r="C414" s="10" t="s">
        <v>4</v>
      </c>
      <c r="D414" s="10"/>
      <c r="E414" s="10" t="s">
        <v>8</v>
      </c>
      <c r="F414" s="11" t="s">
        <v>755</v>
      </c>
      <c r="G414" s="11" t="s">
        <v>747</v>
      </c>
      <c r="H414" s="12" t="s">
        <v>756</v>
      </c>
      <c r="I414" s="13"/>
      <c r="J414" s="14" t="str">
        <f aca="false">IF(Tabla1[[#This Row],[Respuesta]]="","Sin respuesta","Respondido")</f>
        <v>Respondido</v>
      </c>
      <c r="K414" s="13"/>
    </row>
    <row r="415" customFormat="false" ht="57" hidden="false" customHeight="true" outlineLevel="0" collapsed="false">
      <c r="A415" s="10" t="n">
        <v>68</v>
      </c>
      <c r="B415" s="10" t="n">
        <v>14</v>
      </c>
      <c r="C415" s="10" t="s">
        <v>4</v>
      </c>
      <c r="D415" s="10"/>
      <c r="E415" s="10" t="s">
        <v>8</v>
      </c>
      <c r="F415" s="11" t="s">
        <v>757</v>
      </c>
      <c r="G415" s="11" t="s">
        <v>747</v>
      </c>
      <c r="H415" s="12" t="s">
        <v>754</v>
      </c>
      <c r="I415" s="13"/>
      <c r="J415" s="14" t="str">
        <f aca="false">IF(Tabla1[[#This Row],[Respuesta]]="","Sin respuesta","Respondido")</f>
        <v>Respondido</v>
      </c>
      <c r="K415" s="13"/>
    </row>
    <row r="416" customFormat="false" ht="57" hidden="false" customHeight="true" outlineLevel="0" collapsed="false">
      <c r="A416" s="10" t="n">
        <v>67</v>
      </c>
      <c r="B416" s="10" t="n">
        <v>13</v>
      </c>
      <c r="C416" s="10" t="s">
        <v>4</v>
      </c>
      <c r="D416" s="10"/>
      <c r="E416" s="10" t="s">
        <v>8</v>
      </c>
      <c r="F416" s="11" t="s">
        <v>758</v>
      </c>
      <c r="G416" s="11" t="s">
        <v>747</v>
      </c>
      <c r="H416" s="12" t="s">
        <v>759</v>
      </c>
      <c r="I416" s="13"/>
      <c r="J416" s="14" t="str">
        <f aca="false">IF(Tabla1[[#This Row],[Respuesta]]="","Sin respuesta","Respondido")</f>
        <v>Respondido</v>
      </c>
      <c r="K416" s="13"/>
    </row>
    <row r="417" customFormat="false" ht="127.5" hidden="false" customHeight="true" outlineLevel="0" collapsed="false">
      <c r="A417" s="10" t="n">
        <v>66</v>
      </c>
      <c r="B417" s="10" t="n">
        <v>12</v>
      </c>
      <c r="C417" s="10" t="s">
        <v>4</v>
      </c>
      <c r="D417" s="10"/>
      <c r="E417" s="10" t="s">
        <v>8</v>
      </c>
      <c r="F417" s="11" t="s">
        <v>760</v>
      </c>
      <c r="G417" s="11" t="s">
        <v>747</v>
      </c>
      <c r="H417" s="12" t="s">
        <v>154</v>
      </c>
      <c r="I417" s="13"/>
      <c r="J417" s="14" t="str">
        <f aca="false">IF(Tabla1[[#This Row],[Respuesta]]="","Sin respuesta","Respondido")</f>
        <v>Respondido</v>
      </c>
      <c r="K417" s="13"/>
    </row>
    <row r="418" customFormat="false" ht="57" hidden="false" customHeight="true" outlineLevel="0" collapsed="false">
      <c r="A418" s="10" t="n">
        <v>65</v>
      </c>
      <c r="B418" s="10" t="n">
        <v>11</v>
      </c>
      <c r="C418" s="10" t="s">
        <v>4</v>
      </c>
      <c r="D418" s="10"/>
      <c r="E418" s="10" t="s">
        <v>8</v>
      </c>
      <c r="F418" s="11" t="s">
        <v>761</v>
      </c>
      <c r="G418" s="11" t="s">
        <v>747</v>
      </c>
      <c r="H418" s="12" t="s">
        <v>154</v>
      </c>
      <c r="I418" s="13"/>
      <c r="J418" s="14" t="str">
        <f aca="false">IF(Tabla1[[#This Row],[Respuesta]]="","Sin respuesta","Respondido")</f>
        <v>Respondido</v>
      </c>
      <c r="K418" s="13"/>
    </row>
    <row r="419" customFormat="false" ht="57" hidden="false" customHeight="true" outlineLevel="0" collapsed="false">
      <c r="A419" s="10" t="n">
        <v>64</v>
      </c>
      <c r="B419" s="10" t="n">
        <v>10</v>
      </c>
      <c r="C419" s="10" t="s">
        <v>4</v>
      </c>
      <c r="D419" s="10"/>
      <c r="E419" s="10" t="s">
        <v>8</v>
      </c>
      <c r="F419" s="11" t="s">
        <v>762</v>
      </c>
      <c r="G419" s="11" t="s">
        <v>747</v>
      </c>
      <c r="H419" s="12" t="s">
        <v>154</v>
      </c>
      <c r="I419" s="13"/>
      <c r="J419" s="14" t="str">
        <f aca="false">IF(Tabla1[[#This Row],[Respuesta]]="","Sin respuesta","Respondido")</f>
        <v>Respondido</v>
      </c>
      <c r="K419" s="13"/>
    </row>
    <row r="420" customFormat="false" ht="85.5" hidden="false" customHeight="true" outlineLevel="0" collapsed="false">
      <c r="A420" s="10" t="n">
        <v>63</v>
      </c>
      <c r="B420" s="10" t="n">
        <v>9</v>
      </c>
      <c r="C420" s="10" t="s">
        <v>4</v>
      </c>
      <c r="D420" s="10"/>
      <c r="E420" s="10" t="s">
        <v>8</v>
      </c>
      <c r="F420" s="11" t="s">
        <v>763</v>
      </c>
      <c r="G420" s="11" t="s">
        <v>747</v>
      </c>
      <c r="H420" s="12" t="s">
        <v>154</v>
      </c>
      <c r="I420" s="13"/>
      <c r="J420" s="14" t="str">
        <f aca="false">IF(Tabla1[[#This Row],[Respuesta]]="","Sin respuesta","Respondido")</f>
        <v>Respondido</v>
      </c>
      <c r="K420" s="13"/>
    </row>
    <row r="421" customFormat="false" ht="57" hidden="false" customHeight="true" outlineLevel="0" collapsed="false">
      <c r="A421" s="10" t="n">
        <v>62</v>
      </c>
      <c r="B421" s="10" t="n">
        <v>8</v>
      </c>
      <c r="C421" s="10" t="s">
        <v>4</v>
      </c>
      <c r="D421" s="10"/>
      <c r="E421" s="10" t="s">
        <v>9</v>
      </c>
      <c r="F421" s="11" t="s">
        <v>764</v>
      </c>
      <c r="G421" s="11" t="s">
        <v>747</v>
      </c>
      <c r="H421" s="12" t="s">
        <v>765</v>
      </c>
      <c r="I421" s="13"/>
      <c r="J421" s="14" t="str">
        <f aca="false">IF(Tabla1[[#This Row],[Respuesta]]="","Sin respuesta","Respondido")</f>
        <v>Respondido</v>
      </c>
      <c r="K421" s="13"/>
    </row>
    <row r="422" customFormat="false" ht="34.3" hidden="false" customHeight="false" outlineLevel="0" collapsed="false">
      <c r="A422" s="10" t="n">
        <v>61</v>
      </c>
      <c r="B422" s="10" t="n">
        <v>7</v>
      </c>
      <c r="C422" s="10" t="s">
        <v>4</v>
      </c>
      <c r="D422" s="10"/>
      <c r="E422" s="10" t="s">
        <v>9</v>
      </c>
      <c r="F422" s="11" t="s">
        <v>766</v>
      </c>
      <c r="G422" s="11" t="s">
        <v>767</v>
      </c>
      <c r="H422" s="12" t="s">
        <v>768</v>
      </c>
      <c r="I422" s="13"/>
      <c r="J422" s="14" t="str">
        <f aca="false">IF(Tabla1[[#This Row],[Respuesta]]="","Sin respuesta","Respondido")</f>
        <v>Respondido</v>
      </c>
      <c r="K422" s="13"/>
    </row>
    <row r="423" customFormat="false" ht="17.9" hidden="false" customHeight="false" outlineLevel="0" collapsed="false">
      <c r="A423" s="10" t="n">
        <v>60</v>
      </c>
      <c r="B423" s="10" t="n">
        <v>6</v>
      </c>
      <c r="C423" s="10" t="s">
        <v>4</v>
      </c>
      <c r="D423" s="10"/>
      <c r="E423" s="10" t="s">
        <v>7</v>
      </c>
      <c r="F423" s="11" t="s">
        <v>769</v>
      </c>
      <c r="G423" s="11"/>
      <c r="H423" s="12" t="s">
        <v>770</v>
      </c>
      <c r="I423" s="13"/>
      <c r="J423" s="14" t="str">
        <f aca="false">IF(Tabla1[[#This Row],[Respuesta]]="","Sin respuesta","Respondido")</f>
        <v>Respondido</v>
      </c>
      <c r="K423" s="13"/>
    </row>
    <row r="424" customFormat="false" ht="57" hidden="false" customHeight="true" outlineLevel="0" collapsed="false">
      <c r="A424" s="10" t="n">
        <v>59</v>
      </c>
      <c r="B424" s="10" t="n">
        <v>5</v>
      </c>
      <c r="C424" s="10" t="s">
        <v>4</v>
      </c>
      <c r="D424" s="10"/>
      <c r="E424" s="10" t="s">
        <v>7</v>
      </c>
      <c r="F424" s="11" t="s">
        <v>771</v>
      </c>
      <c r="G424" s="11"/>
      <c r="H424" s="12" t="s">
        <v>770</v>
      </c>
      <c r="I424" s="13"/>
      <c r="J424" s="14" t="str">
        <f aca="false">IF(Tabla1[[#This Row],[Respuesta]]="","Sin respuesta","Respondido")</f>
        <v>Respondido</v>
      </c>
      <c r="K424" s="13"/>
    </row>
    <row r="425" customFormat="false" ht="57" hidden="false" customHeight="true" outlineLevel="0" collapsed="false">
      <c r="A425" s="10" t="n">
        <v>58</v>
      </c>
      <c r="B425" s="10" t="n">
        <v>4</v>
      </c>
      <c r="C425" s="10" t="s">
        <v>4</v>
      </c>
      <c r="D425" s="10"/>
      <c r="E425" s="10" t="s">
        <v>7</v>
      </c>
      <c r="F425" s="11" t="s">
        <v>772</v>
      </c>
      <c r="G425" s="11"/>
      <c r="H425" s="12" t="s">
        <v>773</v>
      </c>
      <c r="I425" s="13"/>
      <c r="J425" s="14" t="str">
        <f aca="false">IF(Tabla1[[#This Row],[Respuesta]]="","Sin respuesta","Respondido")</f>
        <v>Respondido</v>
      </c>
      <c r="K425" s="13"/>
    </row>
    <row r="426" customFormat="false" ht="214.9" hidden="false" customHeight="false" outlineLevel="0" collapsed="false">
      <c r="A426" s="10" t="n">
        <v>57</v>
      </c>
      <c r="B426" s="10" t="n">
        <v>3</v>
      </c>
      <c r="C426" s="10" t="s">
        <v>4</v>
      </c>
      <c r="D426" s="10"/>
      <c r="E426" s="10" t="s">
        <v>7</v>
      </c>
      <c r="F426" s="11" t="s">
        <v>774</v>
      </c>
      <c r="G426" s="11" t="s">
        <v>775</v>
      </c>
      <c r="H426" s="21" t="s">
        <v>776</v>
      </c>
      <c r="I426" s="13"/>
      <c r="J426" s="14" t="str">
        <f aca="false">IF(Tabla1[[#This Row],[Respuesta]]="","Sin respuesta","Respondido")</f>
        <v>Respondido</v>
      </c>
      <c r="K426" s="13"/>
    </row>
    <row r="427" customFormat="false" ht="67.15" hidden="false" customHeight="false" outlineLevel="0" collapsed="false">
      <c r="A427" s="10" t="n">
        <v>56</v>
      </c>
      <c r="B427" s="10" t="n">
        <v>2</v>
      </c>
      <c r="C427" s="10" t="s">
        <v>4</v>
      </c>
      <c r="D427" s="10"/>
      <c r="E427" s="10" t="s">
        <v>7</v>
      </c>
      <c r="F427" s="11" t="s">
        <v>777</v>
      </c>
      <c r="G427" s="11" t="s">
        <v>778</v>
      </c>
      <c r="H427" s="21" t="s">
        <v>779</v>
      </c>
      <c r="I427" s="13"/>
      <c r="J427" s="14" t="str">
        <f aca="false">IF(Tabla1[[#This Row],[Respuesta]]="","Sin respuesta","Respondido")</f>
        <v>Respondido</v>
      </c>
      <c r="K427" s="13"/>
    </row>
    <row r="428" customFormat="false" ht="57" hidden="false" customHeight="true" outlineLevel="0" collapsed="false">
      <c r="A428" s="10" t="n">
        <v>55</v>
      </c>
      <c r="B428" s="10" t="n">
        <v>1</v>
      </c>
      <c r="C428" s="10" t="s">
        <v>4</v>
      </c>
      <c r="D428" s="10"/>
      <c r="E428" s="10" t="s">
        <v>7</v>
      </c>
      <c r="F428" s="11" t="s">
        <v>780</v>
      </c>
      <c r="G428" s="11" t="s">
        <v>781</v>
      </c>
      <c r="H428" s="21" t="s">
        <v>782</v>
      </c>
      <c r="I428" s="13"/>
      <c r="J428" s="14" t="str">
        <f aca="false">IF(Tabla1[[#This Row],[Respuesta]]="","Sin respuesta","Respondido")</f>
        <v>Respondido</v>
      </c>
      <c r="K428" s="13"/>
    </row>
    <row r="429" customFormat="false" ht="57" hidden="false" customHeight="true" outlineLevel="0" collapsed="false">
      <c r="A429" s="10" t="n">
        <v>54</v>
      </c>
      <c r="B429" s="10" t="n">
        <v>29</v>
      </c>
      <c r="C429" s="10" t="s">
        <v>3</v>
      </c>
      <c r="D429" s="10"/>
      <c r="E429" s="10" t="s">
        <v>8</v>
      </c>
      <c r="F429" s="11" t="s">
        <v>783</v>
      </c>
      <c r="G429" s="11"/>
      <c r="H429" s="12" t="s">
        <v>784</v>
      </c>
      <c r="I429" s="13"/>
      <c r="J429" s="14" t="str">
        <f aca="false">IF(Tabla1[[#This Row],[Respuesta]]="","Sin respuesta","Respondido")</f>
        <v>Respondido</v>
      </c>
      <c r="K429" s="13"/>
    </row>
    <row r="430" customFormat="false" ht="57" hidden="false" customHeight="true" outlineLevel="0" collapsed="false">
      <c r="A430" s="10" t="n">
        <v>53</v>
      </c>
      <c r="B430" s="10" t="n">
        <v>28</v>
      </c>
      <c r="C430" s="10" t="s">
        <v>3</v>
      </c>
      <c r="D430" s="10"/>
      <c r="E430" s="10" t="s">
        <v>8</v>
      </c>
      <c r="F430" s="11" t="s">
        <v>785</v>
      </c>
      <c r="G430" s="11"/>
      <c r="H430" s="12" t="s">
        <v>786</v>
      </c>
      <c r="I430" s="13"/>
      <c r="J430" s="14" t="str">
        <f aca="false">IF(Tabla1[[#This Row],[Respuesta]]="","Sin respuesta","Respondido")</f>
        <v>Respondido</v>
      </c>
      <c r="K430" s="13"/>
    </row>
    <row r="431" customFormat="false" ht="57" hidden="false" customHeight="true" outlineLevel="0" collapsed="false">
      <c r="A431" s="10" t="n">
        <v>52</v>
      </c>
      <c r="B431" s="10" t="n">
        <v>27</v>
      </c>
      <c r="C431" s="10" t="s">
        <v>3</v>
      </c>
      <c r="D431" s="10"/>
      <c r="E431" s="10" t="s">
        <v>8</v>
      </c>
      <c r="F431" s="11" t="s">
        <v>787</v>
      </c>
      <c r="G431" s="11"/>
      <c r="H431" s="12" t="s">
        <v>788</v>
      </c>
      <c r="I431" s="13"/>
      <c r="J431" s="14" t="str">
        <f aca="false">IF(Tabla1[[#This Row],[Respuesta]]="","Sin respuesta","Respondido")</f>
        <v>Respondido</v>
      </c>
      <c r="K431" s="13"/>
    </row>
    <row r="432" customFormat="false" ht="81" hidden="false" customHeight="true" outlineLevel="0" collapsed="false">
      <c r="A432" s="10" t="n">
        <v>51</v>
      </c>
      <c r="B432" s="10" t="n">
        <v>26</v>
      </c>
      <c r="C432" s="10" t="s">
        <v>3</v>
      </c>
      <c r="D432" s="10"/>
      <c r="E432" s="10" t="s">
        <v>8</v>
      </c>
      <c r="F432" s="11" t="s">
        <v>789</v>
      </c>
      <c r="G432" s="11"/>
      <c r="H432" s="12" t="s">
        <v>790</v>
      </c>
      <c r="I432" s="13"/>
      <c r="J432" s="14" t="str">
        <f aca="false">IF(Tabla1[[#This Row],[Respuesta]]="","Sin respuesta","Respondido")</f>
        <v>Respondido</v>
      </c>
      <c r="K432" s="13"/>
    </row>
    <row r="433" customFormat="false" ht="84" hidden="false" customHeight="true" outlineLevel="0" collapsed="false">
      <c r="A433" s="10" t="n">
        <v>50</v>
      </c>
      <c r="B433" s="10" t="n">
        <v>25</v>
      </c>
      <c r="C433" s="10" t="s">
        <v>3</v>
      </c>
      <c r="D433" s="10"/>
      <c r="E433" s="10" t="s">
        <v>15</v>
      </c>
      <c r="F433" s="11" t="s">
        <v>791</v>
      </c>
      <c r="G433" s="11"/>
      <c r="H433" s="12" t="s">
        <v>792</v>
      </c>
      <c r="I433" s="13"/>
      <c r="J433" s="14" t="str">
        <f aca="false">IF(Tabla1[[#This Row],[Respuesta]]="","Sin respuesta","Respondido")</f>
        <v>Respondido</v>
      </c>
      <c r="K433" s="13"/>
    </row>
    <row r="434" customFormat="false" ht="57" hidden="false" customHeight="true" outlineLevel="0" collapsed="false">
      <c r="A434" s="10" t="n">
        <v>49</v>
      </c>
      <c r="B434" s="10" t="n">
        <v>24</v>
      </c>
      <c r="C434" s="10" t="s">
        <v>3</v>
      </c>
      <c r="D434" s="10"/>
      <c r="E434" s="10" t="s">
        <v>15</v>
      </c>
      <c r="F434" s="11" t="s">
        <v>793</v>
      </c>
      <c r="G434" s="11"/>
      <c r="H434" s="12" t="s">
        <v>668</v>
      </c>
      <c r="I434" s="13"/>
      <c r="J434" s="14" t="str">
        <f aca="false">IF(Tabla1[[#This Row],[Respuesta]]="","Sin respuesta","Respondido")</f>
        <v>Respondido</v>
      </c>
      <c r="K434" s="13"/>
    </row>
    <row r="435" customFormat="false" ht="57" hidden="false" customHeight="true" outlineLevel="0" collapsed="false">
      <c r="A435" s="10" t="n">
        <v>48</v>
      </c>
      <c r="B435" s="10" t="n">
        <v>23</v>
      </c>
      <c r="C435" s="10" t="s">
        <v>3</v>
      </c>
      <c r="D435" s="10"/>
      <c r="E435" s="10" t="s">
        <v>8</v>
      </c>
      <c r="F435" s="11" t="s">
        <v>794</v>
      </c>
      <c r="G435" s="11"/>
      <c r="H435" s="12" t="s">
        <v>795</v>
      </c>
      <c r="I435" s="13"/>
      <c r="J435" s="14" t="str">
        <f aca="false">IF(Tabla1[[#This Row],[Respuesta]]="","Sin respuesta","Respondido")</f>
        <v>Respondido</v>
      </c>
      <c r="K435" s="13"/>
    </row>
    <row r="436" customFormat="false" ht="57" hidden="false" customHeight="true" outlineLevel="0" collapsed="false">
      <c r="A436" s="10" t="n">
        <v>47</v>
      </c>
      <c r="B436" s="10" t="n">
        <v>22</v>
      </c>
      <c r="C436" s="10" t="s">
        <v>3</v>
      </c>
      <c r="D436" s="10"/>
      <c r="E436" s="10" t="s">
        <v>8</v>
      </c>
      <c r="F436" s="11" t="s">
        <v>796</v>
      </c>
      <c r="G436" s="11"/>
      <c r="H436" s="12" t="s">
        <v>797</v>
      </c>
      <c r="I436" s="13"/>
      <c r="J436" s="14" t="str">
        <f aca="false">IF(Tabla1[[#This Row],[Respuesta]]="","Sin respuesta","Respondido")</f>
        <v>Respondido</v>
      </c>
      <c r="K436" s="13"/>
    </row>
    <row r="437" customFormat="false" ht="57" hidden="false" customHeight="true" outlineLevel="0" collapsed="false">
      <c r="A437" s="10" t="n">
        <v>46</v>
      </c>
      <c r="B437" s="10" t="n">
        <v>21</v>
      </c>
      <c r="C437" s="10" t="s">
        <v>3</v>
      </c>
      <c r="D437" s="10"/>
      <c r="E437" s="10" t="s">
        <v>8</v>
      </c>
      <c r="F437" s="11" t="s">
        <v>798</v>
      </c>
      <c r="G437" s="11"/>
      <c r="H437" s="12" t="s">
        <v>799</v>
      </c>
      <c r="I437" s="13"/>
      <c r="J437" s="14" t="str">
        <f aca="false">IF(Tabla1[[#This Row],[Respuesta]]="","Sin respuesta","Respondido")</f>
        <v>Respondido</v>
      </c>
      <c r="K437" s="13"/>
    </row>
    <row r="438" customFormat="false" ht="57" hidden="false" customHeight="true" outlineLevel="0" collapsed="false">
      <c r="A438" s="10" t="n">
        <v>45</v>
      </c>
      <c r="B438" s="10" t="n">
        <v>20</v>
      </c>
      <c r="C438" s="10" t="s">
        <v>3</v>
      </c>
      <c r="D438" s="10"/>
      <c r="E438" s="10" t="s">
        <v>8</v>
      </c>
      <c r="F438" s="11" t="s">
        <v>800</v>
      </c>
      <c r="G438" s="11"/>
      <c r="H438" s="12" t="s">
        <v>801</v>
      </c>
      <c r="I438" s="13"/>
      <c r="J438" s="14" t="str">
        <f aca="false">IF(Tabla1[[#This Row],[Respuesta]]="","Sin respuesta","Respondido")</f>
        <v>Respondido</v>
      </c>
      <c r="K438" s="13"/>
    </row>
    <row r="439" customFormat="false" ht="57" hidden="false" customHeight="true" outlineLevel="0" collapsed="false">
      <c r="A439" s="10" t="n">
        <v>44</v>
      </c>
      <c r="B439" s="10" t="n">
        <v>19</v>
      </c>
      <c r="C439" s="10" t="s">
        <v>3</v>
      </c>
      <c r="D439" s="10"/>
      <c r="E439" s="10" t="s">
        <v>8</v>
      </c>
      <c r="F439" s="11" t="s">
        <v>802</v>
      </c>
      <c r="G439" s="22"/>
      <c r="H439" s="12" t="s">
        <v>803</v>
      </c>
      <c r="I439" s="13"/>
      <c r="J439" s="14" t="str">
        <f aca="false">IF(Tabla1[[#This Row],[Respuesta]]="","Sin respuesta","Respondido")</f>
        <v>Respondido</v>
      </c>
      <c r="K439" s="13"/>
    </row>
    <row r="440" customFormat="false" ht="57" hidden="false" customHeight="true" outlineLevel="0" collapsed="false">
      <c r="A440" s="10" t="n">
        <v>43</v>
      </c>
      <c r="B440" s="10" t="n">
        <v>18</v>
      </c>
      <c r="C440" s="10" t="s">
        <v>3</v>
      </c>
      <c r="D440" s="10"/>
      <c r="E440" s="10" t="s">
        <v>13</v>
      </c>
      <c r="F440" s="11" t="s">
        <v>804</v>
      </c>
      <c r="G440" s="11"/>
      <c r="H440" s="12" t="s">
        <v>805</v>
      </c>
      <c r="I440" s="13"/>
      <c r="J440" s="14" t="str">
        <f aca="false">IF(Tabla1[[#This Row],[Respuesta]]="","Sin respuesta","Respondido")</f>
        <v>Respondido</v>
      </c>
      <c r="K440" s="13"/>
    </row>
    <row r="441" customFormat="false" ht="57" hidden="false" customHeight="true" outlineLevel="0" collapsed="false">
      <c r="A441" s="10" t="n">
        <v>42</v>
      </c>
      <c r="B441" s="10" t="n">
        <v>17</v>
      </c>
      <c r="C441" s="10" t="s">
        <v>3</v>
      </c>
      <c r="D441" s="10"/>
      <c r="E441" s="10" t="s">
        <v>13</v>
      </c>
      <c r="F441" s="11" t="s">
        <v>806</v>
      </c>
      <c r="G441" s="11"/>
      <c r="H441" s="12" t="s">
        <v>807</v>
      </c>
      <c r="I441" s="13"/>
      <c r="J441" s="14" t="str">
        <f aca="false">IF(Tabla1[[#This Row],[Respuesta]]="","Sin respuesta","Respondido")</f>
        <v>Respondido</v>
      </c>
      <c r="K441" s="13"/>
    </row>
    <row r="442" customFormat="false" ht="57" hidden="false" customHeight="true" outlineLevel="0" collapsed="false">
      <c r="A442" s="10" t="n">
        <v>41</v>
      </c>
      <c r="B442" s="10" t="n">
        <v>16</v>
      </c>
      <c r="C442" s="10" t="s">
        <v>3</v>
      </c>
      <c r="D442" s="10"/>
      <c r="E442" s="10" t="s">
        <v>13</v>
      </c>
      <c r="F442" s="11" t="s">
        <v>808</v>
      </c>
      <c r="G442" s="11"/>
      <c r="H442" s="12" t="s">
        <v>809</v>
      </c>
      <c r="I442" s="13"/>
      <c r="J442" s="14" t="str">
        <f aca="false">IF(Tabla1[[#This Row],[Respuesta]]="","Sin respuesta","Respondido")</f>
        <v>Respondido</v>
      </c>
      <c r="K442" s="13"/>
    </row>
    <row r="443" customFormat="false" ht="57" hidden="false" customHeight="true" outlineLevel="0" collapsed="false">
      <c r="A443" s="10" t="n">
        <v>40</v>
      </c>
      <c r="B443" s="10" t="n">
        <v>15</v>
      </c>
      <c r="C443" s="10" t="s">
        <v>3</v>
      </c>
      <c r="D443" s="10"/>
      <c r="E443" s="10" t="s">
        <v>13</v>
      </c>
      <c r="F443" s="11" t="s">
        <v>810</v>
      </c>
      <c r="G443" s="11"/>
      <c r="H443" s="12" t="s">
        <v>811</v>
      </c>
      <c r="I443" s="13"/>
      <c r="J443" s="14" t="str">
        <f aca="false">IF(Tabla1[[#This Row],[Respuesta]]="","Sin respuesta","Respondido")</f>
        <v>Respondido</v>
      </c>
      <c r="K443" s="13"/>
    </row>
    <row r="444" customFormat="false" ht="57" hidden="false" customHeight="true" outlineLevel="0" collapsed="false">
      <c r="A444" s="10" t="n">
        <v>39</v>
      </c>
      <c r="B444" s="10" t="n">
        <v>14</v>
      </c>
      <c r="C444" s="10" t="s">
        <v>3</v>
      </c>
      <c r="D444" s="10"/>
      <c r="E444" s="10" t="s">
        <v>13</v>
      </c>
      <c r="F444" s="11" t="s">
        <v>812</v>
      </c>
      <c r="G444" s="11"/>
      <c r="H444" s="12" t="s">
        <v>813</v>
      </c>
      <c r="I444" s="13"/>
      <c r="J444" s="14" t="str">
        <f aca="false">IF(Tabla1[[#This Row],[Respuesta]]="","Sin respuesta","Respondido")</f>
        <v>Respondido</v>
      </c>
      <c r="K444" s="13"/>
    </row>
    <row r="445" customFormat="false" ht="57" hidden="false" customHeight="true" outlineLevel="0" collapsed="false">
      <c r="A445" s="10" t="n">
        <v>38</v>
      </c>
      <c r="B445" s="10" t="n">
        <v>13</v>
      </c>
      <c r="C445" s="10" t="s">
        <v>3</v>
      </c>
      <c r="D445" s="10"/>
      <c r="E445" s="10" t="s">
        <v>12</v>
      </c>
      <c r="F445" s="11" t="s">
        <v>814</v>
      </c>
      <c r="G445" s="11"/>
      <c r="H445" s="12" t="s">
        <v>815</v>
      </c>
      <c r="I445" s="13"/>
      <c r="J445" s="14" t="str">
        <f aca="false">IF(Tabla1[[#This Row],[Respuesta]]="","Sin respuesta","Respondido")</f>
        <v>Respondido</v>
      </c>
      <c r="K445" s="13"/>
    </row>
    <row r="446" customFormat="false" ht="57" hidden="false" customHeight="true" outlineLevel="0" collapsed="false">
      <c r="A446" s="10" t="n">
        <v>37</v>
      </c>
      <c r="B446" s="10" t="n">
        <v>12</v>
      </c>
      <c r="C446" s="10" t="s">
        <v>3</v>
      </c>
      <c r="D446" s="10"/>
      <c r="E446" s="10" t="s">
        <v>12</v>
      </c>
      <c r="F446" s="11" t="s">
        <v>816</v>
      </c>
      <c r="G446" s="11"/>
      <c r="H446" s="12" t="s">
        <v>817</v>
      </c>
      <c r="I446" s="13"/>
      <c r="J446" s="14" t="str">
        <f aca="false">IF(Tabla1[[#This Row],[Respuesta]]="","Sin respuesta","Respondido")</f>
        <v>Respondido</v>
      </c>
      <c r="K446" s="13"/>
    </row>
    <row r="447" customFormat="false" ht="57" hidden="false" customHeight="true" outlineLevel="0" collapsed="false">
      <c r="A447" s="10" t="n">
        <v>36</v>
      </c>
      <c r="B447" s="10" t="n">
        <v>11</v>
      </c>
      <c r="C447" s="10" t="s">
        <v>3</v>
      </c>
      <c r="D447" s="10"/>
      <c r="E447" s="10" t="s">
        <v>12</v>
      </c>
      <c r="F447" s="11" t="s">
        <v>818</v>
      </c>
      <c r="G447" s="11"/>
      <c r="H447" s="12" t="s">
        <v>819</v>
      </c>
      <c r="I447" s="13"/>
      <c r="J447" s="14" t="str">
        <f aca="false">IF(Tabla1[[#This Row],[Respuesta]]="","Sin respuesta","Respondido")</f>
        <v>Respondido</v>
      </c>
      <c r="K447" s="13"/>
    </row>
    <row r="448" customFormat="false" ht="57" hidden="false" customHeight="true" outlineLevel="0" collapsed="false">
      <c r="A448" s="10" t="n">
        <v>35</v>
      </c>
      <c r="B448" s="10" t="n">
        <v>10</v>
      </c>
      <c r="C448" s="10" t="s">
        <v>3</v>
      </c>
      <c r="D448" s="10"/>
      <c r="E448" s="10" t="s">
        <v>12</v>
      </c>
      <c r="F448" s="11" t="s">
        <v>820</v>
      </c>
      <c r="G448" s="11"/>
      <c r="H448" s="12" t="s">
        <v>821</v>
      </c>
      <c r="I448" s="13"/>
      <c r="J448" s="14" t="str">
        <f aca="false">IF(Tabla1[[#This Row],[Respuesta]]="","Sin respuesta","Respondido")</f>
        <v>Respondido</v>
      </c>
      <c r="K448" s="13"/>
    </row>
    <row r="449" customFormat="false" ht="57" hidden="false" customHeight="true" outlineLevel="0" collapsed="false">
      <c r="A449" s="10" t="n">
        <v>34</v>
      </c>
      <c r="B449" s="10" t="n">
        <v>9</v>
      </c>
      <c r="C449" s="10" t="s">
        <v>3</v>
      </c>
      <c r="D449" s="10"/>
      <c r="E449" s="10" t="s">
        <v>12</v>
      </c>
      <c r="F449" s="11" t="s">
        <v>822</v>
      </c>
      <c r="G449" s="11"/>
      <c r="H449" s="12" t="s">
        <v>390</v>
      </c>
      <c r="I449" s="13"/>
      <c r="J449" s="14" t="str">
        <f aca="false">IF(Tabla1[[#This Row],[Respuesta]]="","Sin respuesta","Respondido")</f>
        <v>Respondido</v>
      </c>
      <c r="K449" s="13"/>
    </row>
    <row r="450" customFormat="false" ht="57" hidden="false" customHeight="true" outlineLevel="0" collapsed="false">
      <c r="A450" s="10" t="n">
        <v>33</v>
      </c>
      <c r="B450" s="10" t="n">
        <v>8</v>
      </c>
      <c r="C450" s="10" t="s">
        <v>3</v>
      </c>
      <c r="D450" s="10"/>
      <c r="E450" s="10" t="s">
        <v>12</v>
      </c>
      <c r="F450" s="11" t="s">
        <v>823</v>
      </c>
      <c r="G450" s="11"/>
      <c r="H450" s="12" t="s">
        <v>824</v>
      </c>
      <c r="I450" s="13"/>
      <c r="J450" s="14" t="str">
        <f aca="false">IF(Tabla1[[#This Row],[Respuesta]]="","Sin respuesta","Respondido")</f>
        <v>Respondido</v>
      </c>
      <c r="K450" s="13"/>
    </row>
    <row r="451" customFormat="false" ht="57" hidden="false" customHeight="true" outlineLevel="0" collapsed="false">
      <c r="A451" s="10" t="n">
        <v>32</v>
      </c>
      <c r="B451" s="10" t="n">
        <v>7</v>
      </c>
      <c r="C451" s="10" t="s">
        <v>3</v>
      </c>
      <c r="D451" s="10"/>
      <c r="E451" s="10" t="s">
        <v>12</v>
      </c>
      <c r="F451" s="11" t="s">
        <v>825</v>
      </c>
      <c r="G451" s="11"/>
      <c r="H451" s="12" t="s">
        <v>826</v>
      </c>
      <c r="I451" s="13"/>
      <c r="J451" s="14" t="str">
        <f aca="false">IF(Tabla1[[#This Row],[Respuesta]]="","Sin respuesta","Respondido")</f>
        <v>Respondido</v>
      </c>
      <c r="K451" s="13"/>
    </row>
    <row r="452" customFormat="false" ht="148.5" hidden="false" customHeight="true" outlineLevel="0" collapsed="false">
      <c r="A452" s="10" t="n">
        <v>31</v>
      </c>
      <c r="B452" s="10" t="n">
        <v>6</v>
      </c>
      <c r="C452" s="10" t="s">
        <v>3</v>
      </c>
      <c r="D452" s="10"/>
      <c r="E452" s="10" t="s">
        <v>12</v>
      </c>
      <c r="F452" s="11" t="s">
        <v>827</v>
      </c>
      <c r="G452" s="11"/>
      <c r="H452" s="12" t="s">
        <v>824</v>
      </c>
      <c r="I452" s="13"/>
      <c r="J452" s="14" t="str">
        <f aca="false">IF(Tabla1[[#This Row],[Respuesta]]="","Sin respuesta","Respondido")</f>
        <v>Respondido</v>
      </c>
      <c r="K452" s="13"/>
    </row>
    <row r="453" customFormat="false" ht="105.75" hidden="false" customHeight="true" outlineLevel="0" collapsed="false">
      <c r="A453" s="10" t="n">
        <v>30</v>
      </c>
      <c r="B453" s="10" t="n">
        <v>5</v>
      </c>
      <c r="C453" s="10" t="s">
        <v>3</v>
      </c>
      <c r="D453" s="10"/>
      <c r="E453" s="10" t="s">
        <v>12</v>
      </c>
      <c r="F453" s="11" t="s">
        <v>828</v>
      </c>
      <c r="G453" s="11"/>
      <c r="H453" s="12" t="s">
        <v>829</v>
      </c>
      <c r="I453" s="13"/>
      <c r="J453" s="14" t="str">
        <f aca="false">IF(Tabla1[[#This Row],[Respuesta]]="","Sin respuesta","Respondido")</f>
        <v>Respondido</v>
      </c>
      <c r="K453" s="13"/>
    </row>
    <row r="454" customFormat="false" ht="93" hidden="false" customHeight="true" outlineLevel="0" collapsed="false">
      <c r="A454" s="10" t="n">
        <v>29</v>
      </c>
      <c r="B454" s="10" t="n">
        <v>4</v>
      </c>
      <c r="C454" s="10" t="s">
        <v>3</v>
      </c>
      <c r="D454" s="10"/>
      <c r="E454" s="10" t="s">
        <v>12</v>
      </c>
      <c r="F454" s="11" t="s">
        <v>830</v>
      </c>
      <c r="G454" s="11"/>
      <c r="H454" s="12" t="s">
        <v>831</v>
      </c>
      <c r="I454" s="13"/>
      <c r="J454" s="14" t="str">
        <f aca="false">IF(Tabla1[[#This Row],[Respuesta]]="","Sin respuesta","Respondido")</f>
        <v>Respondido</v>
      </c>
      <c r="K454" s="13"/>
    </row>
    <row r="455" customFormat="false" ht="57" hidden="false" customHeight="true" outlineLevel="0" collapsed="false">
      <c r="A455" s="10" t="n">
        <v>28</v>
      </c>
      <c r="B455" s="10" t="n">
        <v>3</v>
      </c>
      <c r="C455" s="10" t="s">
        <v>3</v>
      </c>
      <c r="D455" s="10"/>
      <c r="E455" s="10" t="s">
        <v>15</v>
      </c>
      <c r="F455" s="11" t="s">
        <v>832</v>
      </c>
      <c r="G455" s="11"/>
      <c r="H455" s="12" t="s">
        <v>668</v>
      </c>
      <c r="I455" s="13"/>
      <c r="J455" s="14" t="str">
        <f aca="false">IF(Tabla1[[#This Row],[Respuesta]]="","Sin respuesta","Respondido")</f>
        <v>Respondido</v>
      </c>
      <c r="K455" s="13"/>
    </row>
    <row r="456" customFormat="false" ht="57" hidden="false" customHeight="true" outlineLevel="0" collapsed="false">
      <c r="A456" s="10" t="n">
        <v>27</v>
      </c>
      <c r="B456" s="10" t="n">
        <v>2</v>
      </c>
      <c r="C456" s="10" t="s">
        <v>3</v>
      </c>
      <c r="D456" s="10"/>
      <c r="E456" s="10" t="s">
        <v>12</v>
      </c>
      <c r="F456" s="11" t="s">
        <v>833</v>
      </c>
      <c r="G456" s="11"/>
      <c r="H456" s="12" t="s">
        <v>834</v>
      </c>
      <c r="I456" s="13"/>
      <c r="J456" s="14" t="str">
        <f aca="false">IF(Tabla1[[#This Row],[Respuesta]]="","Sin respuesta","Respondido")</f>
        <v>Respondido</v>
      </c>
      <c r="K456" s="13"/>
    </row>
    <row r="457" customFormat="false" ht="57" hidden="false" customHeight="true" outlineLevel="0" collapsed="false">
      <c r="A457" s="10" t="n">
        <v>26</v>
      </c>
      <c r="B457" s="10" t="n">
        <v>1</v>
      </c>
      <c r="C457" s="10" t="s">
        <v>3</v>
      </c>
      <c r="D457" s="10"/>
      <c r="E457" s="10" t="s">
        <v>12</v>
      </c>
      <c r="F457" s="11" t="s">
        <v>835</v>
      </c>
      <c r="G457" s="11"/>
      <c r="H457" s="12" t="s">
        <v>836</v>
      </c>
      <c r="I457" s="13"/>
      <c r="J457" s="14" t="str">
        <f aca="false">IF(Tabla1[[#This Row],[Respuesta]]="","Sin respuesta","Respondido")</f>
        <v>Respondido</v>
      </c>
      <c r="K457" s="13"/>
    </row>
    <row r="458" customFormat="false" ht="57" hidden="false" customHeight="true" outlineLevel="0" collapsed="false">
      <c r="A458" s="10" t="n">
        <v>25</v>
      </c>
      <c r="B458" s="10" t="n">
        <v>25</v>
      </c>
      <c r="C458" s="10" t="s">
        <v>2</v>
      </c>
      <c r="D458" s="10"/>
      <c r="E458" s="10" t="s">
        <v>7</v>
      </c>
      <c r="F458" s="11" t="s">
        <v>837</v>
      </c>
      <c r="G458" s="11"/>
      <c r="H458" s="12" t="s">
        <v>838</v>
      </c>
      <c r="I458" s="13"/>
      <c r="J458" s="14" t="str">
        <f aca="false">IF(Tabla1[[#This Row],[Respuesta]]="","Sin respuesta","Respondido")</f>
        <v>Respondido</v>
      </c>
      <c r="K458" s="13"/>
    </row>
    <row r="459" customFormat="false" ht="57" hidden="false" customHeight="true" outlineLevel="0" collapsed="false">
      <c r="A459" s="10" t="n">
        <v>24</v>
      </c>
      <c r="B459" s="10" t="n">
        <v>24</v>
      </c>
      <c r="C459" s="10" t="s">
        <v>2</v>
      </c>
      <c r="D459" s="10"/>
      <c r="E459" s="10" t="s">
        <v>13</v>
      </c>
      <c r="F459" s="11" t="s">
        <v>839</v>
      </c>
      <c r="G459" s="11"/>
      <c r="H459" s="12" t="s">
        <v>840</v>
      </c>
      <c r="I459" s="13"/>
      <c r="J459" s="14" t="str">
        <f aca="false">IF(Tabla1[[#This Row],[Respuesta]]="","Sin respuesta","Respondido")</f>
        <v>Respondido</v>
      </c>
      <c r="K459" s="13"/>
    </row>
    <row r="460" customFormat="false" ht="57" hidden="false" customHeight="true" outlineLevel="0" collapsed="false">
      <c r="A460" s="10" t="n">
        <v>23</v>
      </c>
      <c r="B460" s="10" t="n">
        <v>23</v>
      </c>
      <c r="C460" s="10" t="s">
        <v>2</v>
      </c>
      <c r="D460" s="10"/>
      <c r="E460" s="10" t="s">
        <v>7</v>
      </c>
      <c r="F460" s="11" t="s">
        <v>841</v>
      </c>
      <c r="G460" s="11"/>
      <c r="H460" s="12" t="s">
        <v>842</v>
      </c>
      <c r="I460" s="13"/>
      <c r="J460" s="14" t="str">
        <f aca="false">IF(Tabla1[[#This Row],[Respuesta]]="","Sin respuesta","Respondido")</f>
        <v>Respondido</v>
      </c>
      <c r="K460" s="13"/>
    </row>
    <row r="461" customFormat="false" ht="80.25" hidden="false" customHeight="true" outlineLevel="0" collapsed="false">
      <c r="A461" s="10" t="n">
        <v>22</v>
      </c>
      <c r="B461" s="10" t="n">
        <v>22</v>
      </c>
      <c r="C461" s="10" t="s">
        <v>2</v>
      </c>
      <c r="D461" s="10"/>
      <c r="E461" s="10" t="s">
        <v>13</v>
      </c>
      <c r="F461" s="11" t="s">
        <v>843</v>
      </c>
      <c r="G461" s="11"/>
      <c r="H461" s="12" t="s">
        <v>840</v>
      </c>
      <c r="I461" s="13"/>
      <c r="J461" s="14" t="str">
        <f aca="false">IF(Tabla1[[#This Row],[Respuesta]]="","Sin respuesta","Respondido")</f>
        <v>Respondido</v>
      </c>
      <c r="K461" s="13"/>
    </row>
    <row r="462" customFormat="false" ht="57" hidden="false" customHeight="true" outlineLevel="0" collapsed="false">
      <c r="A462" s="10" t="n">
        <v>21</v>
      </c>
      <c r="B462" s="10" t="n">
        <v>21</v>
      </c>
      <c r="C462" s="10" t="s">
        <v>2</v>
      </c>
      <c r="D462" s="10"/>
      <c r="E462" s="10" t="s">
        <v>13</v>
      </c>
      <c r="F462" s="11" t="s">
        <v>844</v>
      </c>
      <c r="G462" s="11"/>
      <c r="H462" s="12" t="s">
        <v>840</v>
      </c>
      <c r="I462" s="13"/>
      <c r="J462" s="14" t="str">
        <f aca="false">IF(Tabla1[[#This Row],[Respuesta]]="","Sin respuesta","Respondido")</f>
        <v>Respondido</v>
      </c>
      <c r="K462" s="13"/>
    </row>
    <row r="463" customFormat="false" ht="57" hidden="false" customHeight="true" outlineLevel="0" collapsed="false">
      <c r="A463" s="10" t="n">
        <v>20</v>
      </c>
      <c r="B463" s="10" t="n">
        <v>20</v>
      </c>
      <c r="C463" s="10" t="s">
        <v>2</v>
      </c>
      <c r="D463" s="10"/>
      <c r="E463" s="10" t="s">
        <v>7</v>
      </c>
      <c r="F463" s="11" t="s">
        <v>845</v>
      </c>
      <c r="G463" s="11"/>
      <c r="H463" s="12" t="s">
        <v>846</v>
      </c>
      <c r="I463" s="13"/>
      <c r="J463" s="14" t="str">
        <f aca="false">IF(Tabla1[[#This Row],[Respuesta]]="","Sin respuesta","Respondido")</f>
        <v>Respondido</v>
      </c>
      <c r="K463" s="13"/>
    </row>
    <row r="464" customFormat="false" ht="57" hidden="false" customHeight="true" outlineLevel="0" collapsed="false">
      <c r="A464" s="10" t="n">
        <v>19</v>
      </c>
      <c r="B464" s="10" t="n">
        <v>19</v>
      </c>
      <c r="C464" s="10" t="s">
        <v>2</v>
      </c>
      <c r="D464" s="10"/>
      <c r="E464" s="10" t="s">
        <v>12</v>
      </c>
      <c r="F464" s="11" t="s">
        <v>847</v>
      </c>
      <c r="G464" s="11"/>
      <c r="H464" s="12" t="s">
        <v>848</v>
      </c>
      <c r="I464" s="13"/>
      <c r="J464" s="14" t="str">
        <f aca="false">IF(Tabla1[[#This Row],[Respuesta]]="","Sin respuesta","Respondido")</f>
        <v>Respondido</v>
      </c>
      <c r="K464" s="13"/>
    </row>
    <row r="465" customFormat="false" ht="57" hidden="false" customHeight="true" outlineLevel="0" collapsed="false">
      <c r="A465" s="10" t="n">
        <v>18</v>
      </c>
      <c r="B465" s="10" t="n">
        <v>18</v>
      </c>
      <c r="C465" s="10" t="s">
        <v>2</v>
      </c>
      <c r="D465" s="10"/>
      <c r="E465" s="10" t="s">
        <v>12</v>
      </c>
      <c r="F465" s="11" t="s">
        <v>849</v>
      </c>
      <c r="G465" s="11"/>
      <c r="H465" s="12" t="s">
        <v>850</v>
      </c>
      <c r="I465" s="13"/>
      <c r="J465" s="14" t="str">
        <f aca="false">IF(Tabla1[[#This Row],[Respuesta]]="","Sin respuesta","Respondido")</f>
        <v>Respondido</v>
      </c>
      <c r="K465" s="13"/>
    </row>
    <row r="466" customFormat="false" ht="57" hidden="false" customHeight="true" outlineLevel="0" collapsed="false">
      <c r="A466" s="10" t="n">
        <v>17</v>
      </c>
      <c r="B466" s="10" t="n">
        <v>17</v>
      </c>
      <c r="C466" s="10" t="s">
        <v>2</v>
      </c>
      <c r="D466" s="10"/>
      <c r="E466" s="10" t="s">
        <v>11</v>
      </c>
      <c r="F466" s="11" t="s">
        <v>851</v>
      </c>
      <c r="G466" s="11"/>
      <c r="H466" s="12" t="s">
        <v>852</v>
      </c>
      <c r="I466" s="13"/>
      <c r="J466" s="14" t="str">
        <f aca="false">IF(Tabla1[[#This Row],[Respuesta]]="","Sin respuesta","Respondido")</f>
        <v>Respondido</v>
      </c>
      <c r="K466" s="13"/>
    </row>
    <row r="467" customFormat="false" ht="57" hidden="false" customHeight="true" outlineLevel="0" collapsed="false">
      <c r="A467" s="10" t="n">
        <v>16</v>
      </c>
      <c r="B467" s="10" t="n">
        <v>16</v>
      </c>
      <c r="C467" s="10" t="s">
        <v>2</v>
      </c>
      <c r="D467" s="10"/>
      <c r="E467" s="10" t="s">
        <v>10</v>
      </c>
      <c r="F467" s="11" t="s">
        <v>853</v>
      </c>
      <c r="G467" s="11"/>
      <c r="H467" s="12" t="s">
        <v>852</v>
      </c>
      <c r="I467" s="13"/>
      <c r="J467" s="14" t="str">
        <f aca="false">IF(Tabla1[[#This Row],[Respuesta]]="","Sin respuesta","Respondido")</f>
        <v>Respondido</v>
      </c>
      <c r="K467" s="13"/>
    </row>
    <row r="468" customFormat="false" ht="57" hidden="false" customHeight="true" outlineLevel="0" collapsed="false">
      <c r="A468" s="10" t="n">
        <v>15</v>
      </c>
      <c r="B468" s="10" t="n">
        <v>15</v>
      </c>
      <c r="C468" s="10" t="s">
        <v>2</v>
      </c>
      <c r="D468" s="10"/>
      <c r="E468" s="10" t="s">
        <v>10</v>
      </c>
      <c r="F468" s="11" t="s">
        <v>854</v>
      </c>
      <c r="G468" s="11"/>
      <c r="H468" s="12" t="s">
        <v>855</v>
      </c>
      <c r="I468" s="13"/>
      <c r="J468" s="14" t="str">
        <f aca="false">IF(Tabla1[[#This Row],[Respuesta]]="","Sin respuesta","Respondido")</f>
        <v>Respondido</v>
      </c>
      <c r="K468" s="13"/>
    </row>
    <row r="469" customFormat="false" ht="66.75" hidden="false" customHeight="true" outlineLevel="0" collapsed="false">
      <c r="A469" s="10" t="n">
        <v>14</v>
      </c>
      <c r="B469" s="10" t="n">
        <v>14</v>
      </c>
      <c r="C469" s="10" t="s">
        <v>2</v>
      </c>
      <c r="D469" s="10"/>
      <c r="E469" s="10" t="s">
        <v>10</v>
      </c>
      <c r="F469" s="11" t="s">
        <v>856</v>
      </c>
      <c r="G469" s="11"/>
      <c r="H469" s="12" t="s">
        <v>857</v>
      </c>
      <c r="I469" s="13"/>
      <c r="J469" s="14" t="str">
        <f aca="false">IF(Tabla1[[#This Row],[Respuesta]]="","Sin respuesta","Respondido")</f>
        <v>Respondido</v>
      </c>
      <c r="K469" s="13"/>
    </row>
    <row r="470" customFormat="false" ht="34.3" hidden="false" customHeight="false" outlineLevel="0" collapsed="false">
      <c r="A470" s="10" t="n">
        <v>13</v>
      </c>
      <c r="B470" s="10" t="n">
        <v>13</v>
      </c>
      <c r="C470" s="10" t="s">
        <v>2</v>
      </c>
      <c r="D470" s="10"/>
      <c r="E470" s="10" t="s">
        <v>9</v>
      </c>
      <c r="F470" s="11" t="s">
        <v>858</v>
      </c>
      <c r="G470" s="11"/>
      <c r="H470" s="12" t="s">
        <v>859</v>
      </c>
      <c r="I470" s="13"/>
      <c r="J470" s="14" t="str">
        <f aca="false">IF(Tabla1[[#This Row],[Respuesta]]="","Sin respuesta","Respondido")</f>
        <v>Respondido</v>
      </c>
      <c r="K470" s="13"/>
    </row>
    <row r="471" customFormat="false" ht="78" hidden="false" customHeight="true" outlineLevel="0" collapsed="false">
      <c r="A471" s="10" t="n">
        <v>12</v>
      </c>
      <c r="B471" s="10" t="n">
        <v>12</v>
      </c>
      <c r="C471" s="10" t="s">
        <v>2</v>
      </c>
      <c r="D471" s="10"/>
      <c r="E471" s="10" t="s">
        <v>9</v>
      </c>
      <c r="F471" s="11" t="s">
        <v>860</v>
      </c>
      <c r="G471" s="11"/>
      <c r="H471" s="12" t="s">
        <v>861</v>
      </c>
      <c r="I471" s="13"/>
      <c r="J471" s="14" t="str">
        <f aca="false">IF(Tabla1[[#This Row],[Respuesta]]="","Sin respuesta","Respondido")</f>
        <v>Respondido</v>
      </c>
      <c r="K471" s="13"/>
    </row>
    <row r="472" customFormat="false" ht="57" hidden="false" customHeight="true" outlineLevel="0" collapsed="false">
      <c r="A472" s="10" t="n">
        <v>11</v>
      </c>
      <c r="B472" s="10" t="n">
        <v>11</v>
      </c>
      <c r="C472" s="10" t="s">
        <v>2</v>
      </c>
      <c r="D472" s="10"/>
      <c r="E472" s="10" t="s">
        <v>9</v>
      </c>
      <c r="F472" s="11" t="s">
        <v>862</v>
      </c>
      <c r="G472" s="11"/>
      <c r="H472" s="12" t="s">
        <v>863</v>
      </c>
      <c r="I472" s="13"/>
      <c r="J472" s="14" t="str">
        <f aca="false">IF(Tabla1[[#This Row],[Respuesta]]="","Sin respuesta","Respondido")</f>
        <v>Respondido</v>
      </c>
      <c r="K472" s="13"/>
    </row>
    <row r="473" customFormat="false" ht="78" hidden="false" customHeight="true" outlineLevel="0" collapsed="false">
      <c r="A473" s="10" t="n">
        <v>10</v>
      </c>
      <c r="B473" s="10" t="n">
        <v>10</v>
      </c>
      <c r="C473" s="10" t="s">
        <v>2</v>
      </c>
      <c r="D473" s="10"/>
      <c r="E473" s="10" t="s">
        <v>9</v>
      </c>
      <c r="F473" s="11" t="s">
        <v>864</v>
      </c>
      <c r="G473" s="11"/>
      <c r="H473" s="12" t="s">
        <v>865</v>
      </c>
      <c r="I473" s="13"/>
      <c r="J473" s="14" t="str">
        <f aca="false">IF(Tabla1[[#This Row],[Respuesta]]="","Sin respuesta","Respondido")</f>
        <v>Respondido</v>
      </c>
      <c r="K473" s="13"/>
    </row>
    <row r="474" customFormat="false" ht="57" hidden="false" customHeight="true" outlineLevel="0" collapsed="false">
      <c r="A474" s="10" t="n">
        <v>9</v>
      </c>
      <c r="B474" s="10" t="n">
        <v>9</v>
      </c>
      <c r="C474" s="10" t="s">
        <v>2</v>
      </c>
      <c r="D474" s="10"/>
      <c r="E474" s="10" t="s">
        <v>7</v>
      </c>
      <c r="F474" s="11" t="s">
        <v>866</v>
      </c>
      <c r="G474" s="11"/>
      <c r="H474" s="12" t="s">
        <v>867</v>
      </c>
      <c r="I474" s="13"/>
      <c r="J474" s="14" t="str">
        <f aca="false">IF(Tabla1[[#This Row],[Respuesta]]="","Sin respuesta","Respondido")</f>
        <v>Respondido</v>
      </c>
      <c r="K474" s="13"/>
    </row>
    <row r="475" customFormat="false" ht="57" hidden="false" customHeight="true" outlineLevel="0" collapsed="false">
      <c r="A475" s="10" t="n">
        <v>8</v>
      </c>
      <c r="B475" s="10" t="n">
        <v>8</v>
      </c>
      <c r="C475" s="10" t="s">
        <v>2</v>
      </c>
      <c r="D475" s="10"/>
      <c r="E475" s="10" t="s">
        <v>7</v>
      </c>
      <c r="F475" s="11" t="s">
        <v>868</v>
      </c>
      <c r="G475" s="11"/>
      <c r="H475" s="12" t="s">
        <v>869</v>
      </c>
      <c r="I475" s="13"/>
      <c r="J475" s="14" t="str">
        <f aca="false">IF(Tabla1[[#This Row],[Respuesta]]="","Sin respuesta","Respondido")</f>
        <v>Respondido</v>
      </c>
      <c r="K475" s="13"/>
    </row>
    <row r="476" customFormat="false" ht="57" hidden="false" customHeight="true" outlineLevel="0" collapsed="false">
      <c r="A476" s="10" t="n">
        <v>7</v>
      </c>
      <c r="B476" s="10" t="n">
        <v>7</v>
      </c>
      <c r="C476" s="10" t="s">
        <v>2</v>
      </c>
      <c r="D476" s="10"/>
      <c r="E476" s="10" t="s">
        <v>7</v>
      </c>
      <c r="F476" s="11" t="s">
        <v>870</v>
      </c>
      <c r="G476" s="11"/>
      <c r="H476" s="12" t="s">
        <v>871</v>
      </c>
      <c r="I476" s="13"/>
      <c r="J476" s="14" t="str">
        <f aca="false">IF(Tabla1[[#This Row],[Respuesta]]="","Sin respuesta","Respondido")</f>
        <v>Respondido</v>
      </c>
      <c r="K476" s="13"/>
    </row>
    <row r="477" customFormat="false" ht="209.25" hidden="false" customHeight="true" outlineLevel="0" collapsed="false">
      <c r="A477" s="10" t="n">
        <v>6</v>
      </c>
      <c r="B477" s="10" t="n">
        <v>6</v>
      </c>
      <c r="C477" s="10" t="s">
        <v>2</v>
      </c>
      <c r="D477" s="10"/>
      <c r="E477" s="10" t="s">
        <v>7</v>
      </c>
      <c r="F477" s="11" t="s">
        <v>872</v>
      </c>
      <c r="G477" s="11"/>
      <c r="H477" s="12" t="s">
        <v>873</v>
      </c>
      <c r="I477" s="13"/>
      <c r="J477" s="14" t="str">
        <f aca="false">IF(Tabla1[[#This Row],[Respuesta]]="","Sin respuesta","Respondido")</f>
        <v>Respondido</v>
      </c>
      <c r="K477" s="13"/>
    </row>
    <row r="478" customFormat="false" ht="72" hidden="false" customHeight="true" outlineLevel="0" collapsed="false">
      <c r="A478" s="10" t="n">
        <v>5</v>
      </c>
      <c r="B478" s="10" t="n">
        <v>5</v>
      </c>
      <c r="C478" s="10" t="s">
        <v>2</v>
      </c>
      <c r="D478" s="10"/>
      <c r="E478" s="10" t="s">
        <v>9</v>
      </c>
      <c r="F478" s="11" t="s">
        <v>874</v>
      </c>
      <c r="G478" s="11"/>
      <c r="H478" s="12" t="s">
        <v>875</v>
      </c>
      <c r="I478" s="13"/>
      <c r="J478" s="14" t="str">
        <f aca="false">IF(Tabla1[[#This Row],[Respuesta]]="","Sin respuesta","Respondido")</f>
        <v>Respondido</v>
      </c>
      <c r="K478" s="13"/>
    </row>
    <row r="479" customFormat="false" ht="57" hidden="false" customHeight="true" outlineLevel="0" collapsed="false">
      <c r="A479" s="10" t="n">
        <v>4</v>
      </c>
      <c r="B479" s="10" t="n">
        <v>4</v>
      </c>
      <c r="C479" s="10" t="s">
        <v>2</v>
      </c>
      <c r="D479" s="10"/>
      <c r="E479" s="10" t="s">
        <v>8</v>
      </c>
      <c r="F479" s="11" t="s">
        <v>876</v>
      </c>
      <c r="G479" s="11"/>
      <c r="H479" s="12" t="s">
        <v>154</v>
      </c>
      <c r="I479" s="13"/>
      <c r="J479" s="14" t="str">
        <f aca="false">IF(Tabla1[[#This Row],[Respuesta]]="","Sin respuesta","Respondido")</f>
        <v>Respondido</v>
      </c>
      <c r="K479" s="13"/>
    </row>
    <row r="480" customFormat="false" ht="89.25" hidden="false" customHeight="true" outlineLevel="0" collapsed="false">
      <c r="A480" s="10" t="n">
        <v>3</v>
      </c>
      <c r="B480" s="10" t="n">
        <v>3</v>
      </c>
      <c r="C480" s="10" t="s">
        <v>2</v>
      </c>
      <c r="D480" s="10"/>
      <c r="E480" s="10" t="s">
        <v>7</v>
      </c>
      <c r="F480" s="11" t="s">
        <v>877</v>
      </c>
      <c r="G480" s="11"/>
      <c r="H480" s="12" t="s">
        <v>878</v>
      </c>
      <c r="I480" s="13"/>
      <c r="J480" s="14" t="str">
        <f aca="false">IF(Tabla1[[#This Row],[Respuesta]]="","Sin respuesta","Respondido")</f>
        <v>Respondido</v>
      </c>
      <c r="K480" s="13"/>
    </row>
    <row r="481" customFormat="false" ht="57" hidden="false" customHeight="true" outlineLevel="0" collapsed="false">
      <c r="A481" s="10" t="n">
        <v>2</v>
      </c>
      <c r="B481" s="10" t="n">
        <v>2</v>
      </c>
      <c r="C481" s="10" t="s">
        <v>2</v>
      </c>
      <c r="D481" s="10"/>
      <c r="E481" s="10" t="s">
        <v>7</v>
      </c>
      <c r="F481" s="11" t="s">
        <v>879</v>
      </c>
      <c r="G481" s="11"/>
      <c r="H481" s="12" t="s">
        <v>880</v>
      </c>
      <c r="I481" s="13"/>
      <c r="J481" s="14" t="str">
        <f aca="false">IF(Tabla1[[#This Row],[Respuesta]]="","Sin respuesta","Respondido")</f>
        <v>Respondido</v>
      </c>
      <c r="K481" s="13"/>
    </row>
    <row r="482" customFormat="false" ht="57" hidden="false" customHeight="true" outlineLevel="0" collapsed="false">
      <c r="A482" s="10" t="n">
        <v>1</v>
      </c>
      <c r="B482" s="10" t="n">
        <v>1</v>
      </c>
      <c r="C482" s="10" t="s">
        <v>2</v>
      </c>
      <c r="D482" s="10"/>
      <c r="E482" s="10" t="s">
        <v>7</v>
      </c>
      <c r="F482" s="11" t="s">
        <v>881</v>
      </c>
      <c r="G482" s="11"/>
      <c r="H482" s="12" t="s">
        <v>882</v>
      </c>
      <c r="I482" s="13"/>
      <c r="J482" s="14" t="str">
        <f aca="false">IF(Tabla1[[#This Row],[Respuesta]]="","Sin respuesta","Respondido")</f>
        <v>Respondido</v>
      </c>
      <c r="K482" s="13"/>
    </row>
  </sheetData>
  <mergeCells count="3">
    <mergeCell ref="A1:D1"/>
    <mergeCell ref="A2:D2"/>
    <mergeCell ref="A3:D3"/>
  </mergeCells>
  <conditionalFormatting sqref="J5:J482">
    <cfRule type="cellIs" priority="2" operator="equal" aboveAverage="0" equalAverage="0" bottom="0" percent="0" rank="0" text="" dxfId="9">
      <formula>"Respondido"</formula>
    </cfRule>
    <cfRule type="cellIs" priority="3" operator="equal" aboveAverage="0" equalAverage="0" bottom="0" percent="0" rank="0" text="" dxfId="10">
      <formula>"Sin respuesta"</formula>
    </cfRule>
  </conditionalFormatting>
  <hyperlinks>
    <hyperlink ref="G332" location="'CONSULTAS 4'!A1" display="CONSULTAS 4'!A1"/>
    <hyperlink ref="G333" location="'CONSULTAS 3'!A1" display="CONSULTAS 3'!A1"/>
    <hyperlink ref="G334" location="'CONSULTAS 3'!A1" display="CONSULTAS 3'!A1"/>
    <hyperlink ref="G335" location="'CONSULTAS 3'!A1" display="CONSULTAS 3'!A1"/>
    <hyperlink ref="G337" location="'CONSULTAS 2'!A1" display="CONSULTAS 2'!A1"/>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A65AFD954057641909DB4C88CDFE0E7" ma:contentTypeVersion="11" ma:contentTypeDescription="Crie um novo documento." ma:contentTypeScope="" ma:versionID="1c9d61d86947659a427d0ce020cf4053">
  <xsd:schema xmlns:xsd="http://www.w3.org/2001/XMLSchema" xmlns:xs="http://www.w3.org/2001/XMLSchema" xmlns:p="http://schemas.microsoft.com/office/2006/metadata/properties" xmlns:ns2="2b126fe6-0132-4d90-aba1-901d71bbe25c" xmlns:ns3="cf0e8e5b-2e55-4ab9-a46c-e6b3a9d675c7" targetNamespace="http://schemas.microsoft.com/office/2006/metadata/properties" ma:root="true" ma:fieldsID="098943abe3922cbf895584685bb145cb" ns2:_="" ns3:_="">
    <xsd:import namespace="2b126fe6-0132-4d90-aba1-901d71bbe25c"/>
    <xsd:import namespace="cf0e8e5b-2e55-4ab9-a46c-e6b3a9d675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126fe6-0132-4d90-aba1-901d71bbe2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101385ee-7393-475f-af07-f0ab58274e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0e8e5b-2e55-4ab9-a46c-e6b3a9d675c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f750f32-fb89-4b04-9804-a21e4d05cce9}" ma:internalName="TaxCatchAll" ma:showField="CatchAllData" ma:web="cf0e8e5b-2e55-4ab9-a46c-e6b3a9d675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0e8e5b-2e55-4ab9-a46c-e6b3a9d675c7" xsi:nil="true"/>
    <lcf76f155ced4ddcb4097134ff3c332f xmlns="2b126fe6-0132-4d90-aba1-901d71bbe2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595535D-89BB-4F22-9819-EE580A52E8EA}"/>
</file>

<file path=customXml/itemProps2.xml><?xml version="1.0" encoding="utf-8"?>
<ds:datastoreItem xmlns:ds="http://schemas.openxmlformats.org/officeDocument/2006/customXml" ds:itemID="{BAF6AD31-62D1-4726-8A8B-9C4C0F0F1E0D}"/>
</file>

<file path=customXml/itemProps3.xml><?xml version="1.0" encoding="utf-8"?>
<ds:datastoreItem xmlns:ds="http://schemas.openxmlformats.org/officeDocument/2006/customXml" ds:itemID="{DCC841AD-131C-4FE7-BBD2-74E171DF7629}"/>
</file>

<file path=docProps/app.xml><?xml version="1.0" encoding="utf-8"?>
<Properties xmlns="http://schemas.openxmlformats.org/officeDocument/2006/extended-properties" xmlns:vt="http://schemas.openxmlformats.org/officeDocument/2006/docPropsVTypes">
  <Template/>
  <TotalTime>1</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2025-09-01T19:53:39Z</dcterms:created>
  <dc:creator>Juan Pablo Jorquera Aliste</dc:creator>
  <dc:description/>
  <dc:language>es-CL</dc:language>
  <cp:lastModifiedBy/>
  <dcterms:modified xsi:type="dcterms:W3CDTF">2026-03-16T18:40:29Z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0x0101002A65AFD954057641909DB4C88CDFE0E7</vt:lpwstr>
  </property>
  <property fmtid="{D5CDD505-2E9C-101B-9397-08002B2CF9AE}" pid="3" name="MediaServiceImageTags">
    <vt:lpwstr/>
  </property>
</Properties>
</file>