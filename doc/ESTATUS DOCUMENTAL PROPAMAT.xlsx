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10.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_rels/sheet9.xml.rels" ContentType="application/vnd.openxmlformats-package.relationships+xml"/>
  <Override PartName="/xl/worksheets/_rels/sheet6.xml.rels" ContentType="application/vnd.openxmlformats-package.relationships+xml"/>
  <Override PartName="/xl/worksheets/_rels/sheet8.xml.rels" ContentType="application/vnd.openxmlformats-package.relationships+xml"/>
  <Override PartName="/xl/worksheets/_rels/sheet5.xml.rels" ContentType="application/vnd.openxmlformats-package.relationships+xml"/>
  <Override PartName="/xl/worksheets/_rels/sheet7.xml.rels" ContentType="application/vnd.openxmlformats-package.relationships+xml"/>
  <Override PartName="/xl/worksheets/_rels/sheet1.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10.xml.rels" ContentType="application/vnd.openxmlformats-package.relationship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xl/media/image1.jpeg" ContentType="image/jpeg"/>
  <Override PartName="/xl/media/image2.png" ContentType="image/png"/>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_rels/drawing5.xml.rels" ContentType="application/vnd.openxmlformats-package.relationships+xml"/>
  <Override PartName="/xl/drawings/_rels/drawing2.xml.rels" ContentType="application/vnd.openxmlformats-package.relationships+xml"/>
  <Override PartName="/xl/drawings/_rels/drawing4.xml.rels" ContentType="application/vnd.openxmlformats-package.relationships+xml"/>
  <Override PartName="/xl/drawings/_rels/drawing3.xml.rels" ContentType="application/vnd.openxmlformats-package.relationship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vmlDrawing1.vml" ContentType="application/vnd.openxmlformats-officedocument.vmlDrawing"/>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omments10.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rels/.rels" ContentType="application/vnd.openxmlformats-package.relationships+xml"/>
  <Override PartName="/customXml/item1.xml" ContentType="application/xml"/>
  <Override PartName="/customXml/itemProps1.xml" ContentType="application/vnd.openxmlformats-officedocument.customXmlProperties+xml"/>
  <Override PartName="/customXml/item2.xml" ContentType="application/xml"/>
  <Override PartName="/customXml/_rels/item3.xml.rels" ContentType="application/vnd.openxmlformats-package.relationships+xml"/>
  <Override PartName="/customXml/_rels/item2.xml.rels" ContentType="application/vnd.openxmlformats-package.relationships+xml"/>
  <Override PartName="/customXml/_rels/item1.xml.rels" ContentType="application/vnd.openxmlformats-package.relationships+xml"/>
  <Override PartName="/customXml/itemProps2.xml" ContentType="application/vnd.openxmlformats-officedocument.customXmlProperties+xml"/>
  <Override PartName="/customXml/item3.xml" ContentType="application/xml"/>
  <Override PartName="/customXml/itemProps3.xml" ContentType="application/vnd.openxmlformats-officedocument.customXml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5" Type="http://schemas.openxmlformats.org/officeDocument/2006/relationships/customXml" Target="../customXml/item1.xml"/><Relationship Id="rId6" Type="http://schemas.openxmlformats.org/officeDocument/2006/relationships/customXml" Target="../customXml/item2.xml"/><Relationship Id="rId7" Type="http://schemas.openxmlformats.org/officeDocument/2006/relationships/customXml" Target="../customXml/item3.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Memoria de cálculo " sheetId="1" state="visible" r:id="rId2"/>
    <sheet name="listado de planos con rev." sheetId="2" state="visible" r:id="rId3"/>
    <sheet name="PROCEDIMIENTOS" sheetId="3" state="visible" r:id="rId4"/>
    <sheet name="Listado de Planos" sheetId="4" state="visible" r:id="rId5"/>
    <sheet name="Log RDI" sheetId="5" state="visible" r:id="rId6"/>
    <sheet name="Log de transmisión " sheetId="6" state="visible" r:id="rId7"/>
    <sheet name="Cartas PROPAMAT " sheetId="7" state="visible" r:id="rId8"/>
    <sheet name="Cartas BUFFER " sheetId="8" state="visible" r:id="rId9"/>
    <sheet name="No Conformidad " sheetId="9" state="visible" r:id="rId10"/>
    <sheet name="NOC" sheetId="10" state="visible" r:id="rId11"/>
  </sheets>
  <definedNames>
    <definedName function="false" hidden="true" localSheetId="7" name="_xlnm._FilterDatabase" vbProcedure="false">'Cartas BUFFER '!$B$3:$K$47</definedName>
    <definedName function="false" hidden="true" localSheetId="6" name="_xlnm._FilterDatabase" vbProcedure="false">'Cartas PROPAMAT '!$B$3:$J$69</definedName>
    <definedName function="false" hidden="false" localSheetId="3" name="_xlnm.Print_Area" vbProcedure="false">'Listado de Planos'!$B$1:$J$21</definedName>
    <definedName function="false" hidden="false" localSheetId="3" name="_xlnm.Print_Titles" vbProcedure="false">'Listado de Planos'!$2:$3</definedName>
    <definedName function="false" hidden="false" localSheetId="5" name="_xlnm.Print_Area" vbProcedure="false">'Log de transmisión '!$B$1:$L$267</definedName>
    <definedName function="false" hidden="false" localSheetId="4" name="_xlnm.Print_Area" vbProcedure="false">'Log RDI'!$A$1:$J$144</definedName>
    <definedName function="false" hidden="false" localSheetId="4" name="_xlnm.Print_Titles" vbProcedure="false">'Log RDI'!$2:$7</definedName>
    <definedName function="false" hidden="true" localSheetId="0" name="_xlnm._FilterDatabase" vbProcedure="false">'Memoria de cálculo '!$B$2:$F$2</definedName>
    <definedName function="false" hidden="true" localSheetId="8" name="_xlnm._FilterDatabase" vbProcedure="false">'No Conformidad '!$B$2:$M$2</definedName>
    <definedName function="false" hidden="true" localSheetId="9" name="_xlnm._FilterDatabase" vbProcedure="false">NOC!$A$3:$AG$52</definedName>
    <definedName function="false" hidden="true" localSheetId="2" name="_xlnm._FilterDatabase" vbProcedure="false">PROCEDIMIENTOS!$A$10:$P$10</definedName>
    <definedName function="false" hidden="false" name="A" vbProcedure="false">{#N/A,#N/A,FALSE,"masez (10)";#N/A,#N/A,FALSE,"masez (7)";#N/A,#N/A,FALSE,"masez (6)";#N/A,#N/A,FALSE,"masez (5)";#N/A,#N/A,FALSE,"masez (4)";#N/A,#N/A,FALSE,"masez (3)";#N/A,#N/A,FALSE,"masez (2)";#N/A,#N/A,FALSE,"GME";#N/A,#N/A,FALSE,"masez"}</definedName>
    <definedName function="false" hidden="false" name="A02M310" vbProcedure="false">{"DETALLE_1996",#N/A,FALSE,"flujo";"DETALLE_1997",#N/A,FALSE,"flujo";"GASTOS_INCURRIDOS_1996",#N/A,FALSE,"flujo";"GASTOS_PROGRAMADOS_PARA_1997",#N/A,FALSE,"flujo";#N/A,#N/A,FALSE,"comparat";#N/A,#N/A,FALSE,"costos";#N/A,#N/A,FALSE,"proyctrol"}</definedName>
    <definedName function="false" hidden="false" name="aa" vbProcedure="false">{#N/A,#N/A,FALSE,"masez (10)";#N/A,#N/A,FALSE,"masez (7)";#N/A,#N/A,FALSE,"masez (6)";#N/A,#N/A,FALSE,"masez (5)";#N/A,#N/A,FALSE,"masez (4)";#N/A,#N/A,FALSE,"masez (3)";#N/A,#N/A,FALSE,"masez (2)";#N/A,#N/A,FALSE,"GME";#N/A,#N/A,FALSE,"masez"}</definedName>
    <definedName function="false" hidden="false" name="aaa" vbProcedure="false">{#N/A,#N/A,TRUE,"RESUMEN ECON.";#N/A,#N/A,TRUE,"Costos de R.H.";#N/A,#N/A,TRUE,"COSTO HW";#N/A,#N/A,TRUE,"CUADROS";#N/A,#N/A,TRUE,"SCADA´s";#N/A,#N/A,TRUE,"PRECIOS EQUIPOS"}</definedName>
    <definedName function="false" hidden="false" name="aaaa" vbProcedure="false">{"Informe 1_Consolidado",#N/A,FALSE,"Cons.";"Informe 1_Tunel",#N/A,FALSE,"Cons.";"Informe 1_Melip",#N/A,FALSE,"Cons.";"Informe 1_Guall",#N/A,FALSE,"Cons.";"Informe 1_Sara L",#N/A,FALSE,"Cons.";"Informe 1_Quellon",#N/A,FALSE,"Cons.";"Informe 1_Biolix",#N/A,FALSE,"Cons.";"Informe 1_Oficina",#N/A,FALSE,"Cons.";"Informe 1_Consorcio",#N/A,FALSE,"Cons."}</definedName>
    <definedName function="false" hidden="false" name="aaaaa" vbProcedure="false">{#N/A,#N/A,FALSE,"masez (10)";#N/A,#N/A,FALSE,"masez (7)";#N/A,#N/A,FALSE,"masez (6)";#N/A,#N/A,FALSE,"masez (5)";#N/A,#N/A,FALSE,"masez (4)";#N/A,#N/A,FALSE,"masez (3)";#N/A,#N/A,FALSE,"masez (2)";#N/A,#N/A,FALSE,"GME";#N/A,#N/A,FALSE,"masez"}</definedName>
    <definedName function="false" hidden="false" name="AAAAAA" vbProcedure="false">{"DETALLE_1996",#N/A,FALSE,"flujo";"DETALLE_1997",#N/A,FALSE,"flujo";"GASTOS_INCURRIDOS_1996",#N/A,FALSE,"flujo";"GASTOS_PROGRAMADOS_PARA_1997",#N/A,FALSE,"flujo";#N/A,#N/A,FALSE,"comparat";#N/A,#N/A,FALSE,"costos";#N/A,#N/A,FALSE,"proyctrol"}</definedName>
    <definedName function="false" hidden="false" name="ab" vbProcedure="false">{#N/A,#N/A,FALSE,"masez (10)";#N/A,#N/A,FALSE,"masez (7)";#N/A,#N/A,FALSE,"masez (6)";#N/A,#N/A,FALSE,"masez (5)";#N/A,#N/A,FALSE,"masez (4)";#N/A,#N/A,FALSE,"masez (3)";#N/A,#N/A,FALSE,"masez (2)";#N/A,#N/A,FALSE,"GME";#N/A,#N/A,FALSE,"masez"}</definedName>
    <definedName function="false" hidden="false" name="ACT" vbProcedure="false">#REF!</definedName>
    <definedName function="false" hidden="false" name="ad" vbProcedure="false">{"Sens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function="false" hidden="false" name="adsda" vbProcedure="false">{#N/A,#N/A,FALSE,"masez (10)";#N/A,#N/A,FALSE,"masez (7)";#N/A,#N/A,FALSE,"masez (6)";#N/A,#N/A,FALSE,"masez (5)";#N/A,#N/A,FALSE,"masez (4)";#N/A,#N/A,FALSE,"masez (3)";#N/A,#N/A,FALSE,"masez (2)";#N/A,#N/A,FALSE,"GME";#N/A,#N/A,FALSE,"masez"}</definedName>
    <definedName function="false" hidden="false" name="aec" vbProcedure="false">{#N/A,#N/A,FALSE,"summary";#N/A,#N/A,FALSE,"SumGraph"}</definedName>
    <definedName function="false" hidden="false" name="ag" vbProcedure="false">{#N/A,#N/A,FALSE,"PXP-TOTAL Modif";"vis2",#N/A,FALSE,"PXP-AÑO";"Vis1",#N/A,FALSE,"PXP-AÑO"}</definedName>
    <definedName function="false" hidden="false" name="agua" vbProcedure="false">{"Sens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function="false" hidden="false" name="alex" vbProcedure="false">{"Sens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function="false" hidden="false" name="Alt.2" vbProcedure="false">{#N/A,#N/A,FALSE,"masez (10)";#N/A,#N/A,FALSE,"masez (7)";#N/A,#N/A,FALSE,"masez (6)";#N/A,#N/A,FALSE,"masez (5)";#N/A,#N/A,FALSE,"masez (4)";#N/A,#N/A,FALSE,"masez (3)";#N/A,#N/A,FALSE,"masez (2)";#N/A,#N/A,FALSE,"GME";#N/A,#N/A,FALSE,"masez"}</definedName>
    <definedName function="false" hidden="false" name="anscount" vbProcedure="false">2</definedName>
    <definedName function="false" hidden="false" name="AREA" vbProcedure="false">#REF!</definedName>
    <definedName function="false" hidden="false" name="asa" vbProcedure="false">{"Sens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function="false" hidden="false" name="AVANCE" vbProcedure="false">#REF!</definedName>
    <definedName function="false" hidden="false" name="b" vbProcedure="false">{#N/A,#N/A,FALSE,"RESUMEN ECON.";#N/A,#N/A,FALSE,"Costos de R.H.";#N/A,#N/A,FALSE,"COSTO HW";#N/A,#N/A,FALSE,"CUADROS";#N/A,#N/A,FALSE,"SCADA´s";#N/A,#N/A,FALSE,"PRECIOS EQUIPOS"}</definedName>
    <definedName function="false" hidden="false" name="barrera" vbProcedure="false">{#N/A,#N/A,FALSE,"RESUMEN ECON.";#N/A,#N/A,FALSE,"Costos de R.H.";#N/A,#N/A,FALSE,"COSTO HW";#N/A,#N/A,FALSE,"CUADROS";#N/A,#N/A,FALSE,"SCADA´s";#N/A,#N/A,FALSE,"PRECIOS EQUIPOS"}</definedName>
    <definedName function="false" hidden="false" name="barrera1" vbProcedure="false">{#N/A,#N/A,FALSE,"RESUMEN ECON.";#N/A,#N/A,FALSE,"Costos de R.H.";#N/A,#N/A,FALSE,"COSTO HW";#N/A,#N/A,FALSE,"CUADROS";#N/A,#N/A,FALSE,"SCADA´s";#N/A,#N/A,FALSE,"PRECIOS EQUIPOS"}</definedName>
    <definedName function="false" hidden="false" name="barrera2" vbProcedure="false">{#N/A,#N/A,FALSE,"RESUMEN ECON.";#N/A,#N/A,FALSE,"Costos de R.H.";#N/A,#N/A,FALSE,"COSTO HW";#N/A,#N/A,FALSE,"CUADROS";#N/A,#N/A,FALSE,"SCADA´s";#N/A,#N/A,FALSE,"PRECIOS EQUIPOS"}</definedName>
    <definedName function="false" hidden="false" name="BBB" vbProcedure="false">{"Informe 1_Consolidado",#N/A,FALSE,"Cons.";"Informe 1_Tunel",#N/A,FALSE,"Cons.";"Informe 1_Melip",#N/A,FALSE,"Cons.";"Informe 1_Guall",#N/A,FALSE,"Cons.";"Informe 1_Sara L",#N/A,FALSE,"Cons.";"Informe 1_Quellon",#N/A,FALSE,"Cons.";"Informe 1_Biolix",#N/A,FALSE,"Cons.";"Informe 1_Oficina",#N/A,FALSE,"Cons.";"Informe 1_Consorcio",#N/A,FALSE,"Cons."}</definedName>
    <definedName function="false" hidden="false" name="BBBB" vbProcedure="false">{"Informe 1_Consolidado",#N/A,FALSE,"Cons.";"Informe 1_Tunel",#N/A,FALSE,"Cons.";"Informe 1_Melip",#N/A,FALSE,"Cons.";"Informe 1_Guall",#N/A,FALSE,"Cons.";"Informe 1_Sara L",#N/A,FALSE,"Cons.";"Informe 1_Quellon",#N/A,FALSE,"Cons.";"Informe 1_Biolix",#N/A,FALSE,"Cons.";"Informe 1_Oficina",#N/A,FALSE,"Cons.";"Informe 1_Consorcio",#N/A,FALSE,"Cons."}</definedName>
    <definedName function="false" hidden="false" name="bghh" vbProcedure="false">{"Informe 1_Consolidado",#N/A,FALSE,"Cons.";"Informe 1_Tunel",#N/A,FALSE,"Cons.";"Informe 1_Melip",#N/A,FALSE,"Cons.";"Informe 1_Guall",#N/A,FALSE,"Cons.";"Informe 1_Sara L",#N/A,FALSE,"Cons.";"Informe 1_Quellon",#N/A,FALSE,"Cons.";"Informe 1_Biolix",#N/A,FALSE,"Cons.";"Informe 1_Oficina",#N/A,FALSE,"Cons.";"Informe 1_Consorcio",#N/A,FALSE,"Cons."}</definedName>
    <definedName function="false" hidden="false" name="Boolean_Type" vbProcedure="false">#REF!</definedName>
    <definedName function="false" hidden="false" name="capamc2" vbProcedure="false">#REF!</definedName>
    <definedName function="false" hidden="false" name="capamc3" vbProcedure="false">#REF!</definedName>
    <definedName function="false" hidden="false" name="CAPAMC4" vbProcedure="false">#REF!</definedName>
    <definedName function="false" hidden="false" name="CAPAMC5TG" vbProcedure="false">#REF!</definedName>
    <definedName function="false" hidden="false" name="capanom" vbProcedure="false">#REF!</definedName>
    <definedName function="false" hidden="false" name="capatc2" vbProcedure="false">#REF!</definedName>
    <definedName function="false" hidden="false" name="capatc3" vbProcedure="false">#REF!</definedName>
    <definedName function="false" hidden="false" name="CAPATC4" vbProcedure="false">#REF!</definedName>
    <definedName function="false" hidden="false" name="capatg2" vbProcedure="false">#REF!</definedName>
    <definedName function="false" hidden="false" name="CAPATG3" vbProcedure="false">#REF!</definedName>
    <definedName function="false" hidden="false" name="capatg4" vbProcedure="false">#REF!</definedName>
    <definedName function="false" hidden="false" name="Capital" vbProcedure="false">{"CR1",#N/A,TRUE,"Cost &amp; Revenue";"CR2",#N/A,TRUE,"Cost &amp; Revenue";"CR3",#N/A,TRUE,"Cost &amp; Revenue"}</definedName>
    <definedName function="false" hidden="false" name="carta" vbProcedure="false">{"DETALLE_1996",#N/A,FALSE,"flujo";"DETALLE_1997",#N/A,FALSE,"flujo";"GASTOS_INCURRIDOS_1996",#N/A,FALSE,"flujo";"GASTOS_PROGRAMADOS_PARA_1997",#N/A,FALSE,"flujo";#N/A,#N/A,FALSE,"comparat";#N/A,#N/A,FALSE,"costos";#N/A,#N/A,FALSE,"proyctrol"}</definedName>
    <definedName function="false" hidden="false" name="cartas" vbProcedure="false">{"DETALLE_1996",#N/A,FALSE,"flujo";"DETALLE_1997",#N/A,FALSE,"flujo";"GASTOS_INCURRIDOS_1996",#N/A,FALSE,"flujo";"GASTOS_PROGRAMADOS_PARA_1997",#N/A,FALSE,"flujo";#N/A,#N/A,FALSE,"comparat";#N/A,#N/A,FALSE,"costos";#N/A,#N/A,FALSE,"proyctrol"}</definedName>
    <definedName function="false" hidden="false" name="casa" vbProcedure="false">{#N/A,#N/A,FALSE,"masez (10)";#N/A,#N/A,FALSE,"masez (7)";#N/A,#N/A,FALSE,"masez (6)";#N/A,#N/A,FALSE,"masez (5)";#N/A,#N/A,FALSE,"masez (4)";#N/A,#N/A,FALSE,"masez (3)";#N/A,#N/A,FALSE,"masez (2)";#N/A,#N/A,FALSE,"GME";#N/A,#N/A,FALSE,"masez"}</definedName>
    <definedName function="false" hidden="false" name="casa1" vbProcedure="false">{#N/A,#N/A,FALSE,"masez (10)";#N/A,#N/A,FALSE,"masez (7)";#N/A,#N/A,FALSE,"masez (6)";#N/A,#N/A,FALSE,"masez (5)";#N/A,#N/A,FALSE,"masez (4)";#N/A,#N/A,FALSE,"masez (3)";#N/A,#N/A,FALSE,"masez (2)";#N/A,#N/A,FALSE,"GME";#N/A,#N/A,FALSE,"masez"}</definedName>
    <definedName function="false" hidden="false" name="Category_Column" vbProcedure="false">#REF!</definedName>
    <definedName function="false" hidden="false" name="Category_Label" vbProcedure="false">#REF!</definedName>
    <definedName function="false" hidden="false" name="ccc" vbProcedure="false">{#N/A,#N/A,FALSE,"masez (10)";#N/A,#N/A,FALSE,"masez (7)";#N/A,#N/A,FALSE,"masez (6)";#N/A,#N/A,FALSE,"masez (5)";#N/A,#N/A,FALSE,"masez (4)";#N/A,#N/A,FALSE,"masez (3)";#N/A,#N/A,FALSE,"masez (2)";#N/A,#N/A,FALSE,"GME";#N/A,#N/A,FALSE,"masez"}</definedName>
    <definedName function="false" hidden="false" name="Changed_Column" vbProcedure="false">#REF!</definedName>
    <definedName function="false" hidden="false" name="CHSFH" vbProcedure="false">{#N/A,#N/A,FALSE,"masez (10)";#N/A,#N/A,FALSE,"masez (7)";#N/A,#N/A,FALSE,"masez (6)";#N/A,#N/A,FALSE,"masez (5)";#N/A,#N/A,FALSE,"masez (4)";#N/A,#N/A,FALSE,"masez (3)";#N/A,#N/A,FALSE,"masez (2)";#N/A,#N/A,FALSE,"GME";#N/A,#N/A,FALSE,"masez"}</definedName>
    <definedName function="false" hidden="false" name="COASIN" vbProcedure="false">{#N/A,#N/A,FALSE,"Graficos"}</definedName>
    <definedName function="false" hidden="false" name="confmc" vbProcedure="false">#REF!</definedName>
    <definedName function="false" hidden="false" name="conftc" vbProcedure="false">#REF!</definedName>
    <definedName function="false" hidden="false" name="conftg" vbProcedure="false">#REF!</definedName>
    <definedName function="false" hidden="false" name="CONSTRUCCION" vbProcedure="false">{#N/A,#N/A,FALSE,"masez (10)";#N/A,#N/A,FALSE,"masez (7)";#N/A,#N/A,FALSE,"masez (6)";#N/A,#N/A,FALSE,"masez (5)";#N/A,#N/A,FALSE,"masez (4)";#N/A,#N/A,FALSE,"masez (3)";#N/A,#N/A,FALSE,"masez (2)";#N/A,#N/A,FALSE,"GME";#N/A,#N/A,FALSE,"masez"}</definedName>
    <definedName function="false" hidden="false" name="control" vbProcedure="false">{#N/A,#N/A,FALSE,"Graficos"}</definedName>
    <definedName function="false" hidden="false" name="copin" vbProcedure="false">{#N/A,#N/A,TRUE,"RESUMEN ECON.";#N/A,#N/A,TRUE,"Costos de R.H.";#N/A,#N/A,TRUE,"COSTO HW";#N/A,#N/A,TRUE,"CUADROS";#N/A,#N/A,TRUE,"SCADA´s";#N/A,#N/A,TRUE,"PRECIOS EQUIPOS"}</definedName>
    <definedName function="false" hidden="false" name="copin2" vbProcedure="false">{#N/A,#N/A,TRUE,"RESUMEN ECON.";#N/A,#N/A,TRUE,"Costos de R.H.";#N/A,#N/A,TRUE,"COSTO HW";#N/A,#N/A,TRUE,"CUADROS";#N/A,#N/A,TRUE,"SCADA´s";#N/A,#N/A,TRUE,"PRECIOS EQUIPOS"}</definedName>
    <definedName function="false" hidden="false" name="copon" vbProcedure="false">{#N/A,#N/A,FALSE,"RESUMEN ECON.";#N/A,#N/A,FALSE,"Costos de R.H.";#N/A,#N/A,FALSE,"COSTO HW";#N/A,#N/A,FALSE,"CUADROS";#N/A,#N/A,FALSE,"SCADA´s";#N/A,#N/A,FALSE,"PRECIOS EQUIPOS"}</definedName>
    <definedName function="false" hidden="false" name="copon2" vbProcedure="false">{#N/A,#N/A,FALSE,"RESUMEN ECON.";#N/A,#N/A,FALSE,"Costos de R.H.";#N/A,#N/A,FALSE,"COSTO HW";#N/A,#N/A,FALSE,"CUADROS";#N/A,#N/A,FALSE,"SCADA´s";#N/A,#N/A,FALSE,"PRECIOS EQUIPOS"}</definedName>
    <definedName function="false" hidden="false" name="Copyright" vbProcedure="false">"© 1995 Worley Limited"</definedName>
    <definedName function="false" hidden="false" name="cosots" vbProcedure="false">{"Graf_Carga Trab",#N/A,FALSE,"Grafi_Carga Trab";"Graf_Venta Flujo",#N/A,FALSE,"Grafi_Carga Trab"}</definedName>
    <definedName function="false" hidden="false" name="Costes" vbProcedure="false">{#N/A,#N/A,TRUE,"RESUMEN ECON.";#N/A,#N/A,TRUE,"Costos de R.H.";#N/A,#N/A,TRUE,"COSTO HW";#N/A,#N/A,TRUE,"CUADROS";#N/A,#N/A,TRUE,"SCADA´s";#N/A,#N/A,TRUE,"PRECIOS EQUIPOS"}</definedName>
    <definedName function="false" hidden="false" name="Costes2" vbProcedure="false">{#N/A,#N/A,TRUE,"RESUMEN ECON.";#N/A,#N/A,TRUE,"Costos de R.H.";#N/A,#N/A,TRUE,"COSTO HW";#N/A,#N/A,TRUE,"CUADROS";#N/A,#N/A,TRUE,"SCADA´s";#N/A,#N/A,TRUE,"PRECIOS EQUIPOS"}</definedName>
    <definedName function="false" hidden="false" name="costos1" vbProcedure="false">{"DETALLE_1996",#N/A,FALSE,"flujo";"DETALLE_1997",#N/A,FALSE,"flujo";"GASTOS_INCURRIDOS_1996",#N/A,FALSE,"flujo";"GASTOS_PROGRAMADOS_PARA_1997",#N/A,FALSE,"flujo";#N/A,#N/A,FALSE,"comparat";#N/A,#N/A,FALSE,"costos";#N/A,#N/A,FALSE,"proyctrol"}</definedName>
    <definedName function="false" hidden="false" name="costos2" vbProcedure="false">{"DETALLE_1996",#N/A,FALSE,"flujo";"DETALLE_1997",#N/A,FALSE,"flujo";"GASTOS_INCURRIDOS_1996",#N/A,FALSE,"flujo";"GASTOS_PROGRAMADOS_PARA_1997",#N/A,FALSE,"flujo";#N/A,#N/A,FALSE,"comparat";#N/A,#N/A,FALSE,"costos";#N/A,#N/A,FALSE,"proyctrol"}</definedName>
    <definedName function="false" hidden="false" name="cuantia_ff" vbProcedure="false">#REF!</definedName>
    <definedName function="false" hidden="false" name="Cuantía_E" vbProcedure="false">#REF!</definedName>
    <definedName function="false" hidden="false" name="Cuantía_F" vbProcedure="false">#REF!</definedName>
    <definedName function="false" hidden="false" name="Cuantía_Fb" vbProcedure="false">#REF!</definedName>
    <definedName function="false" hidden="false" name="Cuantía_L" vbProcedure="false">#REF!</definedName>
    <definedName function="false" hidden="false" name="Cuantía_Lb" vbProcedure="false">#REF!</definedName>
    <definedName function="false" hidden="false" name="Cuantía_M" vbProcedure="false">#REF!</definedName>
    <definedName function="false" hidden="false" name="Cuantía_Mb" vbProcedure="false">#REF!</definedName>
    <definedName function="false" hidden="false" name="Cuantía_P" vbProcedure="false">#REF!</definedName>
    <definedName function="false" hidden="false" name="Cuantía_Pb" vbProcedure="false">#REF!</definedName>
    <definedName function="false" hidden="false" name="Cuantía_V" vbProcedure="false">#REF!</definedName>
    <definedName function="false" hidden="false" name="Cuantía_Vb" vbProcedure="false">#REF!</definedName>
    <definedName function="false" hidden="false" name="cub" vbProcedure="false">{#N/A,#N/A,FALSE,"RESUMEN";#N/A,#N/A,FALSE,"GG-GI";#N/A,#N/A,FALSE,"AMB";#N/A,#N/A,FALSE,"EyR";#N/A,#N/A,FALSE,"UCP";#N/A,#N/A,FALSE,"IND";#N/A,#N/A,FALSE,"LR";#N/A,#N/A,FALSE,"PRV";#N/A,#N/A,FALSE,"TÚNELES";#N/A,#N/A,FALSE,"IDT";#N/A,#N/A,FALSE,"ING"}</definedName>
    <definedName function="false" hidden="false" name="Currency_Ceiling" vbProcedure="false">#REF!</definedName>
    <definedName function="false" hidden="false" name="Currency_Code" vbProcedure="false">#REF!</definedName>
    <definedName function="false" hidden="false" name="Currency_Codes" vbProcedure="false">#REF!</definedName>
    <definedName function="false" hidden="false" name="Currency_Format" vbProcedure="false">#REF!</definedName>
    <definedName function="false" hidden="false" name="Currency_Table" vbProcedure="false">#REF!</definedName>
    <definedName function="false" hidden="false" name="Currency_XR" vbProcedure="false">#REF!</definedName>
    <definedName function="false" hidden="false" name="Current_Column" vbProcedure="false">#REF!</definedName>
    <definedName function="false" hidden="false" name="curva" vbProcedure="false">#REF!</definedName>
    <definedName function="false" hidden="false" name="d" vbProcedure="false">{"Informe 2_Consolidado",#N/A,FALSE,"Cons.";"Informe 2_Tunel",#N/A,FALSE,"Cons.";"Informe 2_Melip",#N/A,FALSE,"Cons.";"Informe 2_Guall",#N/A,FALSE,"Cons.";"Informe 2_Sara L",#N/A,FALSE,"Cons.";"Informe 2_Quellon",#N/A,FALSE,"Cons.";"Informe 2_Biolix",#N/A,FALSE,"Cons.";"Informe 2_Oficina",#N/A,FALSE,"Cons.";"Informe 2_Consorcio",#N/A,FALSE,"Cons."}</definedName>
    <definedName function="false" hidden="false" name="dad" vbProcedure="false">{#N/A,#N/A,FALSE,"Total_OC015";#N/A,#N/A,FALSE,"ADMIN";#N/A,#N/A,FALSE,"PROCES";#N/A,#N/A,FALSE,"mecan";#N/A,#N/A,FALSE,"civil";#N/A,#N/A,FALSE,"CAÑER";#N/A,#N/A,FALSE,"ELEC";#N/A,#N/A,FALSE,"INSTR"}</definedName>
    <definedName function="false" hidden="false" name="dani" vbProcedure="false">{#N/A,#N/A,FALSE,"RESUMEN ECON.";#N/A,#N/A,FALSE,"Costos de R.H.";#N/A,#N/A,FALSE,"COSTO HW";#N/A,#N/A,FALSE,"CUADROS";#N/A,#N/A,FALSE,"SCADA´s";#N/A,#N/A,FALSE,"PRECIOS EQUIPOS"}</definedName>
    <definedName function="false" hidden="false" name="datosejecucionJGR" vbProcedure="false">#REF!</definedName>
    <definedName function="false" hidden="false" name="datosejecutCCSB" vbProcedure="false">#REF!</definedName>
    <definedName function="false" hidden="false" name="datosprograCCSB" vbProcedure="false">#REF!</definedName>
    <definedName function="false" hidden="false" name="datosprogramJGR" vbProcedure="false">#REF!</definedName>
    <definedName function="false" hidden="false" name="DD" vbProcedure="false">{"Informe 2_Consolidado",#N/A,FALSE,"Cons.";"Informe 2_Tunel",#N/A,FALSE,"Cons.";"Informe 2_Melip",#N/A,FALSE,"Cons.";"Informe 2_Guall",#N/A,FALSE,"Cons.";"Informe 2_Sara L",#N/A,FALSE,"Cons.";"Informe 2_Quellon",#N/A,FALSE,"Cons.";"Informe 2_Biolix",#N/A,FALSE,"Cons.";"Informe 2_Oficina",#N/A,FALSE,"Cons.";"Informe 2_Consorcio",#N/A,FALSE,"Cons."}</definedName>
    <definedName function="false" hidden="false" name="DDD" vbProcedure="false">{#N/A,#N/A,FALSE,"summary";#N/A,#N/A,FALSE,"SumGraph"}</definedName>
    <definedName function="false" hidden="false" name="ddddd" vbProcedure="false">{"Informe 1_Consolidado",#N/A,FALSE,"Cons.";"Informe 1_Tunel",#N/A,FALSE,"Cons.";"Informe 1_Melip",#N/A,FALSE,"Cons.";"Informe 1_Guall",#N/A,FALSE,"Cons.";"Informe 1_Sara L",#N/A,FALSE,"Cons.";"Informe 1_Quellon",#N/A,FALSE,"Cons.";"Informe 1_Biolix",#N/A,FALSE,"Cons.";"Informe 1_Oficina",#N/A,FALSE,"Cons.";"Informe 1_Consorcio",#N/A,FALSE,"Cons."}</definedName>
    <definedName function="false" hidden="false" name="Depr." vbProcedure="false">{"CR1",#N/A,TRUE,"Cost &amp; Revenue";"CR2",#N/A,TRUE,"Cost &amp; Revenue";"CR3",#N/A,TRUE,"Cost &amp; Revenue"}</definedName>
    <definedName function="false" hidden="false" name="des" vbProcedure="false">{"DETALLE_1996",#N/A,FALSE,"flujo";"DETALLE_1997",#N/A,FALSE,"flujo";"GASTOS_INCURRIDOS_1996",#N/A,FALSE,"flujo";"GASTOS_PROGRAMADOS_PARA_1997",#N/A,FALSE,"flujo";#N/A,#N/A,FALSE,"comparat";#N/A,#N/A,FALSE,"costos";#N/A,#N/A,FALSE,"proyctrol"}</definedName>
    <definedName function="false" hidden="false" name="DESARROLLOSRIODELMEDIO" vbProcedure="false">{#N/A,#N/A,FALSE,"summary";#N/A,#N/A,FALSE,"SumGraph"}</definedName>
    <definedName function="false" hidden="false" name="Description_Column" vbProcedure="false">#REF!</definedName>
    <definedName function="false" hidden="false" name="Description_Label" vbProcedure="false">#REF!</definedName>
    <definedName function="false" hidden="false" name="dffg" vbProcedure="false">{#N/A,#N/A,TRUE,"RESUMEN ECON.";#N/A,#N/A,TRUE,"Costos de R.H.";#N/A,#N/A,TRUE,"COSTO HW";#N/A,#N/A,TRUE,"CUADROS";#N/A,#N/A,TRUE,"SCADA´s";#N/A,#N/A,TRUE,"PRECIOS EQUIPOS"}</definedName>
    <definedName function="false" hidden="false" name="dispmc" vbProcedure="false">#REF!</definedName>
    <definedName function="false" hidden="false" name="disptc" vbProcedure="false">#REF!</definedName>
    <definedName function="false" hidden="false" name="disptg" vbProcedure="false">#REF!</definedName>
    <definedName function="false" hidden="false" name="ds" vbProcedure="false">{#N/A,#N/A,FALSE,"masez (10)";#N/A,#N/A,FALSE,"masez (7)";#N/A,#N/A,FALSE,"masez (6)";#N/A,#N/A,FALSE,"masez (5)";#N/A,#N/A,FALSE,"masez (4)";#N/A,#N/A,FALSE,"masez (3)";#N/A,#N/A,FALSE,"masez (2)";#N/A,#N/A,FALSE,"GME";#N/A,#N/A,FALSE,"masez"}</definedName>
    <definedName function="false" hidden="false" name="ed" vbProcedure="false">{"DETALLE_1996",#N/A,FALSE,"flujo";"DETALLE_1997",#N/A,FALSE,"flujo";"GASTOS_INCURRIDOS_1996",#N/A,FALSE,"flujo";"GASTOS_PROGRAMADOS_PARA_1997",#N/A,FALSE,"flujo";#N/A,#N/A,FALSE,"comparat";#N/A,#N/A,FALSE,"costos";#N/A,#N/A,FALSE,"proyctrol"}</definedName>
    <definedName function="false" hidden="false" name="edr" vbProcedure="false">{"DETALLE_1996",#N/A,FALSE,"flujo";"DETALLE_1997",#N/A,FALSE,"flujo";"GASTOS_INCURRIDOS_1996",#N/A,FALSE,"flujo";"GASTOS_PROGRAMADOS_PARA_1997",#N/A,FALSE,"flujo";#N/A,#N/A,FALSE,"comparat";#N/A,#N/A,FALSE,"costos";#N/A,#N/A,FALSE,"proyctrol"}</definedName>
    <definedName function="false" hidden="false" name="ee" vbProcedure="false">{"Graf_Carga Trab",#N/A,FALSE,"Grafi_Carga Trab";"Graf_Venta Flujo",#N/A,FALSE,"Grafi_Carga Trab"}</definedName>
    <definedName function="false" hidden="false" name="eea" vbProcedure="false">{#N/A,#N/A,FALSE,"masez (10)";#N/A,#N/A,FALSE,"masez (7)";#N/A,#N/A,FALSE,"masez (6)";#N/A,#N/A,FALSE,"masez (5)";#N/A,#N/A,FALSE,"masez (4)";#N/A,#N/A,FALSE,"masez (3)";#N/A,#N/A,FALSE,"masez (2)";#N/A,#N/A,FALSE,"GME";#N/A,#N/A,FALSE,"masez"}</definedName>
    <definedName function="false" hidden="false" name="eee" vbProcedure="false">{#N/A,#N/A,FALSE,"masez (10)";#N/A,#N/A,FALSE,"masez (7)";#N/A,#N/A,FALSE,"masez (6)";#N/A,#N/A,FALSE,"masez (5)";#N/A,#N/A,FALSE,"masez (4)";#N/A,#N/A,FALSE,"masez (3)";#N/A,#N/A,FALSE,"masez (2)";#N/A,#N/A,FALSE,"GME";#N/A,#N/A,FALSE,"masez"}</definedName>
    <definedName function="false" hidden="false" name="eeee" vbProcedure="false">{#N/A,#N/A,FALSE,"masez (10)";#N/A,#N/A,FALSE,"masez (7)";#N/A,#N/A,FALSE,"masez (6)";#N/A,#N/A,FALSE,"masez (5)";#N/A,#N/A,FALSE,"masez (4)";#N/A,#N/A,FALSE,"masez (3)";#N/A,#N/A,FALSE,"masez (2)";#N/A,#N/A,FALSE,"GME";#N/A,#N/A,FALSE,"masez"}</definedName>
    <definedName function="false" hidden="false" name="eeeeeeeeeeeeee" vbProcedure="false">{#N/A,#N/A,FALSE,"RESUMEN ECON.";#N/A,#N/A,FALSE,"Costos de R.H.";#N/A,#N/A,FALSE,"COSTO HW";#N/A,#N/A,FALSE,"CUADROS";#N/A,#N/A,FALSE,"SCADA´s";#N/A,#N/A,FALSE,"PRECIOS EQUIPOS"}</definedName>
    <definedName function="false" hidden="false" name="ees" vbProcedure="false">{#N/A,#N/A,FALSE,"masez (10)";#N/A,#N/A,FALSE,"masez (7)";#N/A,#N/A,FALSE,"masez (6)";#N/A,#N/A,FALSE,"masez (5)";#N/A,#N/A,FALSE,"masez (4)";#N/A,#N/A,FALSE,"masez (3)";#N/A,#N/A,FALSE,"masez (2)";#N/A,#N/A,FALSE,"GME";#N/A,#N/A,FALSE,"masez"}</definedName>
    <definedName function="false" hidden="false" name="EF" vbProcedure="false">#REF!</definedName>
    <definedName function="false" hidden="false" name="EFA" vbProcedure="false">#REF!</definedName>
    <definedName function="false" hidden="false" name="Effective_Date" vbProcedure="false">#REF!</definedName>
    <definedName function="false" hidden="false" name="efwerf" vbProcedure="false">{#N/A,#N/A,FALSE,"Graficos"}</definedName>
    <definedName function="false" hidden="false" name="efy" vbProcedure="false">{"DETALLE_1996",#N/A,FALSE,"flujo";"DETALLE_1997",#N/A,FALSE,"flujo";"GASTOS_INCURRIDOS_1996",#N/A,FALSE,"flujo";"GASTOS_PROGRAMADOS_PARA_1997",#N/A,FALSE,"flujo";#N/A,#N/A,FALSE,"comparat";#N/A,#N/A,FALSE,"costos";#N/A,#N/A,FALSE,"proyctrol"}</definedName>
    <definedName function="false" hidden="false" name="EPC" vbProcedure="false">{#N/A,#N/A,FALSE,"RESUMEN ECON.";#N/A,#N/A,FALSE,"Costos de R.H.";#N/A,#N/A,FALSE,"COSTO HW";#N/A,#N/A,FALSE,"CUADROS";#N/A,#N/A,FALSE,"SCADA´s";#N/A,#N/A,FALSE,"PRECIOS EQUIPOS"}</definedName>
    <definedName function="false" hidden="false" name="EQ" vbProcedure="false">#REF!</definedName>
    <definedName function="false" hidden="false" name="EQUI" vbProcedure="false">{"'INDICE'!$A$1:$K$78"}</definedName>
    <definedName function="false" hidden="false" name="er" vbProcedure="false">{#N/A,#N/A,FALSE,"masez (10)";#N/A,#N/A,FALSE,"masez (7)";#N/A,#N/A,FALSE,"masez (6)";#N/A,#N/A,FALSE,"masez (5)";#N/A,#N/A,FALSE,"masez (4)";#N/A,#N/A,FALSE,"masez (3)";#N/A,#N/A,FALSE,"masez (2)";#N/A,#N/A,FALSE,"GME";#N/A,#N/A,FALSE,"masez"}</definedName>
    <definedName function="false" hidden="false" name="erd" vbProcedure="false">{#N/A,#N/A,FALSE,"IC_Global";#N/A,#N/A,FALSE,"IC_Global (98-f)";#N/A,#N/A,FALSE,"Inc";#N/A,#N/A,FALSE,"CAMBIOS (2)";#N/A,#N/A,FALSE,"EXPL Inc.";#N/A,#N/A,FALSE,"HITOS98";#N/A,#N/A,FALSE,"CURVA ""S"" GLOBAL ";#N/A,#N/A,FALSE,"CURVA ""S"" 1998 "}</definedName>
    <definedName function="false" hidden="false" name="ES" vbProcedure="false">#REF!</definedName>
    <definedName function="false" hidden="false" name="ESA" vbProcedure="false">#REF!</definedName>
    <definedName function="false" hidden="false" name="españa" vbProcedure="false">#REF!</definedName>
    <definedName function="false" hidden="false" name="etagig" vbProcedure="false">#REF!</definedName>
    <definedName function="false" hidden="false" name="etagim" vbProcedure="false">#REF!</definedName>
    <definedName function="false" hidden="false" name="etagit" vbProcedure="false">#REF!</definedName>
    <definedName function="false" hidden="false" name="ETAP" vbProcedure="false">#REF!</definedName>
    <definedName function="false" hidden="false" name="etatm" vbProcedure="false">#REF!</definedName>
    <definedName function="false" hidden="false" name="etatmmc" vbProcedure="false">#REF!</definedName>
    <definedName function="false" hidden="false" name="EURO" vbProcedure="false">#REF!</definedName>
    <definedName function="false" hidden="false" name="EXCAVACIÓN_A" vbProcedure="false">#REF!</definedName>
    <definedName function="false" hidden="false" name="Excel_BuiltIn_Print_Titles_1_1" vbProcedure="false">#REF!</definedName>
    <definedName function="false" hidden="false" name="EXC_A" vbProcedure="false">#REF!</definedName>
    <definedName function="false" hidden="false" name="EXPFIS" vbProcedure="false">{"DETALLE_1996",#N/A,FALSE,"flujo";"DETALLE_1997",#N/A,FALSE,"flujo";"GASTOS_INCURRIDOS_1996",#N/A,FALSE,"flujo";"GASTOS_PROGRAMADOS_PARA_1997",#N/A,FALSE,"flujo";#N/A,#N/A,FALSE,"comparat";#N/A,#N/A,FALSE,"costos";#N/A,#N/A,FALSE,"proyctrol"}</definedName>
    <definedName function="false" hidden="false" name="FACY" vbProcedure="false">{#N/A,#N/A,FALSE,"masez (10)";#N/A,#N/A,FALSE,"masez (7)";#N/A,#N/A,FALSE,"masez (6)";#N/A,#N/A,FALSE,"masez (5)";#N/A,#N/A,FALSE,"masez (4)";#N/A,#N/A,FALSE,"masez (3)";#N/A,#N/A,FALSE,"masez (2)";#N/A,#N/A,FALSE,"GME";#N/A,#N/A,FALSE,"masez"}</definedName>
    <definedName function="false" hidden="false" name="fanculo" vbProcedure="false">#REF!,#REF!</definedName>
    <definedName function="false" hidden="false" name="fdfjgd" vbProcedure="false">{"Informe 2_Consolidado",#N/A,FALSE,"Cons.";"Informe 2_Tunel",#N/A,FALSE,"Cons.";"Informe 2_Melip",#N/A,FALSE,"Cons.";"Informe 2_Guall",#N/A,FALSE,"Cons.";"Informe 2_Sara L",#N/A,FALSE,"Cons.";"Informe 2_Quellon",#N/A,FALSE,"Cons.";"Informe 2_Biolix",#N/A,FALSE,"Cons.";"Informe 2_Oficina",#N/A,FALSE,"Cons.";"Informe 2_Consorcio",#N/A,FALSE,"Cons."}</definedName>
    <definedName function="false" hidden="false" name="fdsfsdfdsfsd" vbProcedure="false">{"DETALLE_1996",#N/A,FALSE,"flujo";"DETALLE_1997",#N/A,FALSE,"flujo";"GASTOS_INCURRIDOS_1996",#N/A,FALSE,"flujo";"GASTOS_PROGRAMADOS_PARA_1997",#N/A,FALSE,"flujo";#N/A,#N/A,FALSE,"comparat";#N/A,#N/A,FALSE,"costos";#N/A,#N/A,FALSE,"proyctrol"}</definedName>
    <definedName function="false" hidden="false" name="fdshfg" vbProcedure="false">{#N/A,#N/A,FALSE,"masez (10)";#N/A,#N/A,FALSE,"masez (7)";#N/A,#N/A,FALSE,"masez (6)";#N/A,#N/A,FALSE,"masez (5)";#N/A,#N/A,FALSE,"masez (4)";#N/A,#N/A,FALSE,"masez (3)";#N/A,#N/A,FALSE,"masez (2)";#N/A,#N/A,FALSE,"GME";#N/A,#N/A,FALSE,"masez"}</definedName>
    <definedName function="false" hidden="false" name="FECHA" vbProcedure="false">#REF!</definedName>
    <definedName function="false" hidden="false" name="Fernando" vbProcedure="false">{"cuadro1",#N/A,FALSE,"Cam buz camión Opción 1";"cuadro2",#N/A,FALSE,"Cam buz camión Opción 1";"cuadro3",#N/A,FALSE,"Cam buz camión Opción 1";"cuadro4",#N/A,FALSE,"Cam buz camión Opción 1";"cuadro5",#N/A,FALSE,"Cam buz camión Opción 1"}</definedName>
    <definedName function="false" hidden="false" name="ff" vbProcedure="false">{"Informe 2_Consolidado",#N/A,FALSE,"Cons.";"Informe 2_Tunel",#N/A,FALSE,"Cons.";"Informe 2_Melip",#N/A,FALSE,"Cons.";"Informe 2_Guall",#N/A,FALSE,"Cons.";"Informe 2_Sara L",#N/A,FALSE,"Cons.";"Informe 2_Quellon",#N/A,FALSE,"Cons.";"Informe 2_Biolix",#N/A,FALSE,"Cons.";"Informe 2_Oficina",#N/A,FALSE,"Cons.";"Informe 2_Consorcio",#N/A,FALSE,"Cons."}</definedName>
    <definedName function="false" hidden="false" name="FFF" vbProcedure="false">{"Graf_Carga Trab",#N/A,FALSE,"Grafi_Carga Trab";"Graf_Venta Flujo",#N/A,FALSE,"Grafi_Carga Trab"}</definedName>
    <definedName function="false" hidden="false" name="fgch" vbProcedure="false">{#N/A,#N/A,FALSE,"masez (10)";#N/A,#N/A,FALSE,"masez (7)";#N/A,#N/A,FALSE,"masez (6)";#N/A,#N/A,FALSE,"masez (5)";#N/A,#N/A,FALSE,"masez (4)";#N/A,#N/A,FALSE,"masez (3)";#N/A,#N/A,FALSE,"masez (2)";#N/A,#N/A,FALSE,"GME";#N/A,#N/A,FALSE,"masez"}</definedName>
    <definedName function="false" hidden="false" name="fgr" vbProcedure="false">{#N/A,#N/A,FALSE,"Total_OC015";#N/A,#N/A,FALSE,"ADMIN";#N/A,#N/A,FALSE,"PROCES";#N/A,#N/A,FALSE,"mecan";#N/A,#N/A,FALSE,"civil";#N/A,#N/A,FALSE,"CAÑER";#N/A,#N/A,FALSE,"ELEC";#N/A,#N/A,FALSE,"INSTR"}</definedName>
    <definedName function="false" hidden="false" name="FHSFJKSG" vbProcedure="false">{#N/A,#N/A,FALSE,"RESUMEN";#N/A,#N/A,FALSE,"GG-GI";#N/A,#N/A,FALSE,"AMB";#N/A,#N/A,FALSE,"EyR";#N/A,#N/A,FALSE,"UCP";#N/A,#N/A,FALSE,"IND";#N/A,#N/A,FALSE,"LR";#N/A,#N/A,FALSE,"PRV";#N/A,#N/A,FALSE,"TÚNELES";#N/A,#N/A,FALSE,"IDT";#N/A,#N/A,FALSE,"ING"}</definedName>
    <definedName function="false" hidden="false" name="ficha" vbProcedure="false">{#N/A,#N/A,FALSE,"RESUMEN ECON.";#N/A,#N/A,FALSE,"Costos de R.H.";#N/A,#N/A,FALSE,"COSTO HW";#N/A,#N/A,FALSE,"CUADROS";#N/A,#N/A,FALSE,"SCADA´s";#N/A,#N/A,FALSE,"PRECIOS EQUIPOS"}</definedName>
    <definedName function="false" hidden="false" name="ficha2" vbProcedure="false">{#N/A,#N/A,FALSE,"RESUMEN ECON.";#N/A,#N/A,FALSE,"Costos de R.H.";#N/A,#N/A,FALSE,"COSTO HW";#N/A,#N/A,FALSE,"CUADROS";#N/A,#N/A,FALSE,"SCADA´s";#N/A,#N/A,FALSE,"PRECIOS EQUIPOS"}</definedName>
    <definedName function="false" hidden="false" name="Fluidos" vbProcedure="false">#REF!</definedName>
    <definedName function="false" hidden="false" name="Flujos" vbProcedure="false">{#N/A,#N/A,FALSE,"Graficos"}</definedName>
    <definedName function="false" hidden="false" name="FRDEASASa" vbProcedure="false">{"DETALLE_1996",#N/A,FALSE,"flujo";"DETALLE_1997",#N/A,FALSE,"flujo";"GASTOS_INCURRIDOS_1996",#N/A,FALSE,"flujo";"GASTOS_PROGRAMADOS_PARA_1997",#N/A,FALSE,"flujo";#N/A,#N/A,FALSE,"comparat";#N/A,#N/A,FALSE,"costos";#N/A,#N/A,FALSE,"proyctrol"}</definedName>
    <definedName function="false" hidden="false" name="FSF" vbProcedure="false">{#N/A,#N/A,FALSE,"masez (10)";#N/A,#N/A,FALSE,"masez (7)";#N/A,#N/A,FALSE,"masez (6)";#N/A,#N/A,FALSE,"masez (5)";#N/A,#N/A,FALSE,"masez (4)";#N/A,#N/A,FALSE,"masez (3)";#N/A,#N/A,FALSE,"masez (2)";#N/A,#N/A,FALSE,"GME";#N/A,#N/A,FALSE,"masez"}</definedName>
    <definedName function="false" hidden="false" name="fsfs" vbProcedure="false">{#N/A,#N/A,FALSE,"masez (10)";#N/A,#N/A,FALSE,"masez (7)";#N/A,#N/A,FALSE,"masez (6)";#N/A,#N/A,FALSE,"masez (5)";#N/A,#N/A,FALSE,"masez (4)";#N/A,#N/A,FALSE,"masez (3)";#N/A,#N/A,FALSE,"masez (2)";#N/A,#N/A,FALSE,"GME";#N/A,#N/A,FALSE,"masez"}</definedName>
    <definedName function="false" hidden="false" name="fsfsd" vbProcedure="false">{#N/A,#N/A,TRUE,"RESUMEN ECON.";#N/A,#N/A,TRUE,"Costos de R.H.";#N/A,#N/A,TRUE,"COSTO HW";#N/A,#N/A,TRUE,"CUADROS";#N/A,#N/A,TRUE,"SCADA´s";#N/A,#N/A,TRUE,"PRECIOS EQUIPOS"}</definedName>
    <definedName function="false" hidden="false" name="fsfsd2" vbProcedure="false">{#N/A,#N/A,TRUE,"RESUMEN ECON.";#N/A,#N/A,TRUE,"Costos de R.H.";#N/A,#N/A,TRUE,"COSTO HW";#N/A,#N/A,TRUE,"CUADROS";#N/A,#N/A,TRUE,"SCADA´s";#N/A,#N/A,TRUE,"PRECIOS EQUIPOS"}</definedName>
    <definedName function="false" hidden="false" name="full" vbProcedure="false">#REF!</definedName>
    <definedName function="false" hidden="false" name="Future_Column" vbProcedure="false">#REF!</definedName>
    <definedName function="false" hidden="false" name="Future_Label" vbProcedure="false">#REF!</definedName>
    <definedName function="false" hidden="false" name="g" vbProcedure="false">{#N/A,#N/A,FALSE,"Graficos"}</definedName>
    <definedName function="false" hidden="false" name="gar" vbProcedure="false">#REF!</definedName>
    <definedName function="false" hidden="false" name="Gastón" vbProcedure="false">{"CI+GG(BASE)",#N/A,FALSE,"CI+GG(BASE)";"GG",#N/A,FALSE,"CI+GG(BASE)";"CI",#N/A,FALSE,"CI+GG(BASE)"}</definedName>
    <definedName function="false" hidden="false" name="GDG" vbProcedure="false">{#N/A,#N/A,FALSE,"masez (10)";#N/A,#N/A,FALSE,"masez (7)";#N/A,#N/A,FALSE,"masez (6)";#N/A,#N/A,FALSE,"masez (5)";#N/A,#N/A,FALSE,"masez (4)";#N/A,#N/A,FALSE,"masez (3)";#N/A,#N/A,FALSE,"masez (2)";#N/A,#N/A,FALSE,"GME";#N/A,#N/A,FALSE,"masez"}</definedName>
    <definedName function="false" hidden="false" name="GFGFGGG" vbProcedure="false">{"Control_Consolidado",#N/A,FALSE,"Cons.";"Control_Tunel",#N/A,FALSE,"Cons.";"Control_Melip",#N/A,FALSE,"Cons.";"Control_Gualleco",#N/A,FALSE,"Cons.";"Control_Sara L",#N/A,FALSE,"Cons.";"Control_Quellon",#N/A,FALSE,"Cons.";"Control_Biolix",#N/A,FALSE,"Cons.";"Control_Oficina",#N/A,FALSE,"Cons.";"Control_Consorcio",#N/A,FALSE,"Cons."}</definedName>
    <definedName function="false" hidden="false" name="gg" vbProcedure="false">{"Graf_Carga Trab",#N/A,FALSE,"Grafi_Carga Trab";"Graf_Venta Flujo",#N/A,FALSE,"Grafi_Carga Trab"}</definedName>
    <definedName function="false" hidden="false" name="GGdirconPosv" vbProcedure="false">#REF!</definedName>
    <definedName function="false" hidden="false" name="ggg" vbProcedure="false">{#N/A,#N/A,TRUE,"RESUMEN ECON.";#N/A,#N/A,TRUE,"Costos de R.H.";#N/A,#N/A,TRUE,"COSTO HW";#N/A,#N/A,TRUE,"CUADROS";#N/A,#N/A,TRUE,"SCADA´s";#N/A,#N/A,TRUE,"PRECIOS EQUIPOS"}</definedName>
    <definedName function="false" hidden="false" name="ghgijuu" vbProcedure="false">{#N/A,#N/A,FALSE,"COVER";#N/A,#N/A,FALSE,"RECAP";#N/A,#N/A,FALSE,"SANTA BARBARA NONMANUAL";#N/A,#N/A,FALSE,"CEQUIP";#N/A,#N/A,FALSE,"WRATE";#N/A,#N/A,FALSE,"INDIRECT";#N/A,#N/A,FALSE,"TRAIN";#N/A,#N/A,FALSE,"MANLOADED SCHEDULE"}</definedName>
    <definedName function="false" hidden="false" name="gigi" vbProcedure="false">{#N/A,#N/A,FALSE,"summary";#N/A,#N/A,FALSE,"SumGraph"}</definedName>
    <definedName function="false" hidden="false" name="GJ" vbProcedure="false">#REF!</definedName>
    <definedName function="false" hidden="false" name="GJLHÑÑGHK" vbProcedure="false">{#N/A,#N/A,FALSE,"masez (10)";#N/A,#N/A,FALSE,"masez (7)";#N/A,#N/A,FALSE,"masez (6)";#N/A,#N/A,FALSE,"masez (5)";#N/A,#N/A,FALSE,"masez (4)";#N/A,#N/A,FALSE,"masez (3)";#N/A,#N/A,FALSE,"masez (2)";#N/A,#N/A,FALSE,"GME";#N/A,#N/A,FALSE,"masez"}</definedName>
    <definedName function="false" hidden="false" name="gmd" vbProcedure="false">{#N/A,#N/A,FALSE,"Matrix";#N/A,#N/A,FALSE,"Executive";#N/A,#N/A,FALSE,"Summary"}</definedName>
    <definedName function="false" hidden="false" name="HG" vbProcedure="false">{"Informe 2_Consolidado",#N/A,FALSE,"Cons.";"Informe 2_Tunel",#N/A,FALSE,"Cons.";"Informe 2_Melip",#N/A,FALSE,"Cons.";"Informe 2_Guall",#N/A,FALSE,"Cons.";"Informe 2_Sara L",#N/A,FALSE,"Cons.";"Informe 2_Quellon",#N/A,FALSE,"Cons.";"Informe 2_Biolix",#N/A,FALSE,"Cons.";"Informe 2_Oficina",#N/A,FALSE,"Cons.";"Informe 2_Consorcio",#N/A,FALSE,"Cons."}</definedName>
    <definedName function="false" hidden="false" name="HGH" vbProcedure="false">{#N/A,#N/A,FALSE,"summary";#N/A,#N/A,FALSE,"SumGraph"}</definedName>
    <definedName function="false" hidden="false" name="HHGH" vbProcedure="false">{"Control_Consolidado",#N/A,FALSE,"Cons.";"Control_Tunel",#N/A,FALSE,"Cons.";"Control_Melip",#N/A,FALSE,"Cons.";"Control_Gualleco",#N/A,FALSE,"Cons.";"Control_Sara L",#N/A,FALSE,"Cons.";"Control_Quellon",#N/A,FALSE,"Cons.";"Control_Biolix",#N/A,FALSE,"Cons.";"Control_Oficina",#N/A,FALSE,"Cons.";"Control_Consorcio",#N/A,FALSE,"Cons."}</definedName>
    <definedName function="false" hidden="false" name="hhhhh" vbProcedure="false">{"Informe 2_Consolidado",#N/A,FALSE,"Cons.";"Informe 2_Tunel",#N/A,FALSE,"Cons.";"Informe 2_Melip",#N/A,FALSE,"Cons.";"Informe 2_Guall",#N/A,FALSE,"Cons.";"Informe 2_Sara L",#N/A,FALSE,"Cons.";"Informe 2_Quellon",#N/A,FALSE,"Cons.";"Informe 2_Biolix",#N/A,FALSE,"Cons.";"Informe 2_Oficina",#N/A,FALSE,"Cons.";"Informe 2_Consorcio",#N/A,FALSE,"Cons."}</definedName>
    <definedName function="false" hidden="false" name="HHHHHH" vbProcedure="false">{"DETALLE_1996",#N/A,FALSE,"flujo";"DETALLE_1997",#N/A,FALSE,"flujo";"GASTOS_INCURRIDOS_1996",#N/A,FALSE,"flujo";"GASTOS_PROGRAMADOS_PARA_1997",#N/A,FALSE,"flujo";#N/A,#N/A,FALSE,"comparat";#N/A,#N/A,FALSE,"costos";#N/A,#N/A,FALSE,"proyctrol"}</definedName>
    <definedName function="false" hidden="false" name="HHJK" vbProcedure="false">{"Graf_Carga Trab",#N/A,FALSE,"Grafi_Carga Trab";"Graf_Venta Flujo",#N/A,FALSE,"Grafi_Carga Trab"}</definedName>
    <definedName function="false" hidden="false" name="HOJITA" vbProcedure="false">{"cuadro1",#N/A,FALSE,"Buzon Camion Opción 3";"cuadro2",#N/A,FALSE,"Buzon Camion Opción 3";"cuadro3",#N/A,FALSE,"Buzon Camion Opción 3";"cuadro4",#N/A,FALSE,"Buzon Camion Opción 3"}</definedName>
    <definedName function="false" hidden="false" name="hojita2" vbProcedure="false">{"cuadro1",#N/A,FALSE,"Buzon Camion Opción 3";"cuadro2",#N/A,FALSE,"Buzon Camion Opción 3";"cuadro3",#N/A,FALSE,"Buzon Camion Opción 3";"cuadro4",#N/A,FALSE,"Buzon Camion Opción 3"}</definedName>
    <definedName function="false" hidden="false" name="hola" vbProcedure="false">{#N/A,#N/A,TRUE,"RESUMEN ECON.";#N/A,#N/A,TRUE,"Costos de R.H.";#N/A,#N/A,TRUE,"COSTO HW";#N/A,#N/A,TRUE,"CUADROS";#N/A,#N/A,TRUE,"SCADA´s";#N/A,#N/A,TRUE,"PRECIOS EQUIPOS"}</definedName>
    <definedName function="false" hidden="false" name="HTML1_1" vbProcedure="false">"[FCFF3]Sheet1!$A$1:$L$34"</definedName>
    <definedName function="false" hidden="false" name="HTML1_10" vbProcedure="false">""</definedName>
    <definedName function="false" hidden="false" name="HTML1_11" vbProcedure="false">1</definedName>
    <definedName function="false" hidden="false" name="HTML1_12" vbProcedure="false">"Aswath:Adobe SiteMill™ 1.0.2:MyHomePage:FCFF3.html"</definedName>
    <definedName function="false" hidden="false" name="HTML1_2" vbProcedure="false">1</definedName>
    <definedName function="false" hidden="false" name="HTML1_3" vbProcedure="false">"FCFF3"</definedName>
    <definedName function="false" hidden="false" name="HTML1_4" vbProcedure="false">"Three-Stage FCFF Model"</definedName>
    <definedName function="false" hidden="false" name="HTML1_5" vbProcedure="false">""</definedName>
    <definedName function="false" hidden="false" name="HTML1_6" vbProcedure="false">-4146</definedName>
    <definedName function="false" hidden="false" name="HTML1_7" vbProcedure="false">-4146</definedName>
    <definedName function="false" hidden="false" name="HTML1_8" vbProcedure="false">"10/22/96"</definedName>
    <definedName function="false" hidden="false" name="HTML1_9" vbProcedure="false">"Aswath Damodaran"</definedName>
    <definedName function="false" hidden="false" name="HTML2_1" vbProcedure="false">"[histret.xls]Sheet1!$A$1:$G$85"</definedName>
    <definedName function="false" hidden="false" name="HTML2_10" vbProcedure="false">""</definedName>
    <definedName function="false" hidden="false" name="HTML2_11" vbProcedure="false">1</definedName>
    <definedName function="false" hidden="false" name="HTML2_12" vbProcedure="false">"Macintosh HD:New_Home_Page:datafile:histret.html"</definedName>
    <definedName function="false" hidden="false" name="HTML2_2" vbProcedure="false">1</definedName>
    <definedName function="false" hidden="false" name="HTML2_3" vbProcedure="false">"Historical Returns"</definedName>
    <definedName function="false" hidden="false" name="HTML2_4" vbProcedure="false">"Historical Returns on Stocks, Bonds and Bills"</definedName>
    <definedName function="false" hidden="false" name="HTML2_5" vbProcedure="false">""</definedName>
    <definedName function="false" hidden="false" name="HTML2_6" vbProcedure="false">1</definedName>
    <definedName function="false" hidden="false" name="HTML2_7" vbProcedure="false">1</definedName>
    <definedName function="false" hidden="false" name="HTML2_8" vbProcedure="false">"2/3/98"</definedName>
    <definedName function="false" hidden="false" name="HTML2_9" vbProcedure="false">"Aswath Damodaran"</definedName>
    <definedName function="false" hidden="false" name="HTMLCount" vbProcedure="false">1</definedName>
    <definedName function="false" hidden="false" name="HTML_CodePage" vbProcedure="false">863</definedName>
    <definedName function="false" hidden="false" name="HTML_Control" vbProcedure="false">{"'resumen REV 3'!$B$1:$Q$69"}</definedName>
    <definedName function="false" hidden="false" name="HTML_Control_1" vbProcedure="false">{"'Sheet1'!$A$1:$G$85"}</definedName>
    <definedName function="false" hidden="false" name="HTML_Description" vbProcedure="false">"jklyi.c m"</definedName>
    <definedName function="false" hidden="false" name="HTML_Email" vbProcedure="false">""</definedName>
    <definedName function="false" hidden="false" name="HTML_Header" vbProcedure="false">"mndghm"</definedName>
    <definedName function="false" hidden="false" name="HTML_LastUpdate" vbProcedure="false">"02/05/2002"</definedName>
    <definedName function="false" hidden="false" name="HTML_LineAfter" vbProcedure="false">FALSE()</definedName>
    <definedName function="false" hidden="false" name="HTML_LineBefore" vbProcedure="false">FALSE()</definedName>
    <definedName function="false" hidden="false" name="HTML_Name" vbProcedure="false">""</definedName>
    <definedName function="false" hidden="false" name="HTML_OBDlg2" vbProcedure="false">TRUE()</definedName>
    <definedName function="false" hidden="false" name="HTML_OBDlg4" vbProcedure="false">TRUE()</definedName>
    <definedName function="false" hidden="false" name="HTML_OS" vbProcedure="false">0</definedName>
    <definedName function="false" hidden="false" name="HTML_PathFile" vbProcedure="false">"D:\Datos\Datos\PROGRAMA PRODUCCION\2002\CUMP PROG PROD 2002\HTML\HTML.htm"</definedName>
    <definedName function="false" hidden="false" name="HTML_PathFileMac" vbProcedure="false">"Macintosh HD:HomePageStuff:New_Home_Page:datafile:histret.html"</definedName>
    <definedName function="false" hidden="false" name="HTML_Title" vbProcedure="false">"rtjkmm"</definedName>
    <definedName function="false" hidden="false" name="III" vbProcedure="false">{#N/A,#N/A,FALSE,"summary";#N/A,#N/A,FALSE,"SumGraph"}</definedName>
    <definedName function="false" hidden="false" name="Increase_Effective_Date" vbProcedure="false">#REF!</definedName>
    <definedName function="false" hidden="false" name="INCU" vbProcedure="false">{"DETALLE_1996",#N/A,FALSE,"flujo";"DETALLE_1997",#N/A,FALSE,"flujo";"GASTOS_INCURRIDOS_1996",#N/A,FALSE,"flujo";"GASTOS_PROGRAMADOS_PARA_1997",#N/A,FALSE,"flujo";#N/A,#N/A,FALSE,"comparat";#N/A,#N/A,FALSE,"costos";#N/A,#N/A,FALSE,"proyctrol"}</definedName>
    <definedName function="false" hidden="false" name="incurrido2" vbProcedure="false">{"DETALLE_1996",#N/A,FALSE,"flujo";"DETALLE_1997",#N/A,FALSE,"flujo";"GASTOS_INCURRIDOS_1996",#N/A,FALSE,"flujo";"GASTOS_PROGRAMADOS_PARA_1997",#N/A,FALSE,"flujo";#N/A,#N/A,FALSE,"comparat";#N/A,#N/A,FALSE,"costos";#N/A,#N/A,FALSE,"proyctrol"}</definedName>
    <definedName function="false" hidden="false" name="incurrido3" vbProcedure="false">{"DETALLE_1996",#N/A,FALSE,"flujo";"DETALLE_1997",#N/A,FALSE,"flujo";"GASTOS_INCURRIDOS_1996",#N/A,FALSE,"flujo";"GASTOS_PROGRAMADOS_PARA_1997",#N/A,FALSE,"flujo";#N/A,#N/A,FALSE,"comparat";#N/A,#N/A,FALSE,"costos";#N/A,#N/A,FALSE,"proyctrol"}</definedName>
    <definedName function="false" hidden="false" name="INSTALADO" vbProcedure="false">#REF!</definedName>
    <definedName function="false" hidden="false" name="IntelaTrac_List_Factor" vbProcedure="false">#REF!</definedName>
    <definedName function="false" hidden="false" name="IntelaTrac_Maintenance_Factor" vbProcedure="false">#REF!</definedName>
    <definedName function="false" hidden="false" name="jhdfghjd" vbProcedure="false">{#N/A,#N/A,FALSE,"RESUMEN ECON.";#N/A,#N/A,FALSE,"Costos de R.H.";#N/A,#N/A,FALSE,"COSTO HW";#N/A,#N/A,FALSE,"CUADROS";#N/A,#N/A,FALSE,"SCADA´s";#N/A,#N/A,FALSE,"PRECIOS EQUIPOS"}</definedName>
    <definedName function="false" hidden="false" name="JMBM" vbProcedure="false">{#N/A,#N/A,TRUE,"RESUMEN ECON.";#N/A,#N/A,TRUE,"Costos de R.H.";#N/A,#N/A,TRUE,"COSTO HW";#N/A,#N/A,TRUE,"CUADROS";#N/A,#N/A,TRUE,"SCADA´s";#N/A,#N/A,TRUE,"PRECIOS EQUIPOS"}</definedName>
    <definedName function="false" hidden="false" name="JMBM2" vbProcedure="false">{#N/A,#N/A,TRUE,"RESUMEN ECON.";#N/A,#N/A,TRUE,"Costos de R.H.";#N/A,#N/A,TRUE,"COSTO HW";#N/A,#N/A,TRUE,"CUADROS";#N/A,#N/A,TRUE,"SCADA´s";#N/A,#N/A,TRUE,"PRECIOS EQUIPOS"}</definedName>
    <definedName function="false" hidden="false" name="JMBMI" vbProcedure="false">{#N/A,#N/A,TRUE,"RESUMEN ECON.";#N/A,#N/A,TRUE,"Costos de R.H.";#N/A,#N/A,TRUE,"COSTO HW";#N/A,#N/A,TRUE,"CUADROS";#N/A,#N/A,TRUE,"SCADA´s";#N/A,#N/A,TRUE,"PRECIOS EQUIPOS"}</definedName>
    <definedName function="false" hidden="false" name="JMBMI2" vbProcedure="false">{#N/A,#N/A,TRUE,"RESUMEN ECON.";#N/A,#N/A,TRUE,"Costos de R.H.";#N/A,#N/A,TRUE,"COSTO HW";#N/A,#N/A,TRUE,"CUADROS";#N/A,#N/A,TRUE,"SCADA´s";#N/A,#N/A,TRUE,"PRECIOS EQUIPOS"}</definedName>
    <definedName function="false" hidden="false" name="JUAN" vbProcedure="false">{#N/A,#N/A,FALSE,"RESUMEN ECON.";#N/A,#N/A,FALSE,"Costos de R.H.";#N/A,#N/A,FALSE,"COSTO HW";#N/A,#N/A,FALSE,"CUADROS";#N/A,#N/A,FALSE,"SCADA´s";#N/A,#N/A,FALSE,"PRECIOS EQUIPOS"}</definedName>
    <definedName function="false" hidden="false" name="JUAN2" vbProcedure="false">{#N/A,#N/A,FALSE,"RESUMEN ECON.";#N/A,#N/A,FALSE,"Costos de R.H.";#N/A,#N/A,FALSE,"COSTO HW";#N/A,#N/A,FALSE,"CUADROS";#N/A,#N/A,FALSE,"SCADA´s";#N/A,#N/A,FALSE,"PRECIOS EQUIPOS"}</definedName>
    <definedName function="false" hidden="false" name="JUANITO" vbProcedure="false">{"Sens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function="false" hidden="false" name="JUMABA" vbProcedure="false">{#N/A,#N/A,TRUE,"RESUMEN ECON.";#N/A,#N/A,TRUE,"Costos de R.H.";#N/A,#N/A,TRUE,"COSTO HW";#N/A,#N/A,TRUE,"CUADROS";#N/A,#N/A,TRUE,"SCADA´s";#N/A,#N/A,TRUE,"PRECIOS EQUIPOS"}</definedName>
    <definedName function="false" hidden="false" name="JUMABA2" vbProcedure="false">{#N/A,#N/A,TRUE,"RESUMEN ECON.";#N/A,#N/A,TRUE,"Costos de R.H.";#N/A,#N/A,TRUE,"COSTO HW";#N/A,#N/A,TRUE,"CUADROS";#N/A,#N/A,TRUE,"SCADA´s";#N/A,#N/A,TRUE,"PRECIOS EQUIPOS"}</definedName>
    <definedName function="false" hidden="false" name="JUPOX" vbProcedure="false">{#N/A,#N/A,FALSE,"masez (10)";#N/A,#N/A,FALSE,"masez (7)";#N/A,#N/A,FALSE,"masez (6)";#N/A,#N/A,FALSE,"masez (5)";#N/A,#N/A,FALSE,"masez (4)";#N/A,#N/A,FALSE,"masez (3)";#N/A,#N/A,FALSE,"masez (2)";#N/A,#N/A,FALSE,"GME";#N/A,#N/A,FALSE,"masez"}</definedName>
    <definedName function="false" hidden="false" name="k1mc" vbProcedure="false">#REF!</definedName>
    <definedName function="false" hidden="false" name="k1tc" vbProcedure="false">#REF!</definedName>
    <definedName function="false" hidden="false" name="k2mc" vbProcedure="false">#REF!</definedName>
    <definedName function="false" hidden="false" name="k2tc" vbProcedure="false">#REF!</definedName>
    <definedName function="false" hidden="false" name="k3tc" vbProcedure="false">#REF!</definedName>
    <definedName function="false" hidden="false" name="k4mc" vbProcedure="false">#REF!</definedName>
    <definedName function="false" hidden="false" name="k4tc" vbProcedure="false">#REF!</definedName>
    <definedName function="false" hidden="false" name="kmjvhfjdvbfdmjvfd" vbProcedure="false">{#N/A,#N/A,TRUE,"RESUMEN ECON.";#N/A,#N/A,TRUE,"Costos de R.H.";#N/A,#N/A,TRUE,"COSTO HW";#N/A,#N/A,TRUE,"CUADROS";#N/A,#N/A,TRUE,"SCADA´s";#N/A,#N/A,TRUE,"PRECIOS EQUIPOS"}</definedName>
    <definedName function="false" hidden="false" name="ldldld" vbProcedure="false">{#N/A,#N/A,TRUE,"RESUMEN ECON.";#N/A,#N/A,TRUE,"Costos de R.H.";#N/A,#N/A,TRUE,"COSTO HW";#N/A,#N/A,TRUE,"CUADROS";#N/A,#N/A,TRUE,"SCADA´s";#N/A,#N/A,TRUE,"PRECIOS EQUIPOS"}</definedName>
    <definedName function="false" hidden="false" name="ll" vbProcedure="false">{"Sens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function="false" hidden="false" name="lll" vbProcedure="false">{#N/A,#N/A,FALSE,"RESUMEN ECON.";#N/A,#N/A,FALSE,"Costos de R.H.";#N/A,#N/A,FALSE,"COSTO HW";#N/A,#N/A,FALSE,"CUADROS";#N/A,#N/A,FALSE,"SCADA´s";#N/A,#N/A,FALSE,"PRECIOS EQUIPOS"}</definedName>
    <definedName function="false" hidden="false" name="lllll" vbProcedure="false">{#N/A,#N/A,FALSE,"RESUMEN ECON.";#N/A,#N/A,FALSE,"Costos de R.H.";#N/A,#N/A,FALSE,"COSTO HW";#N/A,#N/A,FALSE,"CUADROS";#N/A,#N/A,FALSE,"SCADA´s";#N/A,#N/A,FALSE,"PRECIOS EQUIPOS"}</definedName>
    <definedName function="false" hidden="false" name="llllll2" vbProcedure="false">{#N/A,#N/A,FALSE,"RESUMEN ECON.";#N/A,#N/A,FALSE,"Costos de R.H.";#N/A,#N/A,FALSE,"COSTO HW";#N/A,#N/A,FALSE,"CUADROS";#N/A,#N/A,FALSE,"SCADA´s";#N/A,#N/A,FALSE,"PRECIOS EQUIPOS"}</definedName>
    <definedName function="false" hidden="false" name="lo" vbProcedure="false">{#N/A,#N/A,FALSE,"COVER";#N/A,#N/A,FALSE,"RECAP";#N/A,#N/A,FALSE,"SANTA BARBARA NONMANUAL";#N/A,#N/A,FALSE,"CEQUIP";#N/A,#N/A,FALSE,"WRATE";#N/A,#N/A,FALSE,"INDIRECT";#N/A,#N/A,FALSE,"TRAIN";#N/A,#N/A,FALSE,"MANLOADED SCHEDULE"}</definedName>
    <definedName function="false" hidden="false" name="LOCAL_MYSQL_DATE_FORMAT" vbProcedure="false">#N/A</definedName>
    <definedName function="false" hidden="false" name="loco" vbProcedure="false">{#N/A,#N/A,FALSE,"masez (10)";#N/A,#N/A,FALSE,"masez (7)";#N/A,#N/A,FALSE,"masez (6)";#N/A,#N/A,FALSE,"masez (5)";#N/A,#N/A,FALSE,"masez (4)";#N/A,#N/A,FALSE,"masez (3)";#N/A,#N/A,FALSE,"masez (2)";#N/A,#N/A,FALSE,"GME";#N/A,#N/A,FALSE,"masez"}</definedName>
    <definedName function="false" hidden="false" name="lp" vbProcedure="false">{#N/A,#N/A,FALSE,"COVER";#N/A,#N/A,FALSE,"RECAP";#N/A,#N/A,FALSE,"SANTA BARBARA NONMANUAL";#N/A,#N/A,FALSE,"CEQUIP";#N/A,#N/A,FALSE,"WRATE";#N/A,#N/A,FALSE,"INDIRECT";#N/A,#N/A,FALSE,"TRAIN";#N/A,#N/A,FALSE,"MANLOADED SCHEDULE"}</definedName>
    <definedName function="false" hidden="false" name="Manual_DB" vbProcedure="false">#REF!</definedName>
    <definedName function="false" hidden="false" name="MARE" vbProcedure="false">#REF!</definedName>
    <definedName function="false" hidden="false" name="MAREP" vbProcedure="false">#REF!</definedName>
    <definedName function="false" hidden="false" name="MAT" vbProcedure="false">#REF!</definedName>
    <definedName function="false" hidden="false" name="Materiais" vbProcedure="false">#REF!</definedName>
    <definedName function="false" hidden="false" name="MB" vbProcedure="false">{#N/A,#N/A,FALSE,"PXP-TOTAL Modif";"vis2",#N/A,FALSE,"PXP-AÑO";"Vis1",#N/A,FALSE,"PXP-AÑO"}</definedName>
    <definedName function="false" hidden="false" name="mm" vbProcedure="false">{"Sens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function="false" hidden="false" name="MmExcelLinker_3702F0E9_8669_445E_90ED_56310F43C40B" vbProcedure="false">#REF!</definedName>
    <definedName function="false" hidden="false" name="MO" vbProcedure="false">#REF!</definedName>
    <definedName function="false" hidden="false" name="MOLDAJE" vbProcedure="false">#REF!</definedName>
    <definedName function="false" hidden="false" name="MOLDAJE_A" vbProcedure="false">#REF!</definedName>
    <definedName function="false" hidden="false" name="MOLDAJE_C" vbProcedure="false">#REF!</definedName>
    <definedName function="false" hidden="false" name="Net_Price_Label" vbProcedure="false">#REF!</definedName>
    <definedName function="false" hidden="false" name="nose1" vbProcedure="false">{#N/A,#N/A,FALSE,"Matrix";#N/A,#N/A,FALSE,"Executive";#N/A,#N/A,FALSE,"Summary";#N/A,#N/A,FALSE,"Office1";#N/A,#N/A,FALSE,"Office2";#N/A,#N/A,FALSE,"Office3";#N/A,#N/A,FALSE,"Office4";#N/A,#N/A,FALSE,"Office5";#N/A,#N/A,FALSE,"Office6";#N/A,#N/A,FALSE,"Office7";#N/A,#N/A,FALSE,"Labor"}</definedName>
    <definedName function="false" hidden="false" name="nose2" vbProcedure="false">{#N/A,#N/A,FALSE,"E-1";#N/A,#N/A,FALSE,"E-2";#N/A,#N/A,FALSE,"F-1";#N/A,#N/A,FALSE,"F-2";#N/A,#N/A,FALSE,"F-3";#N/A,#N/A,FALSE,"F-4";#N/A,#N/A,FALSE,"F-5";#N/A,#N/A,FALSE,"F-6";#N/A,#N/A,FALSE,"Matrix"}</definedName>
    <definedName function="false" hidden="false" name="nose3" vbProcedure="false">{#N/A,#N/A,FALSE,"Matrix";#N/A,#N/A,FALSE,"Executive";#N/A,#N/A,FALSE,"Summary"}</definedName>
    <definedName function="false" hidden="false" name="NVOS" vbProcedure="false">{"'Sheet1'!$A$1:$G$85"}</definedName>
    <definedName function="false" hidden="false" name="OBRA" vbProcedure="false">#REF!</definedName>
    <definedName function="false" hidden="false" name="Offering_Column" vbProcedure="false">#REF!</definedName>
    <definedName function="false" hidden="false" name="OLA" vbProcedure="false">{"DETALLE_1996",#N/A,FALSE,"flujo";"DETALLE_1997",#N/A,FALSE,"flujo";"GASTOS_INCURRIDOS_1996",#N/A,FALSE,"flujo";"GASTOS_PROGRAMADOS_PARA_1997",#N/A,FALSE,"flujo";#N/A,#N/A,FALSE,"comparat";#N/A,#N/A,FALSE,"costos";#N/A,#N/A,FALSE,"proyctrol"}</definedName>
    <definedName function="false" hidden="false" name="onon" vbProcedure="false">{#N/A,#N/A,TRUE,"RESUMEN ECON.";#N/A,#N/A,TRUE,"Costos de R.H.";#N/A,#N/A,TRUE,"COSTO HW";#N/A,#N/A,TRUE,"CUADROS";#N/A,#N/A,TRUE,"SCADA´s";#N/A,#N/A,TRUE,"PRECIOS EQUIPOS"}</definedName>
    <definedName function="false" hidden="false" name="ooo" vbProcedure="false">{#N/A,#N/A,FALSE,"RESUMEN ECON.";#N/A,#N/A,FALSE,"Costos de R.H.";#N/A,#N/A,FALSE,"COSTO HW";#N/A,#N/A,FALSE,"CUADROS";#N/A,#N/A,FALSE,"SCADA´s";#N/A,#N/A,FALSE,"PRECIOS EQUIPOS"}</definedName>
    <definedName function="false" hidden="false" name="OPA_Base" vbProcedure="false">#REF!</definedName>
    <definedName function="false" hidden="false" name="OPA_Base_Last" vbProcedure="false">#REF!</definedName>
    <definedName function="false" hidden="false" name="OPA_DB" vbProcedure="false">#REF!</definedName>
    <definedName function="false" hidden="false" name="OPA_Price_Column" vbProcedure="false">#REF!</definedName>
    <definedName function="false" hidden="false" name="OSCAR" vbProcedure="false">{"DETALLE_1996",#N/A,FALSE,"flujo";"DETALLE_1997",#N/A,FALSE,"flujo";"GASTOS_INCURRIDOS_1996",#N/A,FALSE,"flujo";"GASTOS_PROGRAMADOS_PARA_1997",#N/A,FALSE,"flujo";#N/A,#N/A,FALSE,"comparat";#N/A,#N/A,FALSE,"costos";#N/A,#N/A,FALSE,"proyctrol"}</definedName>
    <definedName function="false" hidden="false" name="p2mpmc2" vbProcedure="false">#REF!</definedName>
    <definedName function="false" hidden="false" name="p2mpmc3" vbProcedure="false">#REF!</definedName>
    <definedName function="false" hidden="false" name="p2mpmc4" vbProcedure="false">#REF!</definedName>
    <definedName function="false" hidden="false" name="P2MPTC2" vbProcedure="false">#REF!</definedName>
    <definedName function="false" hidden="false" name="p2mptc3" vbProcedure="false">#REF!</definedName>
    <definedName function="false" hidden="false" name="p2mptc4" vbProcedure="false">#REF!</definedName>
    <definedName function="false" hidden="false" name="p2mptg2" vbProcedure="false">#REF!</definedName>
    <definedName function="false" hidden="false" name="p2mptg3" vbProcedure="false">#REF!</definedName>
    <definedName function="false" hidden="false" name="p2mptg4" vbProcedure="false">#REF!</definedName>
    <definedName function="false" hidden="false" name="p2mptg5" vbProcedure="false">#REF!</definedName>
    <definedName function="false" hidden="false" name="p3mpmc3" vbProcedure="false">#REF!</definedName>
    <definedName function="false" hidden="false" name="p3mpmc4" vbProcedure="false">#REF!</definedName>
    <definedName function="false" hidden="false" name="p3mptc3" vbProcedure="false">#REF!</definedName>
    <definedName function="false" hidden="false" name="p3mptc4" vbProcedure="false">#REF!</definedName>
    <definedName function="false" hidden="false" name="p3mptg3" vbProcedure="false">#REF!</definedName>
    <definedName function="false" hidden="false" name="p3mptg4" vbProcedure="false">#REF!</definedName>
    <definedName function="false" hidden="false" name="p3mptg5" vbProcedure="false">#REF!</definedName>
    <definedName function="false" hidden="false" name="p4mpmc4" vbProcedure="false">#REF!</definedName>
    <definedName function="false" hidden="false" name="p4mptc4" vbProcedure="false">#REF!</definedName>
    <definedName function="false" hidden="false" name="p4mptg4" vbProcedure="false">#REF!</definedName>
    <definedName function="false" hidden="false" name="p4mptg5" vbProcedure="false">#REF!</definedName>
    <definedName function="false" hidden="false" name="p5mptg5" vbProcedure="false">#REF!</definedName>
    <definedName function="false" hidden="false" name="p5mtg5" vbProcedure="false">#REF!</definedName>
    <definedName function="false" hidden="false" name="Parts_List" vbProcedure="false">#REF!</definedName>
    <definedName function="false" hidden="false" name="Parts_List_Column_Titles" vbProcedure="false">#REF!</definedName>
    <definedName function="false" hidden="false" name="Part_Label" vbProcedure="false">#REF!</definedName>
    <definedName function="false" hidden="false" name="PCORMC" vbProcedure="false">#REF!</definedName>
    <definedName function="false" hidden="false" name="PCORTC" vbProcedure="false">#REF!</definedName>
    <definedName function="false" hidden="false" name="PCORTG" vbProcedure="false">#REF!</definedName>
    <definedName function="false" hidden="false" name="Peso_E" vbProcedure="false">#REF!</definedName>
    <definedName function="false" hidden="false" name="Peso_F" vbProcedure="false">#REF!</definedName>
    <definedName function="false" hidden="false" name="Peso_Fb" vbProcedure="false">#REF!</definedName>
    <definedName function="false" hidden="false" name="Peso_Kg" vbProcedure="false">#REF!</definedName>
    <definedName function="false" hidden="false" name="Peso_L" vbProcedure="false">#REF!</definedName>
    <definedName function="false" hidden="false" name="Peso_Lb" vbProcedure="false">#REF!</definedName>
    <definedName function="false" hidden="false" name="Peso_M" vbProcedure="false">#REF!</definedName>
    <definedName function="false" hidden="false" name="Peso_Mb" vbProcedure="false">#REF!</definedName>
    <definedName function="false" hidden="false" name="Peso_P" vbProcedure="false">#REF!</definedName>
    <definedName function="false" hidden="false" name="Peso_Pb" vbProcedure="false">#REF!</definedName>
    <definedName function="false" hidden="false" name="Peso_V" vbProcedure="false">#REF!</definedName>
    <definedName function="false" hidden="false" name="Peso_Vb" vbProcedure="false">#REF!</definedName>
    <definedName function="false" hidden="false" name="pi" vbProcedure="false">{#N/A,#N/A,FALSE,"masez (10)";#N/A,#N/A,FALSE,"masez (7)";#N/A,#N/A,FALSE,"masez (6)";#N/A,#N/A,FALSE,"masez (5)";#N/A,#N/A,FALSE,"masez (4)";#N/A,#N/A,FALSE,"masez (3)";#N/A,#N/A,FALSE,"masez (2)";#N/A,#N/A,FALSE,"GME";#N/A,#N/A,FALSE,"masez"}</definedName>
    <definedName function="false" hidden="false" name="pico" vbProcedure="false">{#N/A,#N/A,FALSE,"masez (10)";#N/A,#N/A,FALSE,"masez (7)";#N/A,#N/A,FALSE,"masez (6)";#N/A,#N/A,FALSE,"masez (5)";#N/A,#N/A,FALSE,"masez (4)";#N/A,#N/A,FALSE,"masez (3)";#N/A,#N/A,FALSE,"masez (2)";#N/A,#N/A,FALSE,"GME";#N/A,#N/A,FALSE,"masez"}</definedName>
    <definedName function="false" hidden="false" name="plan" vbProcedure="false">{#N/A,#N/A,FALSE,"masez (10)";#N/A,#N/A,FALSE,"masez (7)";#N/A,#N/A,FALSE,"masez (6)";#N/A,#N/A,FALSE,"masez (5)";#N/A,#N/A,FALSE,"masez (4)";#N/A,#N/A,FALSE,"masez (3)";#N/A,#N/A,FALSE,"masez (2)";#N/A,#N/A,FALSE,"GME";#N/A,#N/A,FALSE,"masez"}</definedName>
    <definedName function="false" hidden="false" name="planeado" vbProcedure="false">#REF!</definedName>
    <definedName function="false" hidden="false" name="PL_AUX_DATA" vbProcedure="false">#REF!</definedName>
    <definedName function="false" hidden="false" name="PL_AUX_GRAF" vbProcedure="false">#REF!</definedName>
    <definedName function="false" hidden="false" name="PL_CLASSIFICACAO" vbProcedure="false">#REF!</definedName>
    <definedName function="false" hidden="false" name="PL_CM_ATV_LIM_INF" vbProcedure="false">#REF!</definedName>
    <definedName function="false" hidden="false" name="PL_CM_ATV_LIM_SUP" vbProcedure="false">#REF!</definedName>
    <definedName function="false" hidden="false" name="PL_CM_ATV_SIT" vbProcedure="false">#REF!</definedName>
    <definedName function="false" hidden="false" name="PL_CM_DOC_LIM_INF" vbProcedure="false">#REF!</definedName>
    <definedName function="false" hidden="false" name="PL_CM_DOC_LIM_SUP" vbProcedure="false">#REF!</definedName>
    <definedName function="false" hidden="false" name="PL_CM_DOC_SIT" vbProcedure="false">#REF!</definedName>
    <definedName function="false" hidden="false" name="PL_COL_BL_CEDO" vbProcedure="false">#REF!</definedName>
    <definedName function="false" hidden="false" name="PL_COL_BL_TARDE" vbProcedure="false">#REF!</definedName>
    <definedName function="false" hidden="false" name="PL_COL_CBS_HH" vbProcedure="false">#REF!</definedName>
    <definedName function="false" hidden="false" name="PL_COL_HH" vbProcedure="false">#REF!</definedName>
    <definedName function="false" hidden="false" name="PL_COL_SEM_HH" vbProcedure="false">#REF!</definedName>
    <definedName function="false" hidden="false" name="PL_CRONOGRAMA" vbProcedure="false">#REF!</definedName>
    <definedName function="false" hidden="false" name="PL_DADOS_BL_CEDO" vbProcedure="false">#REF!</definedName>
    <definedName function="false" hidden="false" name="PL_DADOS_BL_TARDE" vbProcedure="false">#REF!</definedName>
    <definedName function="false" hidden="false" name="PL_DADOS_HIST" vbProcedure="false">#REF!</definedName>
    <definedName function="false" hidden="false" name="PL_DADOS_RES_ABS" vbProcedure="false">#REF!</definedName>
    <definedName function="false" hidden="false" name="PL_DISCIPLINA" vbProcedure="false">#REF!</definedName>
    <definedName function="false" hidden="false" name="PL_EAP_PROMON" vbProcedure="false">#REF!</definedName>
    <definedName function="false" hidden="false" name="PL_FASE" vbProcedure="false">#REF!</definedName>
    <definedName function="false" hidden="false" name="PL_HDOC" vbProcedure="false">#REF!</definedName>
    <definedName function="false" hidden="false" name="PL_HDOC_REALIZADO" vbProcedure="false">#REF!</definedName>
    <definedName function="false" hidden="false" name="PL_HDOC_REF" vbProcedure="false">#REF!</definedName>
    <definedName function="false" hidden="false" name="PL_LIN_BL_CEDO" vbProcedure="false">#REF!</definedName>
    <definedName function="false" hidden="false" name="PL_LIN_BL_TARDE" vbProcedure="false">#REF!</definedName>
    <definedName function="false" hidden="false" name="PL_Semana_Atual" vbProcedure="false">#REF!</definedName>
    <definedName function="false" hidden="false" name="PL_SISDOC" vbProcedure="false">#REF!</definedName>
    <definedName function="false" hidden="false" name="PL_SUBDISCIPLINA" vbProcedure="false">#REF!</definedName>
    <definedName function="false" hidden="false" name="PL_TAB_DIN_REAL" vbProcedure="false">OFFSET(#REF!,0,0,COUNTA(#REF!),50)</definedName>
    <definedName function="false" hidden="false" name="PL_TIPO_CURVA" vbProcedure="false">#REF!</definedName>
    <definedName function="false" hidden="false" name="pp" vbProcedure="false">{"Sens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function="false" hidden="false" name="ppspsps" vbProcedure="false">{"Informe 1_Consolidado",#N/A,FALSE,"Cons.";"Informe 1_Tunel",#N/A,FALSE,"Cons.";"Informe 1_Melip",#N/A,FALSE,"Cons.";"Informe 1_Guall",#N/A,FALSE,"Cons.";"Informe 1_Sara L",#N/A,FALSE,"Cons.";"Informe 1_Quellon",#N/A,FALSE,"Cons.";"Informe 1_Biolix",#N/A,FALSE,"Cons.";"Informe 1_Oficina",#N/A,FALSE,"Cons.";"Informe 1_Consorcio",#N/A,FALSE,"Cons."}</definedName>
    <definedName function="false" hidden="false" name="PRECLL" vbProcedure="false">#REF!</definedName>
    <definedName function="false" hidden="false" name="Pricelist_Type" vbProcedure="false">#REF!</definedName>
    <definedName function="false" hidden="false" name="Price_Column" vbProcedure="false">#REF!</definedName>
    <definedName function="false" hidden="false" name="Price_Label" vbProcedure="false">#REF!</definedName>
    <definedName function="false" hidden="false" name="PROGINC" vbProcedure="false">{"DETALLE_1996",#N/A,FALSE,"flujo";"DETALLE_1997",#N/A,FALSE,"flujo";"GASTOS_INCURRIDOS_1996",#N/A,FALSE,"flujo";"GASTOS_PROGRAMADOS_PARA_1997",#N/A,FALSE,"flujo";#N/A,#N/A,FALSE,"comparat";#N/A,#N/A,FALSE,"costos";#N/A,#N/A,FALSE,"proyctrol"}</definedName>
    <definedName function="false" hidden="false" name="ptg" vbProcedure="false">{#N/A,#N/A,TRUE,"RESUMEN ECON.";#N/A,#N/A,TRUE,"Costos de R.H.";#N/A,#N/A,TRUE,"COSTO HW";#N/A,#N/A,TRUE,"CUADROS";#N/A,#N/A,TRUE,"SCADA´s";#N/A,#N/A,TRUE,"PRECIOS EQUIPOS"}</definedName>
    <definedName function="false" hidden="false" name="Publication_Date" vbProcedure="false">#REF!</definedName>
    <definedName function="false" hidden="false" name="PUNCHLIST" vbProcedure="false">#REF!</definedName>
    <definedName function="false" hidden="false" name="qaq" vbProcedure="false">{#N/A,#N/A,FALSE,"summary";#N/A,#N/A,FALSE,"SumGraph"}</definedName>
    <definedName function="false" hidden="false" name="qg" vbProcedure="false">{#N/A,#N/A,FALSE,"RESUMEN ECON.";#N/A,#N/A,FALSE,"Costos de R.H.";#N/A,#N/A,FALSE,"COSTO HW";#N/A,#N/A,FALSE,"CUADROS";#N/A,#N/A,FALSE,"SCADA´s";#N/A,#N/A,FALSE,"PRECIOS EQUIPOS"}</definedName>
    <definedName function="false" hidden="false" name="qq" vbProcedure="false">{#N/A,#N/A,TRUE,"RESUMEN ECON.";#N/A,#N/A,TRUE,"Costos de R.H.";#N/A,#N/A,TRUE,"COSTO HW";#N/A,#N/A,TRUE,"CUADROS";#N/A,#N/A,TRUE,"SCADA´s";#N/A,#N/A,TRUE,"PRECIOS EQUIPOS"}</definedName>
    <definedName function="false" hidden="false" name="qw" vbProcedure="false">{"Control_Consolidado",#N/A,FALSE,"Cons.";"Control_Tunel",#N/A,FALSE,"Cons.";"Control_Melip",#N/A,FALSE,"Cons.";"Control_Gualleco",#N/A,FALSE,"Cons.";"Control_Sara L",#N/A,FALSE,"Cons.";"Control_Quellon",#N/A,FALSE,"Cons.";"Control_Biolix",#N/A,FALSE,"Cons.";"Control_Oficina",#N/A,FALSE,"Cons.";"Control_Consorcio",#N/A,FALSE,"Cons."}</definedName>
    <definedName function="false" hidden="false" name="qx" vbProcedure="false">{#N/A,#N/A,FALSE,"masez (10)";#N/A,#N/A,FALSE,"masez (7)";#N/A,#N/A,FALSE,"masez (6)";#N/A,#N/A,FALSE,"masez (5)";#N/A,#N/A,FALSE,"masez (4)";#N/A,#N/A,FALSE,"masez (3)";#N/A,#N/A,FALSE,"masez (2)";#N/A,#N/A,FALSE,"GME";#N/A,#N/A,FALSE,"masez"}</definedName>
    <definedName function="false" hidden="false" name="RAF" vbProcedure="false">{"Sens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function="false" hidden="false" name="RANGO" vbProcedure="false">#REF!</definedName>
    <definedName function="false" hidden="false" name="RANGO_A" vbProcedure="false">#REF!</definedName>
    <definedName function="false" hidden="false" name="RANGO_C" vbProcedure="false">#REF!</definedName>
    <definedName function="false" hidden="false" name="RANGO_PILA" vbProcedure="false">#REF!</definedName>
    <definedName function="false" hidden="false" name="RANKING" vbProcedure="false">{"DETALLE_1996",#N/A,FALSE,"flujo";"DETALLE_1997",#N/A,FALSE,"flujo";"GASTOS_INCURRIDOS_1996",#N/A,FALSE,"flujo";"GASTOS_PROGRAMADOS_PARA_1997",#N/A,FALSE,"flujo";#N/A,#N/A,FALSE,"comparat";#N/A,#N/A,FALSE,"costos";#N/A,#N/A,FALSE,"proyctrol"}</definedName>
    <definedName function="false" hidden="false" name="RCBMS" vbProcedure="false">#REF!</definedName>
    <definedName function="false" hidden="false" name="RCCL" vbProcedure="false">#REF!</definedName>
    <definedName function="false" hidden="false" name="RCELE" vbProcedure="false">#REF!</definedName>
    <definedName function="false" hidden="false" name="RCEXT" vbProcedure="false">#REF!</definedName>
    <definedName function="false" hidden="false" name="RCOC" vbProcedure="false">#REF!</definedName>
    <definedName function="false" hidden="false" name="RCSEG" vbProcedure="false">#REF!</definedName>
    <definedName function="false" hidden="false" name="RCTEL" vbProcedure="false">#REF!</definedName>
    <definedName function="false" hidden="false" name="red" vbProcedure="false">{"DETALLE_1996",#N/A,FALSE,"flujo";"DETALLE_1997",#N/A,FALSE,"flujo";"GASTOS_INCURRIDOS_1996",#N/A,FALSE,"flujo";"GASTOS_PROGRAMADOS_PARA_1997",#N/A,FALSE,"flujo";#N/A,#N/A,FALSE,"comparat";#N/A,#N/A,FALSE,"costos";#N/A,#N/A,FALSE,"proyctrol"}</definedName>
    <definedName function="false" hidden="false" name="ree" vbProcedure="false">{#N/A,#N/A,FALSE,"masez (10)";#N/A,#N/A,FALSE,"masez (7)";#N/A,#N/A,FALSE,"masez (6)";#N/A,#N/A,FALSE,"masez (5)";#N/A,#N/A,FALSE,"masez (4)";#N/A,#N/A,FALSE,"masez (3)";#N/A,#N/A,FALSE,"masez (2)";#N/A,#N/A,FALSE,"GME";#N/A,#N/A,FALSE,"masez"}</definedName>
    <definedName function="false" hidden="false" name="rer" vbProcedure="false">{"DETALLE_1996",#N/A,FALSE,"flujo";"DETALLE_1997",#N/A,FALSE,"flujo";"GASTOS_INCURRIDOS_1996",#N/A,FALSE,"flujo";"GASTOS_PROGRAMADOS_PARA_1997",#N/A,FALSE,"flujo";#N/A,#N/A,FALSE,"comparat";#N/A,#N/A,FALSE,"costos";#N/A,#N/A,FALSE,"proyctrol"}</definedName>
    <definedName function="false" hidden="false" name="rereer" vbProcedure="false">#REF!</definedName>
    <definedName function="false" hidden="false" name="RESP" vbProcedure="false">#REF!</definedName>
    <definedName function="false" hidden="false" name="rft" vbProcedure="false">{#N/A,#N/A,TRUE,"RESUMEN ECON.";#N/A,#N/A,TRUE,"Costos de R.H.";#N/A,#N/A,TRUE,"COSTO HW";#N/A,#N/A,TRUE,"CUADROS";#N/A,#N/A,TRUE,"SCADA´s";#N/A,#N/A,TRUE,"PRECIOS EQUIPOS"}</definedName>
    <definedName function="false" hidden="false" name="RG" vbProcedure="false">{"cuadro1",#N/A,FALSE,"Camara buz ffcc Opción 5";"cuadro2",#N/A,FALSE,"Camara buz ffcc Opción 5";"cuadro3",#N/A,FALSE,"Camara buz ffcc Opción 5";"cuadro4",#N/A,FALSE,"Camara buz ffcc Opción 5"}</definedName>
    <definedName function="false" hidden="false" name="RIGO2" vbProcedure="false">{"cuadro1",#N/A,FALSE,"Buzon Camion Opción 3";"cuadro2",#N/A,FALSE,"Buzon Camion Opción 3";"cuadro3",#N/A,FALSE,"Buzon Camion Opción 3";"cuadro4",#N/A,FALSE,"Buzon Camion Opción 3"}</definedName>
    <definedName function="false" hidden="false" name="RO" vbProcedure="false">#REF!</definedName>
    <definedName function="false" hidden="false" name="rtapia" vbProcedure="false">#REF!</definedName>
    <definedName function="false" hidden="false" name="rtu" vbProcedure="false">{#N/A,#N/A,TRUE,"RESUMEN ECON.";#N/A,#N/A,TRUE,"Costos de R.H.";#N/A,#N/A,TRUE,"COSTO HW";#N/A,#N/A,TRUE,"CUADROS";#N/A,#N/A,TRUE,"SCADA´s";#N/A,#N/A,TRUE,"PRECIOS EQUIPOS"}</definedName>
    <definedName function="false" hidden="false" name="rty" vbProcedure="false">{#N/A,#N/A,FALSE,"masez (10)";#N/A,#N/A,FALSE,"masez (7)";#N/A,#N/A,FALSE,"masez (6)";#N/A,#N/A,FALSE,"masez (5)";#N/A,#N/A,FALSE,"masez (4)";#N/A,#N/A,FALSE,"masez (3)";#N/A,#N/A,FALSE,"masez (2)";#N/A,#N/A,FALSE,"GME";#N/A,#N/A,FALSE,"masez"}</definedName>
    <definedName function="false" hidden="false" name="s" vbProcedure="false">{#N/A,#N/A,FALSE,"masez (10)";#N/A,#N/A,FALSE,"masez (7)";#N/A,#N/A,FALSE,"masez (6)";#N/A,#N/A,FALSE,"masez (5)";#N/A,#N/A,FALSE,"masez (4)";#N/A,#N/A,FALSE,"masez (3)";#N/A,#N/A,FALSE,"masez (2)";#N/A,#N/A,FALSE,"GME";#N/A,#N/A,FALSE,"masez"}</definedName>
    <definedName function="false" hidden="false" name="SDA" vbProcedure="false">{#N/A,#N/A,FALSE,"masez (10)";#N/A,#N/A,FALSE,"masez (7)";#N/A,#N/A,FALSE,"masez (6)";#N/A,#N/A,FALSE,"masez (5)";#N/A,#N/A,FALSE,"masez (4)";#N/A,#N/A,FALSE,"masez (3)";#N/A,#N/A,FALSE,"masez (2)";#N/A,#N/A,FALSE,"GME";#N/A,#N/A,FALSE,"masez"}</definedName>
    <definedName function="false" hidden="false" name="sdass" vbProcedure="false">{#N/A,#N/A,FALSE,"masez (10)";#N/A,#N/A,FALSE,"masez (7)";#N/A,#N/A,FALSE,"masez (6)";#N/A,#N/A,FALSE,"masez (5)";#N/A,#N/A,FALSE,"masez (4)";#N/A,#N/A,FALSE,"masez (3)";#N/A,#N/A,FALSE,"masez (2)";#N/A,#N/A,FALSE,"GME";#N/A,#N/A,FALSE,"masez"}</definedName>
    <definedName function="false" hidden="false" name="sdht" vbProcedure="false">{"'resumen REV 3'!$B$1:$Q$69"}</definedName>
    <definedName function="false" hidden="false" name="Selected_Currency_Code" vbProcedure="false">#REF!</definedName>
    <definedName function="false" hidden="false" name="Selected_Price_List_Type" vbProcedure="false">#REF!</definedName>
    <definedName function="false" hidden="false" name="SEMANA1" vbProcedure="false">#REF!</definedName>
    <definedName function="false" hidden="false" name="SEMANA2" vbProcedure="false">#REF!</definedName>
    <definedName function="false" hidden="false" name="SEMANA3" vbProcedure="false">#REF!</definedName>
    <definedName function="false" hidden="false" name="SENGOAEÑHAER" vbProcedure="false">{#N/A,#N/A,FALSE,"masez (10)";#N/A,#N/A,FALSE,"masez (7)";#N/A,#N/A,FALSE,"masez (6)";#N/A,#N/A,FALSE,"masez (5)";#N/A,#N/A,FALSE,"masez (4)";#N/A,#N/A,FALSE,"masez (3)";#N/A,#N/A,FALSE,"masez (2)";#N/A,#N/A,FALSE,"GME";#N/A,#N/A,FALSE,"masez"}</definedName>
    <definedName function="false" hidden="false" name="SFGAST5" vbProcedure="false">{#N/A,#N/A,FALSE,"IC_Global";#N/A,#N/A,FALSE,"IC_Global (98-f)";#N/A,#N/A,FALSE,"Inc";#N/A,#N/A,FALSE,"CAMBIOS (2)";#N/A,#N/A,FALSE,"EXPL Inc.";#N/A,#N/A,FALSE,"HITOS98";#N/A,#N/A,FALSE,"CURVA ""S"" GLOBAL ";#N/A,#N/A,FALSE,"CURVA ""S"" 1998 "}</definedName>
    <definedName function="false" hidden="false" name="SFINTOTAL" vbProcedure="false">{"DETALLE_1996",#N/A,FALSE,"flujo";"DETALLE_1997",#N/A,FALSE,"flujo";"GASTOS_INCURRIDOS_1996",#N/A,FALSE,"flujo";"GASTOS_PROGRAMADOS_PARA_1997",#N/A,FALSE,"flujo";#N/A,#N/A,FALSE,"comparat";#N/A,#N/A,FALSE,"costos";#N/A,#N/A,FALSE,"proyctrol"}</definedName>
    <definedName function="false" hidden="false" name="SFSTRT" vbProcedure="false">{#N/A,#N/A,FALSE,"masez (10)";#N/A,#N/A,FALSE,"masez (7)";#N/A,#N/A,FALSE,"masez (6)";#N/A,#N/A,FALSE,"masez (5)";#N/A,#N/A,FALSE,"masez (4)";#N/A,#N/A,FALSE,"masez (3)";#N/A,#N/A,FALSE,"masez (2)";#N/A,#N/A,FALSE,"GME";#N/A,#N/A,FALSE,"masez"}</definedName>
    <definedName function="false" hidden="false" name="SIGLA" vbProcedure="false">#REF!</definedName>
    <definedName function="false" hidden="false" name="SIGLA_A" vbProcedure="false">#REF!</definedName>
    <definedName function="false" hidden="false" name="SIGLA_C" vbProcedure="false">#REF!</definedName>
    <definedName function="false" hidden="false" name="Simple" vbProcedure="false">{#N/A,#N/A,FALSE,"RESUMEN ECON.";#N/A,#N/A,FALSE,"Costos de R.H.";#N/A,#N/A,FALSE,"COSTO HW";#N/A,#N/A,FALSE,"CUADROS";#N/A,#N/A,FALSE,"SCADA´s";#N/A,#N/A,FALSE,"PRECIOS EQUIPOS"}</definedName>
    <definedName function="false" hidden="false" name="Simple2" vbProcedure="false">{#N/A,#N/A,FALSE,"RESUMEN ECON.";#N/A,#N/A,FALSE,"Costos de R.H.";#N/A,#N/A,FALSE,"COSTO HW";#N/A,#N/A,FALSE,"CUADROS";#N/A,#N/A,FALSE,"SCADA´s";#N/A,#N/A,FALSE,"PRECIOS EQUIPOS"}</definedName>
    <definedName function="false" hidden="false" name="SIST" vbProcedure="false">#REF!</definedName>
    <definedName function="false" hidden="false" name="solver_adj" vbProcedure="false">#REF!</definedName>
    <definedName function="false" hidden="false" name="solver_cvg" vbProcedure="false">0.001</definedName>
    <definedName function="false" hidden="false" name="solver_drv" vbProcedure="false">2</definedName>
    <definedName function="false" hidden="false" name="solver_est" vbProcedure="false">2</definedName>
    <definedName function="false" hidden="false" name="solver_itr" vbProcedure="false">100</definedName>
    <definedName function="false" hidden="false" name="solver_lin" vbProcedure="false">0</definedName>
    <definedName function="false" hidden="false" name="solver_neg" vbProcedure="false">2</definedName>
    <definedName function="false" hidden="false" name="solver_num" vbProcedure="false">0</definedName>
    <definedName function="false" hidden="false" name="solver_nwt" vbProcedure="false">1</definedName>
    <definedName function="false" hidden="false" name="solver_opt" vbProcedure="false">#REF!</definedName>
    <definedName function="false" hidden="false" name="solver_pre" vbProcedure="false">0.000001</definedName>
    <definedName function="false" hidden="false" name="solver_scl" vbProcedure="false">0</definedName>
    <definedName function="false" hidden="false" name="solver_sho" vbProcedure="false">0</definedName>
    <definedName function="false" hidden="false" name="solver_tim" vbProcedure="false">100</definedName>
    <definedName function="false" hidden="false" name="solver_tmp" vbProcedure="false">#NULL!</definedName>
    <definedName function="false" hidden="false" name="solver_tol" vbProcedure="false">0.05</definedName>
    <definedName function="false" hidden="false" name="solver_typ" vbProcedure="false">2</definedName>
    <definedName function="false" hidden="false" name="solver_val" vbProcedure="false">0</definedName>
    <definedName function="false" hidden="false" name="ss" vbProcedure="false">{#N/A,#N/A,FALSE,"masez (10)";#N/A,#N/A,FALSE,"masez (7)";#N/A,#N/A,FALSE,"masez (6)";#N/A,#N/A,FALSE,"masez (5)";#N/A,#N/A,FALSE,"masez (4)";#N/A,#N/A,FALSE,"masez (3)";#N/A,#N/A,FALSE,"masez (2)";#N/A,#N/A,FALSE,"GME";#N/A,#N/A,FALSE,"masez"}</definedName>
    <definedName function="false" hidden="false" name="sss" vbProcedure="false">{#N/A,#N/A,FALSE,"Graficos"}</definedName>
    <definedName function="false" hidden="false" name="ssss" vbProcedure="false">{#N/A,#N/A,FALSE,"IC_Global";#N/A,#N/A,FALSE,"IC_Global (98-f)";#N/A,#N/A,FALSE,"Inc";#N/A,#N/A,FALSE,"CAMBIOS (2)";#N/A,#N/A,FALSE,"EXPL Inc.";#N/A,#N/A,FALSE,"HITOS98";#N/A,#N/A,FALSE,"CURVA ""S"" GLOBAL ";#N/A,#N/A,FALSE,"CURVA ""S"" 1998 "}</definedName>
    <definedName function="false" hidden="false" name="sssss" vbProcedure="false">{#N/A,#N/A,FALSE,"masez (10)";#N/A,#N/A,FALSE,"masez (7)";#N/A,#N/A,FALSE,"masez (6)";#N/A,#N/A,FALSE,"masez (5)";#N/A,#N/A,FALSE,"masez (4)";#N/A,#N/A,FALSE,"masez (3)";#N/A,#N/A,FALSE,"masez (2)";#N/A,#N/A,FALSE,"GME";#N/A,#N/A,FALSE,"masez"}</definedName>
    <definedName function="false" hidden="false" name="Suggested_List_Price_Label" vbProcedure="false">#REF!</definedName>
    <definedName function="false" hidden="false" name="Suggested_SA_Price_Label" vbProcedure="false">#REF!</definedName>
    <definedName function="false" hidden="false" name="SUP" vbProcedure="false">#REF!</definedName>
    <definedName function="false" hidden="false" name="TAXABLE_YES_NO" vbProcedure="false">#REF!</definedName>
    <definedName function="false" hidden="false" name="testito" vbProcedure="false">{"Sens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function="false" hidden="false" name="tetas" vbProcedure="false">{#N/A,#N/A,FALSE,"RESUMEN ECON.";#N/A,#N/A,FALSE,"Costos de R.H.";#N/A,#N/A,FALSE,"COSTO HW";#N/A,#N/A,FALSE,"CUADROS";#N/A,#N/A,FALSE,"SCADA´s";#N/A,#N/A,FALSE,"PRECIOS EQUIPOS"}</definedName>
    <definedName function="false" hidden="false" name="tetas2" vbProcedure="false">{#N/A,#N/A,FALSE,"RESUMEN ECON.";#N/A,#N/A,FALSE,"Costos de R.H.";#N/A,#N/A,FALSE,"COSTO HW";#N/A,#N/A,FALSE,"CUADROS";#N/A,#N/A,FALSE,"SCADA´s";#N/A,#N/A,FALSE,"PRECIOS EQUIPOS"}</definedName>
    <definedName function="false" hidden="false" name="TIPO_DE_INSTRUMENTO" vbProcedure="false">#REF!</definedName>
    <definedName function="false" hidden="false" name="TITLE" vbProcedure="false">#REF!</definedName>
    <definedName function="false" hidden="false" name="Toquepala" vbProcedure="false">{#N/A,#N/A,FALSE,"Matrix";#N/A,#N/A,FALSE,"Executive";#N/A,#N/A,FALSE,"Summary"}</definedName>
    <definedName function="false" hidden="false" name="TPREVMC" vbProcedure="false">#REF!</definedName>
    <definedName function="false" hidden="false" name="TPREVTC" vbProcedure="false">#REF!</definedName>
    <definedName function="false" hidden="false" name="TPREVTG" vbProcedure="false">#REF!</definedName>
    <definedName function="false" hidden="false" name="Tpte2" vbProcedure="false">#REF!</definedName>
    <definedName function="false" hidden="false" name="Tpte2_1" vbProcedure="false">#REF!</definedName>
    <definedName function="false" hidden="false" name="TpteArce" vbProcedure="false">#REF!</definedName>
    <definedName function="false" hidden="false" name="TpteArce_1" vbProcedure="false">#REF!</definedName>
    <definedName function="false" hidden="false" name="TpteST2" vbProcedure="false">#REF!</definedName>
    <definedName function="false" hidden="false" name="TpteST2_1" vbProcedure="false">#REF!</definedName>
    <definedName function="false" hidden="false" name="Traffic" vbProcedure="false">#REF!</definedName>
    <definedName function="false" hidden="false" name="trj" vbProcedure="false">{"DETALLE_1996",#N/A,FALSE,"flujo";"DETALLE_1997",#N/A,FALSE,"flujo";"GASTOS_INCURRIDOS_1996",#N/A,FALSE,"flujo";"GASTOS_PROGRAMADOS_PARA_1997",#N/A,FALSE,"flujo";#N/A,#N/A,FALSE,"comparat";#N/A,#N/A,FALSE,"costos";#N/A,#N/A,FALSE,"proyctrol"}</definedName>
    <definedName function="false" hidden="false" name="ttt" vbProcedure="false">{"Informe 2_Consolidado",#N/A,FALSE,"Cons.";"Informe 2_Tunel",#N/A,FALSE,"Cons.";"Informe 2_Melip",#N/A,FALSE,"Cons.";"Informe 2_Guall",#N/A,FALSE,"Cons.";"Informe 2_Sara L",#N/A,FALSE,"Cons.";"Informe 2_Quellon",#N/A,FALSE,"Cons.";"Informe 2_Biolix",#N/A,FALSE,"Cons.";"Informe 2_Oficina",#N/A,FALSE,"Cons.";"Informe 2_Consorcio",#N/A,FALSE,"Cons."}</definedName>
    <definedName function="false" hidden="false" name="tuut" vbProcedure="false">{#N/A,#N/A,FALSE,"masez (10)";#N/A,#N/A,FALSE,"masez (7)";#N/A,#N/A,FALSE,"masez (6)";#N/A,#N/A,FALSE,"masez (5)";#N/A,#N/A,FALSE,"masez (4)";#N/A,#N/A,FALSE,"masez (3)";#N/A,#N/A,FALSE,"masez (2)";#N/A,#N/A,FALSE,"GME";#N/A,#N/A,FALSE,"masez"}</definedName>
    <definedName function="false" hidden="false" name="uf" vbProcedure="false">#REF!</definedName>
    <definedName function="false" hidden="false" name="unidad" vbProcedure="false">#REF!</definedName>
    <definedName function="false" hidden="false" name="UNI_AA_VERSION" vbProcedure="false">150.1</definedName>
    <definedName function="false" hidden="false" name="UNI_FILT_END" vbProcedure="false">8</definedName>
    <definedName function="false" hidden="false" name="UNI_FILT_OFFSPEC" vbProcedure="false">2</definedName>
    <definedName function="false" hidden="false" name="UNI_FILT_ONSPEC" vbProcedure="false">1</definedName>
    <definedName function="false" hidden="false" name="UNI_FILT_START" vbProcedure="false">4</definedName>
    <definedName function="false" hidden="false" name="UNI_NOTHING" vbProcedure="false">0</definedName>
    <definedName function="false" hidden="false" name="UNI_PRES_FILTER" vbProcedure="false">1</definedName>
    <definedName function="false" hidden="false" name="UNI_PRES_HEADINGS" vbProcedure="false">16</definedName>
    <definedName function="false" hidden="false" name="UNI_PRES_INVERT" vbProcedure="false">2</definedName>
    <definedName function="false" hidden="false" name="UNI_PRES_MATRIX" vbProcedure="false">4</definedName>
    <definedName function="false" hidden="false" name="UNI_PRES_MERGED" vbProcedure="false">8</definedName>
    <definedName function="false" hidden="false" name="UNI_PRES_OUTLIERS" vbProcedure="false">32</definedName>
    <definedName function="false" hidden="false" name="UNI_RET_ATTRIB" vbProcedure="false">64</definedName>
    <definedName function="false" hidden="false" name="UNI_RET_CONF" vbProcedure="false">32</definedName>
    <definedName function="false" hidden="false" name="UNI_RET_DESC" vbProcedure="false">4</definedName>
    <definedName function="false" hidden="false" name="UNI_RET_END" vbProcedure="false">16384</definedName>
    <definedName function="false" hidden="false" name="UNI_RET_EQUIP" vbProcedure="false">32768</definedName>
    <definedName function="false" hidden="false" name="UNI_RET_EVENT" vbProcedure="false">4096</definedName>
    <definedName function="false" hidden="false" name="UNI_RET_OFFSPEC" vbProcedure="false">512</definedName>
    <definedName function="false" hidden="false" name="UNI_RET_ONSPEC" vbProcedure="false">256</definedName>
    <definedName function="false" hidden="false" name="UNI_RET_PROP" vbProcedure="false">131072</definedName>
    <definedName function="false" hidden="false" name="UNI_RET_PROPDESC" vbProcedure="false">262144</definedName>
    <definedName function="false" hidden="false" name="UNI_RET_SMPLPNT" vbProcedure="false">65536</definedName>
    <definedName function="false" hidden="false" name="UNI_RET_SPECMAX" vbProcedure="false">2048</definedName>
    <definedName function="false" hidden="false" name="UNI_RET_SPECMIN" vbProcedure="false">1024</definedName>
    <definedName function="false" hidden="false" name="UNI_RET_START" vbProcedure="false">8192</definedName>
    <definedName function="false" hidden="false" name="UNI_RET_TAG" vbProcedure="false">1</definedName>
    <definedName function="false" hidden="false" name="UNI_RET_TESTTIME" vbProcedure="false">128</definedName>
    <definedName function="false" hidden="false" name="UNI_RET_TIME" vbProcedure="false">8</definedName>
    <definedName function="false" hidden="false" name="UNI_RET_UNIT" vbProcedure="false">2</definedName>
    <definedName function="false" hidden="false" name="UNI_RET_VALUE" vbProcedure="false">16</definedName>
    <definedName function="false" hidden="false" name="usd" vbProcedure="false">#REF!</definedName>
    <definedName function="false" hidden="false" name="USD_Code" vbProcedure="false">#REF!</definedName>
    <definedName function="false" hidden="false" name="USD_Column" vbProcedure="false">#REF!</definedName>
    <definedName function="false" hidden="false" name="USD_Price_Label" vbProcedure="false">#REF!</definedName>
    <definedName function="false" hidden="false" name="v" vbProcedure="false">{#N/A,#N/A,TRUE,"RESUMEN ECON.";#N/A,#N/A,TRUE,"Costos de R.H.";#N/A,#N/A,TRUE,"COSTO HW";#N/A,#N/A,TRUE,"CUADROS";#N/A,#N/A,TRUE,"SCADA´s";#N/A,#N/A,TRUE,"PRECIOS EQUIPOS"}</definedName>
    <definedName function="false" hidden="false" name="VCXNVJHKKLYJ" vbProcedure="false">{#N/A,#N/A,FALSE,"masez (10)";#N/A,#N/A,FALSE,"masez (7)";#N/A,#N/A,FALSE,"masez (6)";#N/A,#N/A,FALSE,"masez (5)";#N/A,#N/A,FALSE,"masez (4)";#N/A,#N/A,FALSE,"masez (3)";#N/A,#N/A,FALSE,"masez (2)";#N/A,#N/A,FALSE,"GME";#N/A,#N/A,FALSE,"masez"}</definedName>
    <definedName function="false" hidden="false" name="vero" vbProcedure="false">{"Sens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function="false" hidden="false" name="viajes" vbProcedure="false">{#N/A,#N/A,TRUE,"RESUMEN ECON.";#N/A,#N/A,TRUE,"Costos de R.H.";#N/A,#N/A,TRUE,"COSTO HW";#N/A,#N/A,TRUE,"CUADROS";#N/A,#N/A,TRUE,"SCADA´s";#N/A,#N/A,TRUE,"PRECIOS EQUIPOS"}</definedName>
    <definedName function="false" hidden="false" name="viajes2" vbProcedure="false">{#N/A,#N/A,TRUE,"RESUMEN ECON.";#N/A,#N/A,TRUE,"Costos de R.H.";#N/A,#N/A,TRUE,"COSTO HW";#N/A,#N/A,TRUE,"CUADROS";#N/A,#N/A,TRUE,"SCADA´s";#N/A,#N/A,TRUE,"PRECIOS EQUIPOS"}</definedName>
    <definedName function="false" hidden="false" name="viajes22" vbProcedure="false">{#N/A,#N/A,TRUE,"RESUMEN ECON.";#N/A,#N/A,TRUE,"Costos de R.H.";#N/A,#N/A,TRUE,"COSTO HW";#N/A,#N/A,TRUE,"CUADROS";#N/A,#N/A,TRUE,"SCADA´s";#N/A,#N/A,TRUE,"PRECIOS EQUIPOS"}</definedName>
    <definedName function="false" hidden="false" name="viajes_2" vbProcedure="false">{#N/A,#N/A,TRUE,"RESUMEN ECON.";#N/A,#N/A,TRUE,"Costos de R.H.";#N/A,#N/A,TRUE,"COSTO HW";#N/A,#N/A,TRUE,"CUADROS";#N/A,#N/A,TRUE,"SCADA´s";#N/A,#N/A,TRUE,"PRECIOS EQUIPOS"}</definedName>
    <definedName function="false" hidden="false" name="viio" vbProcedure="false">{#N/A,#N/A,FALSE,"masez (10)";#N/A,#N/A,FALSE,"masez (7)";#N/A,#N/A,FALSE,"masez (6)";#N/A,#N/A,FALSE,"masez (5)";#N/A,#N/A,FALSE,"masez (4)";#N/A,#N/A,FALSE,"masez (3)";#N/A,#N/A,FALSE,"masez (2)";#N/A,#N/A,FALSE,"GME";#N/A,#N/A,FALSE,"masez"}</definedName>
    <definedName function="false" hidden="false" name="VOLUMEN" vbProcedure="false">#REF!</definedName>
    <definedName function="false" hidden="false" name="VOLUMEN_A" vbProcedure="false">#REF!</definedName>
    <definedName function="false" hidden="false" name="VOLUMEN_C" vbProcedure="false">#REF!</definedName>
    <definedName function="false" hidden="false" name="VVGHJ" vbProcedure="false">{#N/A,#N/A,FALSE,"Graficos"}</definedName>
    <definedName function="false" hidden="false" name="VVGVHJ" vbProcedure="false">{#N/A,#N/A,FALSE,"Graficos"}</definedName>
    <definedName function="false" hidden="false" name="WERT" vbProcedure="false">{#N/A,#N/A,FALSE,"masez (10)";#N/A,#N/A,FALSE,"masez (7)";#N/A,#N/A,FALSE,"masez (6)";#N/A,#N/A,FALSE,"masez (5)";#N/A,#N/A,FALSE,"masez (4)";#N/A,#N/A,FALSE,"masez (3)";#N/A,#N/A,FALSE,"masez (2)";#N/A,#N/A,FALSE,"GME";#N/A,#N/A,FALSE,"masez"}</definedName>
    <definedName function="false" hidden="false" name="WIC_List_Factor" vbProcedure="false">#REF!</definedName>
    <definedName function="false" hidden="false" name="WIC_SA_Factor" vbProcedure="false">#REF!</definedName>
    <definedName function="false" hidden="false" name="wrn.A." vbProcedure="false">{#N/A,#N/A,FALSE,"A (4)"}</definedName>
    <definedName function="false" hidden="false" name="wrn.ARA." vbProcedure="false">{"ARA1",#N/A,FALSE,"ENG-ARA";"ARAhours",#N/A,FALSE,"ENG-ARA";"ARA$",#N/A,FALSE,"ENG-ARA"}</definedName>
    <definedName function="false" hidden="false" name="wrn.Barbara._.Modular._.Indirects." vbProcedure="false">{#N/A,#N/A,FALSE,"COVER";#N/A,#N/A,FALSE,"RECAP";#N/A,#N/A,FALSE,"SANTA BARBARA NONMANUAL";#N/A,#N/A,FALSE,"CEQUIP";#N/A,#N/A,FALSE,"WRATE";#N/A,#N/A,FALSE,"INDIRECT";#N/A,#N/A,FALSE,"TRAIN";#N/A,#N/A,FALSE,"MANLOADED SCHEDULE"}</definedName>
    <definedName function="false" hidden="false" name="wrn.bechtel._.hours." vbProcedure="false">{"bechtel1",#N/A,TRUE,"BECHTEL";"bechtelhours",#N/A,TRUE,"BECHTEL";"bechtel$",#N/A,TRUE,"BECHTEL"}</definedName>
    <definedName function="false" hidden="false" name="wrn.CIGG." vbProcedure="false">{"CI+GG(BASE)",#N/A,FALSE,"CI+GG(BASE)";"GG",#N/A,FALSE,"CI+GG(BASE)";"CI",#N/A,FALSE,"CI+GG(BASE)"}</definedName>
    <definedName function="false" hidden="false" name="wrn.compa." vbProcedure="false">{"cuadro1",#N/A,FALSE,"periodos entre Opciones";"cuadro2",#N/A,FALSE,"periodos entre Opciones"}</definedName>
    <definedName function="false" hidden="false" name="wrn.CONTROL._.ARCHIVO." vbProcedure="false">{"Control_Consolidado",#N/A,FALSE,"Cons.";"Control_Tunel",#N/A,FALSE,"Cons.";"Control_Melip",#N/A,FALSE,"Cons.";"Control_Gualleco",#N/A,FALSE,"Cons.";"Control_Sara L",#N/A,FALSE,"Cons.";"Control_Quellon",#N/A,FALSE,"Cons.";"Control_Biolix",#N/A,FALSE,"Cons.";"Control_Oficina",#N/A,FALSE,"Cons.";"Control_Consorcio",#N/A,FALSE,"Cons."}</definedName>
    <definedName function="false" hidden="false" name="wrn.Cost._.Data." vbProcedure="false">{"Cost_Curve_Data",#N/A,FALSE,"Indonesia"}</definedName>
    <definedName function="false" hidden="false" name="wrn.Costs." vbProcedure="false">{"p1",#N/A,FALSE,"Indonesia";"p2",#N/A,FALSE,"Indonesia";"p3",#N/A,FALSE,"Indonesia";"p4",#N/A,FALSE,"Indonesia"}</definedName>
    <definedName function="false" hidden="false" name="wrn.CV._.Capex." vbProcedure="false">{"CV Capex",#N/A,FALSE,"CV Capex"}</definedName>
    <definedName function="false" hidden="false" name="wrn.Detail." vbProcedure="false">{#N/A,#N/A,FALSE,"Matrix";#N/A,#N/A,FALSE,"Executive";#N/A,#N/A,FALSE,"Summary";#N/A,#N/A,FALSE,"Office1";#N/A,#N/A,FALSE,"Office2";#N/A,#N/A,FALSE,"Office3";#N/A,#N/A,FALSE,"Office4";#N/A,#N/A,FALSE,"Office5";#N/A,#N/A,FALSE,"Office6";#N/A,#N/A,FALSE,"Office7";#N/A,#N/A,FALSE,"Labor"}</definedName>
    <definedName function="false" hidden="false" name="wrn.Día._.API." vbProcedure="false">{#N/A,#N/A,FALSE,"IC_Global";#N/A,#N/A,FALSE,"IC_Global (98-f)";#N/A,#N/A,FALSE,"Inc";#N/A,#N/A,FALSE,"CAMBIOS (2)";#N/A,#N/A,FALSE,"EXPL Inc.";#N/A,#N/A,FALSE,"HITOS98";#N/A,#N/A,FALSE,"CURVA ""S"" GLOBAL ";#N/A,#N/A,FALSE,"CURVA ""S"" 1998 "}</definedName>
    <definedName function="false" hidden="false" name="wrn.El._.Indio._.Production._.Summary." vbProcedure="false">{#N/A,#N/A,FALSE,"summary";#N/A,#N/A,FALSE,"SumGraph"}</definedName>
    <definedName function="false" hidden="false" name="wrn.ep10." vbProcedure="false">{#N/A,#N/A,FALSE,"masez (10)";#N/A,#N/A,FALSE,"masez (7)";#N/A,#N/A,FALSE,"masez (6)";#N/A,#N/A,FALSE,"masez (5)";#N/A,#N/A,FALSE,"masez (4)";#N/A,#N/A,FALSE,"masez (3)";#N/A,#N/A,FALSE,"masez (2)";#N/A,#N/A,FALSE,"GME";#N/A,#N/A,FALSE,"masez"}</definedName>
    <definedName function="false" hidden="false" name="wrn.Forms." vbProcedure="false">{#N/A,#N/A,FALSE,"E-1";#N/A,#N/A,FALSE,"E-2";#N/A,#N/A,FALSE,"F-1";#N/A,#N/A,FALSE,"F-2";#N/A,#N/A,FALSE,"F-3";#N/A,#N/A,FALSE,"F-4";#N/A,#N/A,FALSE,"F-5";#N/A,#N/A,FALSE,"F-6";#N/A,#N/A,FALSE,"Matrix"}</definedName>
    <definedName function="false" hidden="false" name="wrn.GERAL." vbProcedure="false">{#N/A,#N/A,FALSE,"ET-CAPA";#N/A,#N/A,FALSE,"ET-PAG1";#N/A,#N/A,FALSE,"ET-PAG2";#N/A,#N/A,FALSE,"ET-PAG3";#N/A,#N/A,FALSE,"ET-PAG4";#N/A,#N/A,FALSE,"ET-PAG5"}</definedName>
    <definedName function="false" hidden="false" name="wrn.Graficos." vbProcedure="false">{"Graf_Carga Trab",#N/A,FALSE,"Grafi_Carga Trab";"Graf_Venta Flujo",#N/A,FALSE,"Grafi_Carga Trab"}</definedName>
    <definedName function="false" hidden="false" name="wrn.IncomeStatement." vbProcedure="false">{"IncomeStatement",#N/A,FALSE,"Sheet1"}</definedName>
    <definedName function="false" hidden="false" name="wrn.Informe._.1." vbProcedure="false">{"Informe 1_Consolidado",#N/A,FALSE,"Cons.";"Informe 1_Tunel",#N/A,FALSE,"Cons.";"Informe 1_Melip",#N/A,FALSE,"Cons.";"Informe 1_Guall",#N/A,FALSE,"Cons.";"Informe 1_Sara L",#N/A,FALSE,"Cons.";"Informe 1_Quellon",#N/A,FALSE,"Cons.";"Informe 1_Biolix",#N/A,FALSE,"Cons.";"Informe 1_Oficina",#N/A,FALSE,"Cons.";"Informe 1_Consorcio",#N/A,FALSE,"Cons."}</definedName>
    <definedName function="false" hidden="false" name="wrn.Informe._.2." vbProcedure="false">{"Informe 2_Consolidado",#N/A,FALSE,"Cons.";"Informe 2_Tunel",#N/A,FALSE,"Cons.";"Informe 2_Melip",#N/A,FALSE,"Cons.";"Informe 2_Guall",#N/A,FALSE,"Cons.";"Informe 2_Sara L",#N/A,FALSE,"Cons.";"Informe 2_Quellon",#N/A,FALSE,"Cons.";"Informe 2_Biolix",#N/A,FALSE,"Cons.";"Informe 2_Oficina",#N/A,FALSE,"Cons.";"Informe 2_Consorcio",#N/A,FALSE,"Cons."}</definedName>
    <definedName function="false" hidden="false" name="wrn.INFORMETEC." vbProcedure="false">{#N/A,#N/A,FALSE,"TEC-01";#N/A,#N/A,FALSE,"TEC - 02";#N/A,#N/A,FALSE,"TEC - 03";#N/A,#N/A,FALSE,"TEC - 04";#N/A,#N/A,FALSE,"TEC-07";#N/A,#N/A,FALSE,"TEC-08";#N/A,#N/A,FALSE,"TEC - 09A";#N/A,#N/A,FALSE,"TEC - 09B";#N/A,#N/A,FALSE,"TEC - 09C";#N/A,#N/A,FALSE,"TEC - 10";#N/A,#N/A,FALSE,"TEC-11"}</definedName>
    <definedName function="false" hidden="false" name="wrn.INFORME_XPAND." vbProcedure="false">{"DETALLE_1996",#N/A,FALSE,"flujo";"DETALLE_1997",#N/A,FALSE,"flujo";"GASTOS_INCURRIDOS_1996",#N/A,FALSE,"flujo";"GASTOS_PROGRAMADOS_PARA_1997",#N/A,FALSE,"flujo";#N/A,#N/A,FALSE,"comparat";#N/A,#N/A,FALSE,"costos";#N/A,#N/A,FALSE,"proyctrol"}</definedName>
    <definedName function="false" hidden="false" name="wrn.LISTADO." vbProcedure="false">{"Práctica","Práctica",FALSE,"Práctica"}</definedName>
    <definedName function="false" hidden="false" name="wrn.Loading._.Rates." vbProcedure="false">{"Loading_Rates",#N/A,FALSE,"Shipping Requirements"}</definedName>
    <definedName function="false" hidden="false" name="wrn.MILLARES." vbProcedure="false">{#N/A,#N/A,TRUE,"RESUMEN ECON.";#N/A,#N/A,TRUE,"Costos de R.H.";#N/A,#N/A,TRUE,"COSTO HW";#N/A,#N/A,TRUE,"CUADROS";#N/A,#N/A,TRUE,"SCADA´s";#N/A,#N/A,TRUE,"PRECIOS EQUIPOS"}</definedName>
    <definedName function="false" hidden="false" name="wrn.MILLARES.2" vbProcedure="false">{#N/A,#N/A,TRUE,"RESUMEN ECON.";#N/A,#N/A,TRUE,"Costos de R.H.";#N/A,#N/A,TRUE,"COSTO HW";#N/A,#N/A,TRUE,"CUADROS";#N/A,#N/A,TRUE,"SCADA´s";#N/A,#N/A,TRUE,"PRECIOS EQUIPOS"}</definedName>
    <definedName function="false" hidden="false" name="wrn.MO." vbProcedure="false">{"MO(BASE)",#N/A,FALSE,"MO(BASE)";"MO(BASE)1",#N/A,FALSE,"MO(BASE)";"MO(BASE)2",#N/A,FALSE,"MO(BASE)"}</definedName>
    <definedName function="false" hidden="false" name="wrn.Nelson._.Summary." vbProcedure="false">{#N/A,#N/A,FALSE,"subcontract"}</definedName>
    <definedName function="false" hidden="false" name="wrn.op1." vbProcedure="false">{"cuadro1",#N/A,FALSE,"Cam buz camión Opción 1";"cuadro2",#N/A,FALSE,"Cam buz camión Opción 1";"cuadro3",#N/A,FALSE,"Cam buz camión Opción 1";"cuadro4",#N/A,FALSE,"Cam buz camión Opción 1";"cuadro5",#N/A,FALSE,"Cam buz camión Opción 1"}</definedName>
    <definedName function="false" hidden="false" name="wrn.op2" vbProcedure="false">{"cuadro1",#N/A,FALSE,"Buzon Camion Opción 3";"cuadro2",#N/A,FALSE,"Buzon Camion Opción 3";"cuadro3",#N/A,FALSE,"Buzon Camion Opción 3";"cuadro4",#N/A,FALSE,"Buzon Camion Opción 3"}</definedName>
    <definedName function="false" hidden="false" name="wrn.op2." vbProcedure="false">{"cuadro1",#N/A,FALSE,"LHD CAMION Opción 2";"cuadro2",#N/A,FALSE,"LHD CAMION Opción 2";"cuadro3",#N/A,FALSE,"LHD CAMION Opción 2";"cuadro4",#N/A,FALSE,"LHD CAMION Opción 2"}</definedName>
    <definedName function="false" hidden="false" name="wrn.op3." vbProcedure="false">{"cuadro1",#N/A,FALSE,"Buzon Camion Opción 3";"cuadro2",#N/A,FALSE,"Buzon Camion Opción 3";"cuadro3",#N/A,FALSE,"Buzon Camion Opción 3";"cuadro4",#N/A,FALSE,"Buzon Camion Opción 3"}</definedName>
    <definedName function="false" hidden="false" name="wrn.op4." vbProcedure="false">{"cuadro1",#N/A,FALSE,"Buzon FFCC Opción 4";"cuadro2",#N/A,FALSE,"Buzon FFCC Opción 4";"cuadro3",#N/A,FALSE,"Buzon FFCC Opción 4";"cuadro4",#N/A,FALSE,"Buzon FFCC Opción 4"}</definedName>
    <definedName function="false" hidden="false" name="wrn.op5." vbProcedure="false">{"cuadro1",#N/A,FALSE,"Camara buz ffcc Opción 5";"cuadro2",#N/A,FALSE,"Camara buz ffcc Opción 5";"cuadro3",#N/A,FALSE,"Camara buz ffcc Opción 5";"cuadro4",#N/A,FALSE,"Camara buz ffcc Opción 5"}</definedName>
    <definedName function="false" hidden="false" name="wrn.P3_Sched." vbProcedure="false">{"CV_sched",#N/A,FALSE,"CV MinePlan - Phase 3 BaseCase"}</definedName>
    <definedName function="false" hidden="false" name="wrn.pendientes." vbProcedure="false">{#N/A,#N/A,FALSE,"PEND INC";#N/A,#N/A,FALSE,"PEND MINM"}</definedName>
    <definedName function="false" hidden="false" name="wrn.plan._.inicial." vbProcedure="false">{#N/A,#N/A,FALSE,"Planificación"}</definedName>
    <definedName function="false" hidden="false" name="wrn.price._.data." vbProcedure="false">{"price_data",#N/A,FALSE,"Trade Balance"}</definedName>
    <definedName function="false" hidden="false" name="wrn.Print._.Base._.Case._.Statements." vbProcedure="false">{"Sens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function="false" hidden="false" name="wrn.print1." vbProcedure="false">{#N/A,#N/A,TRUE,"Est. de Fact.";#N/A,#N/A,TRUE,"Capitulo 19";#N/A,#N/A,TRUE,"Proyecto P855"}</definedName>
    <definedName function="false" hidden="false" name="wrn.PRINTBAS." vbProcedure="false">{#N/A,#N/A,FALSE,"Total_OC015";#N/A,#N/A,FALSE,"ADMIN";#N/A,#N/A,FALSE,"PROCES";#N/A,#N/A,FALSE,"mecan";#N/A,#N/A,FALSE,"civil";#N/A,#N/A,FALSE,"CAÑER";#N/A,#N/A,FALSE,"ELEC";#N/A,#N/A,FALSE,"INSTR"}</definedName>
    <definedName function="false" hidden="false" name="wrn.PRINTEPRS." vbProcedure="false">{#N/A,#N/A,FALSE,"minas";#N/A,#N/A,FALSE,"Total_OC015";#N/A,#N/A,FALSE,"ADMIN";#N/A,#N/A,FALSE,"PROCES";#N/A,#N/A,FALSE,"civil";#N/A,#N/A,FALSE,"CAÑER";#N/A,#N/A,FALSE,"ELEC";#N/A,#N/A,FALSE,"INSTR";#N/A,#N/A,FALSE,"PDS";#N/A,#N/A,FALSE,"mecan"}</definedName>
    <definedName function="false" hidden="false" name="wrn.PROCART." vbProcedure="false">{#N/A,#N/A,FALSE,"MAQUINA"}</definedName>
    <definedName function="false" hidden="false" name="wrn.Ricobayo._.I." vbProcedure="false">{#N/A,#N/A,FALSE,"RESUMEN ECON.";#N/A,#N/A,FALSE,"Costos de R.H.";#N/A,#N/A,FALSE,"COSTO HW";#N/A,#N/A,FALSE,"CUADROS";#N/A,#N/A,FALSE,"SCADA´s";#N/A,#N/A,FALSE,"PRECIOS EQUIPOS"}</definedName>
    <definedName function="false" hidden="false" name="wrn.Ricobayo._.I.2" vbProcedure="false">{#N/A,#N/A,FALSE,"RESUMEN ECON.";#N/A,#N/A,FALSE,"Costos de R.H.";#N/A,#N/A,FALSE,"COSTO HW";#N/A,#N/A,FALSE,"CUADROS";#N/A,#N/A,FALSE,"SCADA´s";#N/A,#N/A,FALSE,"PRECIOS EQUIPOS"}</definedName>
    <definedName function="false" hidden="false" name="wrn.Ship_Reqs." vbProcedure="false">{"Ship_Reqs",#N/A,FALSE,"Shipping Requirements"}</definedName>
    <definedName function="false" hidden="false" name="wrn.Summary." vbProcedure="false">{#N/A,#N/A,FALSE,"Matrix";#N/A,#N/A,FALSE,"Executive";#N/A,#N/A,FALSE,"Summary"}</definedName>
    <definedName function="false" hidden="false" name="wrn.temp." vbProcedure="false">{"Capex_Check",#N/A,FALSE,"Capex Schedule"}</definedName>
    <definedName function="false" hidden="false" name="wrn.UG_Capex." vbProcedure="false">{"UX_p1",#N/A,FALSE,"UG Capex";"UX_p2",#N/A,FALSE,"UG Capex";"UX_p3",#N/A,FALSE,"UG Capex";"UX_p4",#N/A,FALSE,"UG Capex";"UX_p5",#N/A,FALSE,"UG Capex"}</definedName>
    <definedName function="false" hidden="false" name="wrn.UG_Costs." vbProcedure="false">{"UG_p1",#N/A,FALSE,"UG Mine Costs";"UG_p2",#N/A,FALSE,"UG Mine Costs";"UG_p3",#N/A,FALSE,"UG Mine Costs";"UG_p4",#N/A,FALSE,"UG Mine Costs";"UG_p5",#N/A,FALSE,"UG Mine Costs";"UG_p6",#N/A,FALSE,"UG Mine Costs"}</definedName>
    <definedName function="false" hidden="false" name="wrn.unidades." vbProcedure="false">{#N/A,#N/A,FALSE,"RESUMEN";#N/A,#N/A,FALSE,"GG-GI";#N/A,#N/A,FALSE,"AMB";#N/A,#N/A,FALSE,"EyR";#N/A,#N/A,FALSE,"UCP";#N/A,#N/A,FALSE,"IND";#N/A,#N/A,FALSE,"LR";#N/A,#N/A,FALSE,"PRV";#N/A,#N/A,FALSE,"TÚNELES";#N/A,#N/A,FALSE,"IDT";#N/A,#N/A,FALSE,"ING"}</definedName>
    <definedName function="false" hidden="false" name="wrn.WProd." vbProcedure="false">{"wprod",#N/A,FALSE,"World Production"}</definedName>
    <definedName function="false" hidden="false" name="ww" vbProcedure="false">{#N/A,#N/A,FALSE,"IC_Global";#N/A,#N/A,FALSE,"IC_Global (98-f)";#N/A,#N/A,FALSE,"Inc";#N/A,#N/A,FALSE,"CAMBIOS (2)";#N/A,#N/A,FALSE,"EXPL Inc.";#N/A,#N/A,FALSE,"HITOS98";#N/A,#N/A,FALSE,"CURVA ""S"" GLOBAL ";#N/A,#N/A,FALSE,"CURVA ""S"" 1998 "}</definedName>
    <definedName function="false" hidden="false" name="wwewrt" vbProcedure="false">{#N/A,#N/A,FALSE,"RESUMEN ECON.";#N/A,#N/A,FALSE,"Costos de R.H.";#N/A,#N/A,FALSE,"COSTO HW";#N/A,#N/A,FALSE,"CUADROS";#N/A,#N/A,FALSE,"SCADA´s";#N/A,#N/A,FALSE,"PRECIOS EQUIPOS"}</definedName>
    <definedName function="false" hidden="false" name="wwewrt2" vbProcedure="false">{#N/A,#N/A,FALSE,"RESUMEN ECON.";#N/A,#N/A,FALSE,"Costos de R.H.";#N/A,#N/A,FALSE,"COSTO HW";#N/A,#N/A,FALSE,"CUADROS";#N/A,#N/A,FALSE,"SCADA´s";#N/A,#N/A,FALSE,"PRECIOS EQUIPOS"}</definedName>
    <definedName function="false" hidden="false" name="www" vbProcedure="false">{#N/A,#N/A,FALSE,"masez (10)";#N/A,#N/A,FALSE,"masez (7)";#N/A,#N/A,FALSE,"masez (6)";#N/A,#N/A,FALSE,"masez (5)";#N/A,#N/A,FALSE,"masez (4)";#N/A,#N/A,FALSE,"masez (3)";#N/A,#N/A,FALSE,"masez (2)";#N/A,#N/A,FALSE,"GME";#N/A,#N/A,FALSE,"masez"}</definedName>
    <definedName function="false" hidden="false" name="X" vbProcedure="false">{"Informe 2_Consolidado",#N/A,FALSE,"Cons.";"Informe 2_Tunel",#N/A,FALSE,"Cons.";"Informe 2_Melip",#N/A,FALSE,"Cons.";"Informe 2_Guall",#N/A,FALSE,"Cons.";"Informe 2_Sara L",#N/A,FALSE,"Cons.";"Informe 2_Quellon",#N/A,FALSE,"Cons.";"Informe 2_Biolix",#N/A,FALSE,"Cons.";"Informe 2_Oficina",#N/A,FALSE,"Cons.";"Informe 2_Consorcio",#N/A,FALSE,"Cons."}</definedName>
    <definedName function="false" hidden="false" name="XDRTHR" vbProcedure="false">{"DETALLE_1996",#N/A,FALSE,"flujo";"DETALLE_1997",#N/A,FALSE,"flujo";"GASTOS_INCURRIDOS_1996",#N/A,FALSE,"flujo";"GASTOS_PROGRAMADOS_PARA_1997",#N/A,FALSE,"flujo";#N/A,#N/A,FALSE,"comparat";#N/A,#N/A,FALSE,"costos";#N/A,#N/A,FALSE,"proyctrol"}</definedName>
    <definedName function="false" hidden="false" name="xx" vbProcedure="false">{#N/A,#N/A,FALSE,"COVER";#N/A,#N/A,FALSE,"RECAP";#N/A,#N/A,FALSE,"SANTA BARBARA NONMANUAL";#N/A,#N/A,FALSE,"CEQUIP";#N/A,#N/A,FALSE,"WRATE";#N/A,#N/A,FALSE,"INDIRECT";#N/A,#N/A,FALSE,"TRAIN";#N/A,#N/A,FALSE,"MANLOADED SCHEDULE"}</definedName>
    <definedName function="false" hidden="false" name="xxx" vbProcedure="false">{#N/A,#N/A,FALSE,"Matrix";#N/A,#N/A,FALSE,"Executive";#N/A,#N/A,FALSE,"Summary";#N/A,#N/A,FALSE,"Office1";#N/A,#N/A,FALSE,"Office2";#N/A,#N/A,FALSE,"Office3";#N/A,#N/A,FALSE,"Office4";#N/A,#N/A,FALSE,"Office5";#N/A,#N/A,FALSE,"Office6";#N/A,#N/A,FALSE,"Office7";#N/A,#N/A,FALSE,"Labor"}</definedName>
    <definedName function="false" hidden="false" name="XXXX" vbProcedure="false">{"DETALLE_1996",#N/A,FALSE,"flujo";"DETALLE_1997",#N/A,FALSE,"flujo";"GASTOS_INCURRIDOS_1996",#N/A,FALSE,"flujo";"GASTOS_PROGRAMADOS_PARA_1997",#N/A,FALSE,"flujo";#N/A,#N/A,FALSE,"comparat";#N/A,#N/A,FALSE,"costos";#N/A,#N/A,FALSE,"proyctrol"}</definedName>
    <definedName function="false" hidden="false" name="xxxxx" vbProcedure="false">{#N/A,#N/A,FALSE,"masez (10)";#N/A,#N/A,FALSE,"masez (7)";#N/A,#N/A,FALSE,"masez (6)";#N/A,#N/A,FALSE,"masez (5)";#N/A,#N/A,FALSE,"masez (4)";#N/A,#N/A,FALSE,"masez (3)";#N/A,#N/A,FALSE,"masez (2)";#N/A,#N/A,FALSE,"GME";#N/A,#N/A,FALSE,"masez"}</definedName>
    <definedName function="false" hidden="false" name="XXXXXXX" vbProcedure="false">#REF!</definedName>
    <definedName function="false" hidden="false" name="YY" vbProcedure="false">{"Informe 2_Consolidado",#N/A,FALSE,"Cons.";"Informe 2_Tunel",#N/A,FALSE,"Cons.";"Informe 2_Melip",#N/A,FALSE,"Cons.";"Informe 2_Guall",#N/A,FALSE,"Cons.";"Informe 2_Sara L",#N/A,FALSE,"Cons.";"Informe 2_Quellon",#N/A,FALSE,"Cons.";"Informe 2_Biolix",#N/A,FALSE,"Cons.";"Informe 2_Oficina",#N/A,FALSE,"Cons.";"Informe 2_Consorcio",#N/A,FALSE,"Cons."}</definedName>
    <definedName function="false" hidden="false" name="yyy" vbProcedure="false">{"DETALLE_1996",#N/A,FALSE,"flujo";"DETALLE_1997",#N/A,FALSE,"flujo";"GASTOS_INCURRIDOS_1996",#N/A,FALSE,"flujo";"GASTOS_PROGRAMADOS_PARA_1997",#N/A,FALSE,"flujo";#N/A,#N/A,FALSE,"comparat";#N/A,#N/A,FALSE,"costos";#N/A,#N/A,FALSE,"proyctrol"}</definedName>
    <definedName function="false" hidden="false" name="z" vbProcedure="false">{#N/A,#N/A,TRUE,"RESUMEN ECON.";#N/A,#N/A,TRUE,"Costos de R.H.";#N/A,#N/A,TRUE,"COSTO HW";#N/A,#N/A,TRUE,"CUADROS";#N/A,#N/A,TRUE,"SCADA´s";#N/A,#N/A,TRUE,"PRECIOS EQUIPOS"}</definedName>
    <definedName function="false" hidden="false" name="zz" vbProcedure="false">{#N/A,#N/A,FALSE,"COVER";#N/A,#N/A,FALSE,"RECAP";#N/A,#N/A,FALSE,"SANTA BARBARA NONMANUAL";#N/A,#N/A,FALSE,"CEQUIP";#N/A,#N/A,FALSE,"WRATE";#N/A,#N/A,FALSE,"INDIRECT";#N/A,#N/A,FALSE,"TRAIN";#N/A,#N/A,FALSE,"MANLOADED SCHEDULE"}</definedName>
    <definedName function="false" hidden="false" name="zzz" vbProcedure="false">{#N/A,#N/A,FALSE,"masez (10)";#N/A,#N/A,FALSE,"masez (7)";#N/A,#N/A,FALSE,"masez (6)";#N/A,#N/A,FALSE,"masez (5)";#N/A,#N/A,FALSE,"masez (4)";#N/A,#N/A,FALSE,"masez (3)";#N/A,#N/A,FALSE,"masez (2)";#N/A,#N/A,FALSE,"GME";#N/A,#N/A,FALSE,"masez"}</definedName>
    <definedName function="false" hidden="false" name="Z_9D737543_22F2_11D3_ACAF_004F490495C0_.wvu.Cols" vbProcedure="false">#REF!,#REF!,#REF!</definedName>
    <definedName function="false" hidden="false" name="Z_9D737543_22F2_11D3_ACAF_004F490495C0_.wvu.FilterData" vbProcedure="false">#REF!</definedName>
    <definedName function="false" hidden="false" name="Z_9D737543_22F2_11D3_ACAF_004F490495C0_.wvu.PrintArea" vbProcedure="false">#REF!,#REF!,#REF!,#REF!,#REF!</definedName>
    <definedName function="false" hidden="false" name="Z_9D737543_22F2_11D3_ACAF_004F490495C0_.wvu.PrintTitles" vbProcedure="false">#REF!,#REF!</definedName>
    <definedName function="false" hidden="false" name="Z_9D737543_22F2_11D3_ACAF_004F490495C0_.wvu.Rows" vbProcedure="false">#REF!,#REF!,#REF!,#REF!,#REF!,#REF!,#REF!,#REF!,#REF!,#REF!,#REF!</definedName>
    <definedName function="false" hidden="false" name="Z_9D737544_22F2_11D3_ACAF_004F490495C0_.wvu.Cols" vbProcedure="false">#REF!,#REF!,#REF!</definedName>
    <definedName function="false" hidden="false" name="Z_9D737544_22F2_11D3_ACAF_004F490495C0_.wvu.FilterData" vbProcedure="false">#REF!</definedName>
    <definedName function="false" hidden="false" name="Z_9D737544_22F2_11D3_ACAF_004F490495C0_.wvu.PrintArea" vbProcedure="false">#REF!</definedName>
    <definedName function="false" hidden="false" name="Z_9D737544_22F2_11D3_ACAF_004F490495C0_.wvu.PrintTitles" vbProcedure="false">#REF!,#REF!</definedName>
    <definedName function="false" hidden="false" name="Z_9D737544_22F2_11D3_ACAF_004F490495C0_.wvu.Rows" vbProcedure="false">#REF!,#REF!,#REF!,#REF!,#REF!,#REF!,#REF!,#REF!,#REF!,#REF!,#REF!</definedName>
    <definedName function="false" hidden="false" name="Z_9D737546_22F2_11D3_ACAF_004F490495C0_.wvu.Cols" vbProcedure="false">#REF!</definedName>
    <definedName function="false" hidden="false" name="Z_9D737546_22F2_11D3_ACAF_004F490495C0_.wvu.FilterData" vbProcedure="false">#REF!</definedName>
    <definedName function="false" hidden="false" name="Z_9D737546_22F2_11D3_ACAF_004F490495C0_.wvu.PrintArea" vbProcedure="false">#REF!,#REF!,#REF!</definedName>
    <definedName function="false" hidden="false" name="Z_9D737546_22F2_11D3_ACAF_004F490495C0_.wvu.PrintTitles" vbProcedure="false">#REF!,#REF!</definedName>
    <definedName function="false" hidden="false" name="Z_9D737546_22F2_11D3_ACAF_004F490495C0_.wvu.Rows" vbProcedure="false">#REF!,#REF!,#REF!,#REF!,#REF!,#REF!,#REF!,#REF!,#REF!,#REF!,#REF!</definedName>
    <definedName function="false" hidden="false" name="Z_9D737548_22F2_11D3_ACAF_004F490495C0_.wvu.Cols" vbProcedure="false">#REF!,#REF!</definedName>
    <definedName function="false" hidden="false" name="Z_9D737548_22F2_11D3_ACAF_004F490495C0_.wvu.FilterData" vbProcedure="false">#REF!</definedName>
    <definedName function="false" hidden="false" name="Z_9D737548_22F2_11D3_ACAF_004F490495C0_.wvu.PrintArea" vbProcedure="false">#REF!</definedName>
    <definedName function="false" hidden="false" name="Z_9D737548_22F2_11D3_ACAF_004F490495C0_.wvu.PrintTitles" vbProcedure="false">#REF!,#REF!</definedName>
    <definedName function="false" hidden="false" name="Z_9D737548_22F2_11D3_ACAF_004F490495C0_.wvu.Rows" vbProcedure="false">#REF!,#REF!,#REF!,#REF!,#REF!,#REF!,#REF!,#REF!,#REF!,#REF!,#REF!</definedName>
    <definedName function="false" hidden="false" name="_" vbProcedure="false">#REF!</definedName>
    <definedName function="false" hidden="false" name="_10__123Graph_C__200__D50" vbProcedure="false">#REF!</definedName>
    <definedName function="false" hidden="false" name="_10____123Graph_C__200__D50" vbProcedure="false">#REF!</definedName>
    <definedName function="false" hidden="false" name="_11F" vbProcedure="false">#REF!</definedName>
    <definedName function="false" hidden="false" name="_11__123Graph_CGRANULOMETRIA_1" vbProcedure="false">#REF!</definedName>
    <definedName function="false" hidden="false" name="_11____123Graph_CGRANULOMETRIA_1" vbProcedure="false">#REF!</definedName>
    <definedName function="false" hidden="false" name="_12__123Graph_D__200__BPF" vbProcedure="false">#REF!</definedName>
    <definedName function="false" hidden="false" name="_12____123Graph_D__200__BPF" vbProcedure="false">#REF!</definedName>
    <definedName function="false" hidden="false" name="_13__123Graph_D__200__D50" vbProcedure="false">#REF!</definedName>
    <definedName function="false" hidden="false" name="_13____123Graph_D__200__D50" vbProcedure="false">#REF!</definedName>
    <definedName function="false" hidden="false" name="_14__123Graph_E__200__BPF" vbProcedure="false">#REF!</definedName>
    <definedName function="false" hidden="false" name="_14____123Graph_E__200__BPF" vbProcedure="false">#REF!</definedName>
    <definedName function="false" hidden="false" name="_15__123Graph_E__200__D50" vbProcedure="false">#REF!</definedName>
    <definedName function="false" hidden="false" name="_15____123Graph_E__200__D50" vbProcedure="false">#REF!</definedName>
    <definedName function="false" hidden="false" name="_16__123Graph_F__200__BPF" vbProcedure="false">#REF!</definedName>
    <definedName function="false" hidden="false" name="_16____123Graph_F__200__BPF" vbProcedure="false">#REF!</definedName>
    <definedName function="false" hidden="false" name="_17__123Graph_F__200__D50" vbProcedure="false">#REF!</definedName>
    <definedName function="false" hidden="false" name="_17____123Graph_F__200__D50" vbProcedure="false">#REF!</definedName>
    <definedName function="false" hidden="false" name="_18__123Graph_X__200__BPF" vbProcedure="false">#REF!</definedName>
    <definedName function="false" hidden="false" name="_18____123Graph_X__200__BPF" vbProcedure="false">#REF!</definedName>
    <definedName function="false" hidden="false" name="_19__123Graph_X__200__D50" vbProcedure="false">#REF!</definedName>
    <definedName function="false" hidden="false" name="_19____123Graph_X__200__D50" vbProcedure="false">#REF!</definedName>
    <definedName function="false" hidden="false" name="_1_0_0_F" vbProcedure="false">#REF!</definedName>
    <definedName function="false" hidden="false" name="_1__123Graph_A__200__BPF" vbProcedure="false">#REF!</definedName>
    <definedName function="false" hidden="false" name="_1__123Graph_BCHART_1" vbProcedure="false">#REF!</definedName>
    <definedName function="false" hidden="false" name="_1____123Graph_A__200__BPF" vbProcedure="false">#REF!</definedName>
    <definedName function="false" hidden="false" name="_20_0_0_F" vbProcedure="false">#REF!</definedName>
    <definedName function="false" hidden="false" name="_20__123Graph_XEFICIENCIA_1" vbProcedure="false">#REF!</definedName>
    <definedName function="false" hidden="false" name="_20____123Graph_XEFICIENCIA_1" vbProcedure="false">#REF!</definedName>
    <definedName function="false" hidden="false" name="_21_0_0_F" vbProcedure="false">#REF!</definedName>
    <definedName function="false" hidden="false" name="_21__123Graph_XGRANULOMETRIA_1" vbProcedure="false">#REF!</definedName>
    <definedName function="false" hidden="false" name="_21____123Graph_XGRANULOMETRIA_1" vbProcedure="false">#REF!</definedName>
    <definedName function="false" hidden="false" name="_22___123Graph_A__200__BPF" vbProcedure="false">#REF!</definedName>
    <definedName function="false" hidden="false" name="_23___123Graph_A__200__D50" vbProcedure="false">#REF!</definedName>
    <definedName function="false" hidden="false" name="_24___123Graph_AEFICIENCIA_1" vbProcedure="false">#REF!</definedName>
    <definedName function="false" hidden="false" name="_25___123Graph_AGRANULOMETRIA_1" vbProcedure="false">#REF!</definedName>
    <definedName function="false" hidden="false" name="_26___123Graph_B__200__BPF" vbProcedure="false">#REF!</definedName>
    <definedName function="false" hidden="false" name="_27___123Graph_B__200__D50" vbProcedure="false">#REF!</definedName>
    <definedName function="false" hidden="false" name="_28___123Graph_BEFICIENCIA_1" vbProcedure="false">#REF!</definedName>
    <definedName function="false" hidden="false" name="_29___123Graph_BGRANULOMETRIA_1" vbProcedure="false">#REF!</definedName>
    <definedName function="false" hidden="false" name="_2__123Graph_A__200__D50" vbProcedure="false">#REF!</definedName>
    <definedName function="false" hidden="false" name="_2____123Graph_A__200__D50" vbProcedure="false">#REF!</definedName>
    <definedName function="false" hidden="false" name="_30___123Graph_C__200__BPF" vbProcedure="false">#REF!</definedName>
    <definedName function="false" hidden="false" name="_31___123Graph_C__200__D50" vbProcedure="false">#REF!</definedName>
    <definedName function="false" hidden="false" name="_32___123Graph_CGRANULOMETRIA_1" vbProcedure="false">#REF!</definedName>
    <definedName function="false" hidden="false" name="_33___123Graph_D__200__BPF" vbProcedure="false">#REF!</definedName>
    <definedName function="false" hidden="false" name="_34___123Graph_D__200__D50" vbProcedure="false">#REF!</definedName>
    <definedName function="false" hidden="false" name="_35___123Graph_E__200__BPF" vbProcedure="false">#REF!</definedName>
    <definedName function="false" hidden="false" name="_36___123Graph_E__200__D50" vbProcedure="false">#REF!</definedName>
    <definedName function="false" hidden="false" name="_37___123Graph_F__200__BPF" vbProcedure="false">#REF!</definedName>
    <definedName function="false" hidden="false" name="_38___123Graph_F__200__D50" vbProcedure="false">#REF!</definedName>
    <definedName function="false" hidden="false" name="_39___123Graph_X__200__BPF" vbProcedure="false">#REF!</definedName>
    <definedName function="false" hidden="false" name="_3__123Graph_AEFICIENCIA_1" vbProcedure="false">#REF!</definedName>
    <definedName function="false" hidden="false" name="_3__123Graph_AGRAFICO_1" vbProcedure="false">#REF!</definedName>
    <definedName function="false" hidden="false" name="_3____123Graph_AEFICIENCIA_1" vbProcedure="false">#REF!</definedName>
    <definedName function="false" hidden="false" name="_40___123Graph_X__200__D50" vbProcedure="false">#REF!</definedName>
    <definedName function="false" hidden="false" name="_41___123Graph_XEFICIENCIA_1" vbProcedure="false">#REF!</definedName>
    <definedName function="false" hidden="false" name="_42___123Graph_XGRANULOMETRIA_1" vbProcedure="false">#REF!</definedName>
    <definedName function="false" hidden="false" name="_43__123Graph_A__200__BPF" vbProcedure="false">#REF!</definedName>
    <definedName function="false" hidden="false" name="_44__123Graph_A__200__D50" vbProcedure="false">#REF!</definedName>
    <definedName function="false" hidden="false" name="_45__123Graph_AEFICIENCIA_1" vbProcedure="false">#REF!</definedName>
    <definedName function="false" hidden="false" name="_46__123Graph_AGRANULOMETRIA_1" vbProcedure="false">#REF!</definedName>
    <definedName function="false" hidden="false" name="_47__123Graph_B__200__BPF" vbProcedure="false">#REF!</definedName>
    <definedName function="false" hidden="false" name="_48__123Graph_B__200__D50" vbProcedure="false">#REF!</definedName>
    <definedName function="false" hidden="false" name="_49__123Graph_BEFICIENCIA_1" vbProcedure="false">#REF!</definedName>
    <definedName function="false" hidden="false" name="_4__123Graph_AGRANULOMETRIA_1" vbProcedure="false">#REF!</definedName>
    <definedName function="false" hidden="false" name="_4____123Graph_AGRANULOMETRIA_1" vbProcedure="false">#REF!</definedName>
    <definedName function="false" hidden="false" name="_50__123Graph_BGRANULOMETRIA_1" vbProcedure="false">#REF!</definedName>
    <definedName function="false" hidden="false" name="_51__123Graph_C__200__BPF" vbProcedure="false">#REF!</definedName>
    <definedName function="false" hidden="false" name="_52__123Graph_C__200__D50" vbProcedure="false">#REF!</definedName>
    <definedName function="false" hidden="false" name="_53__123Graph_CGRANULOMETRIA_1" vbProcedure="false">#REF!</definedName>
    <definedName function="false" hidden="false" name="_54__123Graph_D__200__BPF" vbProcedure="false">#REF!</definedName>
    <definedName function="false" hidden="false" name="_55__123Graph_D__200__D50" vbProcedure="false">#REF!</definedName>
    <definedName function="false" hidden="false" name="_56__123Graph_E__200__BPF" vbProcedure="false">#REF!</definedName>
    <definedName function="false" hidden="false" name="_57__123Graph_E__200__D50" vbProcedure="false">#REF!</definedName>
    <definedName function="false" hidden="false" name="_58__123Graph_F__200__BPF" vbProcedure="false">#REF!</definedName>
    <definedName function="false" hidden="false" name="_59__123Graph_F__200__D50" vbProcedure="false">#REF!</definedName>
    <definedName function="false" hidden="false" name="_5__123Graph_B__200__BPF" vbProcedure="false">#REF!</definedName>
    <definedName function="false" hidden="false" name="_5____123Graph_B__200__BPF" vbProcedure="false">#REF!</definedName>
    <definedName function="false" hidden="false" name="_60__123Graph_X__200__BPF" vbProcedure="false">#REF!</definedName>
    <definedName function="false" hidden="false" name="_61__123Graph_X__200__D50" vbProcedure="false">#REF!</definedName>
    <definedName function="false" hidden="false" name="_62__123Graph_XEFICIENCIA_1" vbProcedure="false">#REF!</definedName>
    <definedName function="false" hidden="false" name="_63__123Graph_XGRANULOMETRIA_1" vbProcedure="false">#REF!</definedName>
    <definedName function="false" hidden="false" name="_6__123Graph_B__200__D50" vbProcedure="false">#REF!</definedName>
    <definedName function="false" hidden="false" name="_6__123Graph_XGRAFICO_1" vbProcedure="false">#REF!</definedName>
    <definedName function="false" hidden="false" name="_6____123Graph_B__200__D50" vbProcedure="false">#REF!</definedName>
    <definedName function="false" hidden="false" name="_7__123Graph_BEFICIENCIA_1" vbProcedure="false">#REF!</definedName>
    <definedName function="false" hidden="false" name="_7____123Graph_BEFICIENCIA_1" vbProcedure="false">#REF!</definedName>
    <definedName function="false" hidden="false" name="_8__123Graph_BGRANULOMETRIA_1" vbProcedure="false">#REF!</definedName>
    <definedName function="false" hidden="false" name="_8____123Graph_BGRANULOMETRIA_1" vbProcedure="false">#REF!</definedName>
    <definedName function="false" hidden="false" name="_9__123Graph_C__200__BPF" vbProcedure="false">#REF!</definedName>
    <definedName function="false" hidden="false" name="_9____123Graph_C__200__BPF" vbProcedure="false">#REF!</definedName>
    <definedName function="false" hidden="false" name="_a2" vbProcedure="false">{#N/A,#N/A,TRUE,"RESUMEN ECON.";#N/A,#N/A,TRUE,"Costos de R.H.";#N/A,#N/A,TRUE,"COSTO HW";#N/A,#N/A,TRUE,"CUADROS";#N/A,#N/A,TRUE,"SCADA´s";#N/A,#N/A,TRUE,"PRECIOS EQUIPOS"}</definedName>
    <definedName function="false" hidden="false" name="_aaa2" vbProcedure="false">{#N/A,#N/A,TRUE,"RESUMEN ECON.";#N/A,#N/A,TRUE,"Costos de R.H.";#N/A,#N/A,TRUE,"COSTO HW";#N/A,#N/A,TRUE,"CUADROS";#N/A,#N/A,TRUE,"SCADA´s";#N/A,#N/A,TRUE,"PRECIOS EQUIPOS"}</definedName>
    <definedName function="false" hidden="false" name="_b2" vbProcedure="false">{#N/A,#N/A,FALSE,"RESUMEN ECON.";#N/A,#N/A,FALSE,"Costos de R.H.";#N/A,#N/A,FALSE,"COSTO HW";#N/A,#N/A,FALSE,"CUADROS";#N/A,#N/A,FALSE,"SCADA´s";#N/A,#N/A,FALSE,"PRECIOS EQUIPOS"}</definedName>
    <definedName function="false" hidden="false" name="_bbb1" vbProcedure="false">{#N/A,#N/A,TRUE,"RESUMEN ECON.";#N/A,#N/A,TRUE,"Costos de R.H.";#N/A,#N/A,TRUE,"COSTO HW";#N/A,#N/A,TRUE,"CUADROS";#N/A,#N/A,TRUE,"SCADA´s";#N/A,#N/A,TRUE,"PRECIOS EQUIPOS"}</definedName>
    <definedName function="false" hidden="false" name="_bbb2" vbProcedure="false">{#N/A,#N/A,TRUE,"RESUMEN ECON.";#N/A,#N/A,TRUE,"Costos de R.H.";#N/A,#N/A,TRUE,"COSTO HW";#N/A,#N/A,TRUE,"CUADROS";#N/A,#N/A,TRUE,"SCADA´s";#N/A,#N/A,TRUE,"PRECIOS EQUIPOS"}</definedName>
    <definedName function="false" hidden="false" name="_cc1" vbProcedure="false">{"DETALLE_1996",#N/A,FALSE,"flujo";"DETALLE_1997",#N/A,FALSE,"flujo";"GASTOS_INCURRIDOS_1996",#N/A,FALSE,"flujo";"GASTOS_PROGRAMADOS_PARA_1997",#N/A,FALSE,"flujo";#N/A,#N/A,FALSE,"comparat";#N/A,#N/A,FALSE,"costos";#N/A,#N/A,FALSE,"proyctrol"}</definedName>
    <definedName function="false" hidden="false" name="_ccc2" vbProcedure="false">{#N/A,#N/A,FALSE,"RESUMEN ECON.";#N/A,#N/A,FALSE,"Costos de R.H.";#N/A,#N/A,FALSE,"COSTO HW";#N/A,#N/A,FALSE,"CUADROS";#N/A,#N/A,FALSE,"SCADA´s";#N/A,#N/A,FALSE,"PRECIOS EQUIPOS"}</definedName>
    <definedName function="false" hidden="false" name="_d2" vbProcedure="false">{#N/A,#N/A,TRUE,"RESUMEN ECON.";#N/A,#N/A,TRUE,"Costos de R.H.";#N/A,#N/A,TRUE,"COSTO HW";#N/A,#N/A,TRUE,"CUADROS";#N/A,#N/A,TRUE,"SCADA´s";#N/A,#N/A,TRUE,"PRECIOS EQUIPOS"}</definedName>
    <definedName function="false" hidden="false" name="_ddd2" vbProcedure="false">{#N/A,#N/A,TRUE,"RESUMEN ECON.";#N/A,#N/A,TRUE,"Costos de R.H.";#N/A,#N/A,TRUE,"COSTO HW";#N/A,#N/A,TRUE,"CUADROS";#N/A,#N/A,TRUE,"SCADA´s";#N/A,#N/A,TRUE,"PRECIOS EQUIPOS"}</definedName>
    <definedName function="false" hidden="false" name="_Dist_Values" vbProcedure="false">#REF!</definedName>
    <definedName function="false" hidden="false" name="_EPC2" vbProcedure="false">{#N/A,#N/A,FALSE,"RESUMEN ECON.";#N/A,#N/A,FALSE,"Costos de R.H.";#N/A,#N/A,FALSE,"COSTO HW";#N/A,#N/A,FALSE,"CUADROS";#N/A,#N/A,FALSE,"SCADA´s";#N/A,#N/A,FALSE,"PRECIOS EQUIPOS"}</definedName>
    <definedName function="false" hidden="false" name="_ETI2" vbProcedure="false">{"'Sheet1'!$A$1:$G$85"}</definedName>
    <definedName function="false" hidden="false" name="_FC" vbProcedure="false">{"DETALLE_1996",#N/A,FALSE,"flujo";"DETALLE_1997",#N/A,FALSE,"flujo";"GASTOS_INCURRIDOS_1996",#N/A,FALSE,"flujo";"GASTOS_PROGRAMADOS_PARA_1997",#N/A,FALSE,"flujo";#N/A,#N/A,FALSE,"comparat";#N/A,#N/A,FALSE,"costos";#N/A,#N/A,FALSE,"proyctrol"}</definedName>
    <definedName function="false" hidden="false" name="_FHE7" vbProcedure="false">{#N/A,#N/A,FALSE,"masez (10)";#N/A,#N/A,FALSE,"masez (7)";#N/A,#N/A,FALSE,"masez (6)";#N/A,#N/A,FALSE,"masez (5)";#N/A,#N/A,FALSE,"masez (4)";#N/A,#N/A,FALSE,"masez (3)";#N/A,#N/A,FALSE,"masez (2)";#N/A,#N/A,FALSE,"GME";#N/A,#N/A,FALSE,"masez"}</definedName>
    <definedName function="false" hidden="false" name="_Fill" vbProcedure="false">#REF!</definedName>
    <definedName function="false" hidden="false" name="_Fill_1" vbProcedure="false">#REF!</definedName>
    <definedName function="false" hidden="false" name="_gg2" vbProcedure="false">{#N/A,#N/A,FALSE,"RESUMEN ECON.";#N/A,#N/A,FALSE,"Costos de R.H.";#N/A,#N/A,FALSE,"COSTO HW";#N/A,#N/A,FALSE,"CUADROS";#N/A,#N/A,FALSE,"SCADA´s";#N/A,#N/A,FALSE,"PRECIOS EQUIPOS"}</definedName>
    <definedName function="false" hidden="false" name="_ggg2" vbProcedure="false">{#N/A,#N/A,TRUE,"RESUMEN ECON.";#N/A,#N/A,TRUE,"Costos de R.H.";#N/A,#N/A,TRUE,"COSTO HW";#N/A,#N/A,TRUE,"CUADROS";#N/A,#N/A,TRUE,"SCADA´s";#N/A,#N/A,TRUE,"PRECIOS EQUIPOS"}</definedName>
    <definedName function="false" hidden="false" name="_jy5" vbProcedure="false">{#N/A,#N/A,FALSE,"masez (10)";#N/A,#N/A,FALSE,"masez (7)";#N/A,#N/A,FALSE,"masez (6)";#N/A,#N/A,FALSE,"masez (5)";#N/A,#N/A,FALSE,"masez (4)";#N/A,#N/A,FALSE,"masez (3)";#N/A,#N/A,FALSE,"masez (2)";#N/A,#N/A,FALSE,"GME";#N/A,#N/A,FALSE,"masez"}</definedName>
    <definedName function="false" hidden="false" name="_Key1" vbProcedure="false">#REF!</definedName>
    <definedName function="false" hidden="false" name="_Key2" vbProcedure="false">#REF!</definedName>
    <definedName function="false" hidden="false" name="_ooo2" vbProcedure="false">{#N/A,#N/A,FALSE,"RESUMEN ECON.";#N/A,#N/A,FALSE,"Costos de R.H.";#N/A,#N/A,FALSE,"COSTO HW";#N/A,#N/A,FALSE,"CUADROS";#N/A,#N/A,FALSE,"SCADA´s";#N/A,#N/A,FALSE,"PRECIOS EQUIPOS"}</definedName>
    <definedName function="false" hidden="false" name="_Order1" vbProcedure="false">255</definedName>
    <definedName function="false" hidden="false" name="_Order2" vbProcedure="false">255</definedName>
    <definedName function="false" hidden="false" name="_PL1" vbProcedure="false">{"'Sheet1'!$A$1:$G$85"}</definedName>
    <definedName function="false" hidden="false" name="_PP1" vbProcedure="false">#REF!</definedName>
    <definedName function="false" hidden="false" name="_ptg2" vbProcedure="false">{#N/A,#N/A,TRUE,"RESUMEN ECON.";#N/A,#N/A,TRUE,"Costos de R.H.";#N/A,#N/A,TRUE,"COSTO HW";#N/A,#N/A,TRUE,"CUADROS";#N/A,#N/A,TRUE,"SCADA´s";#N/A,#N/A,TRUE,"PRECIOS EQUIPOS"}</definedName>
    <definedName function="false" hidden="false" name="_qg2" vbProcedure="false">{#N/A,#N/A,FALSE,"RESUMEN ECON.";#N/A,#N/A,FALSE,"Costos de R.H.";#N/A,#N/A,FALSE,"COSTO HW";#N/A,#N/A,FALSE,"CUADROS";#N/A,#N/A,FALSE,"SCADA´s";#N/A,#N/A,FALSE,"PRECIOS EQUIPOS"}</definedName>
    <definedName function="false" hidden="false" name="_Regression_Out" vbProcedure="false">#REF!</definedName>
    <definedName function="false" hidden="false" name="_Regression_X" vbProcedure="false">#REF!</definedName>
    <definedName function="false" hidden="false" name="_Regression_Y" vbProcedure="false">#REF!</definedName>
    <definedName function="false" hidden="false" name="_REV1" vbProcedure="false">{"Graf_Carga Trab",#N/A,FALSE,"Grafi_Carga Trab";"Graf_Venta Flujo",#N/A,FALSE,"Grafi_Carga Trab"}</definedName>
    <definedName function="false" hidden="false" name="_REV11" vbProcedure="false">{"Graf_Carga Trab",#N/A,FALSE,"Grafi_Carga Trab";"Graf_Venta Flujo",#N/A,FALSE,"Grafi_Carga Trab"}</definedName>
    <definedName function="false" hidden="false" name="_rft2" vbProcedure="false">{#N/A,#N/A,TRUE,"RESUMEN ECON.";#N/A,#N/A,TRUE,"Costos de R.H.";#N/A,#N/A,TRUE,"COSTO HW";#N/A,#N/A,TRUE,"CUADROS";#N/A,#N/A,TRUE,"SCADA´s";#N/A,#N/A,TRUE,"PRECIOS EQUIPOS"}</definedName>
    <definedName function="false" hidden="false" name="_rtu2" vbProcedure="false">{#N/A,#N/A,TRUE,"RESUMEN ECON.";#N/A,#N/A,TRUE,"Costos de R.H.";#N/A,#N/A,TRUE,"COSTO HW";#N/A,#N/A,TRUE,"CUADROS";#N/A,#N/A,TRUE,"SCADA´s";#N/A,#N/A,TRUE,"PRECIOS EQUIPOS"}</definedName>
    <definedName function="false" hidden="false" name="_Sort" vbProcedure="false">#REF!</definedName>
    <definedName function="false" hidden="false" name="_STN2" vbProcedure="false">{"'Sheet1'!$A$1:$G$85"}</definedName>
    <definedName function="false" hidden="false" name="_Table1_In1" vbProcedure="false">#REF!</definedName>
    <definedName function="false" hidden="false" name="_Table1_Out" vbProcedure="false">#REF!</definedName>
    <definedName function="false" hidden="false" name="_Table2_In1" vbProcedure="false">#REF!</definedName>
    <definedName function="false" hidden="false" name="_Table2_In2" vbProcedure="false">#REF!</definedName>
    <definedName function="false" hidden="false" name="_Table2_Out" vbProcedure="false">#REF!</definedName>
    <definedName function="false" hidden="false" name="_tyl2" vbProcedure="false">{#N/A,#N/A,FALSE,"masez (10)";#N/A,#N/A,FALSE,"masez (7)";#N/A,#N/A,FALSE,"masez (6)";#N/A,#N/A,FALSE,"masez (5)";#N/A,#N/A,FALSE,"masez (4)";#N/A,#N/A,FALSE,"masez (3)";#N/A,#N/A,FALSE,"masez (2)";#N/A,#N/A,FALSE,"GME";#N/A,#N/A,FALSE,"masez"}</definedName>
    <definedName function="false" hidden="false" name="_ww2" vbProcedure="false">{#N/A,#N/A,TRUE,"RESUMEN ECON.";#N/A,#N/A,TRUE,"Costos de R.H.";#N/A,#N/A,TRUE,"COSTO HW";#N/A,#N/A,TRUE,"CUADROS";#N/A,#N/A,TRUE,"SCADA´s";#N/A,#N/A,TRUE,"PRECIOS EQUIPOS"}</definedName>
    <definedName function="false" hidden="false" name="_xlnm._FilterDatabase" vbProcedure="false">#REF!</definedName>
    <definedName function="false" hidden="false" name="_zx2" vbProcedure="false">{#N/A,#N/A,FALSE,"masez (10)";#N/A,#N/A,FALSE,"masez (7)";#N/A,#N/A,FALSE,"masez (6)";#N/A,#N/A,FALSE,"masez (5)";#N/A,#N/A,FALSE,"masez (4)";#N/A,#N/A,FALSE,"masez (3)";#N/A,#N/A,FALSE,"masez (2)";#N/A,#N/A,FALSE,"GME";#N/A,#N/A,FALSE,"masez"}</definedName>
    <definedName function="false" hidden="false" name="__" vbProcedure="false">#REF!</definedName>
    <definedName function="false" hidden="false" name="__123Graph_A" vbProcedure="false">#REF!</definedName>
    <definedName function="false" hidden="false" name="__123Graph_B" vbProcedure="false">#REF!</definedName>
    <definedName function="false" hidden="false" name="__123Graph_C" vbProcedure="false">#REF!</definedName>
    <definedName function="false" hidden="false" name="__123Graph_D" vbProcedure="false">#REF!</definedName>
    <definedName function="false" hidden="false" name="__123Graph_E" vbProcedure="false">#REF!</definedName>
    <definedName function="false" hidden="false" name="__123Graph_F" vbProcedure="false">#REF!</definedName>
    <definedName function="false" hidden="false" name="__123Graph_X" vbProcedure="false">#REF!</definedName>
    <definedName function="false" hidden="false" name="__a2" vbProcedure="false">{#N/A,#N/A,TRUE,"RESUMEN ECON.";#N/A,#N/A,TRUE,"Costos de R.H.";#N/A,#N/A,TRUE,"COSTO HW";#N/A,#N/A,TRUE,"CUADROS";#N/A,#N/A,TRUE,"SCADA´s";#N/A,#N/A,TRUE,"PRECIOS EQUIPOS"}</definedName>
    <definedName function="false" hidden="false" name="__aaa2" vbProcedure="false">{#N/A,#N/A,TRUE,"RESUMEN ECON.";#N/A,#N/A,TRUE,"Costos de R.H.";#N/A,#N/A,TRUE,"COSTO HW";#N/A,#N/A,TRUE,"CUADROS";#N/A,#N/A,TRUE,"SCADA´s";#N/A,#N/A,TRUE,"PRECIOS EQUIPOS"}</definedName>
    <definedName function="false" hidden="false" name="__b2" vbProcedure="false">{#N/A,#N/A,FALSE,"RESUMEN ECON.";#N/A,#N/A,FALSE,"Costos de R.H.";#N/A,#N/A,FALSE,"COSTO HW";#N/A,#N/A,FALSE,"CUADROS";#N/A,#N/A,FALSE,"SCADA´s";#N/A,#N/A,FALSE,"PRECIOS EQUIPOS"}</definedName>
    <definedName function="false" hidden="false" name="__bbb1" vbProcedure="false">{#N/A,#N/A,TRUE,"RESUMEN ECON.";#N/A,#N/A,TRUE,"Costos de R.H.";#N/A,#N/A,TRUE,"COSTO HW";#N/A,#N/A,TRUE,"CUADROS";#N/A,#N/A,TRUE,"SCADA´s";#N/A,#N/A,TRUE,"PRECIOS EQUIPOS"}</definedName>
    <definedName function="false" hidden="false" name="__bbb2" vbProcedure="false">{#N/A,#N/A,TRUE,"RESUMEN ECON.";#N/A,#N/A,TRUE,"Costos de R.H.";#N/A,#N/A,TRUE,"COSTO HW";#N/A,#N/A,TRUE,"CUADROS";#N/A,#N/A,TRUE,"SCADA´s";#N/A,#N/A,TRUE,"PRECIOS EQUIPOS"}</definedName>
    <definedName function="false" hidden="false" name="__cc1" vbProcedure="false">#REF!</definedName>
    <definedName function="false" hidden="false" name="__ccc2" vbProcedure="false">{#N/A,#N/A,FALSE,"RESUMEN ECON.";#N/A,#N/A,FALSE,"Costos de R.H.";#N/A,#N/A,FALSE,"COSTO HW";#N/A,#N/A,FALSE,"CUADROS";#N/A,#N/A,FALSE,"SCADA´s";#N/A,#N/A,FALSE,"PRECIOS EQUIPOS"}</definedName>
    <definedName function="false" hidden="false" name="__d2" vbProcedure="false">{#N/A,#N/A,TRUE,"RESUMEN ECON.";#N/A,#N/A,TRUE,"Costos de R.H.";#N/A,#N/A,TRUE,"COSTO HW";#N/A,#N/A,TRUE,"CUADROS";#N/A,#N/A,TRUE,"SCADA´s";#N/A,#N/A,TRUE,"PRECIOS EQUIPOS"}</definedName>
    <definedName function="false" hidden="false" name="__ddd2" vbProcedure="false">{#N/A,#N/A,TRUE,"RESUMEN ECON.";#N/A,#N/A,TRUE,"Costos de R.H.";#N/A,#N/A,TRUE,"COSTO HW";#N/A,#N/A,TRUE,"CUADROS";#N/A,#N/A,TRUE,"SCADA´s";#N/A,#N/A,TRUE,"PRECIOS EQUIPOS"}</definedName>
    <definedName function="false" hidden="false" name="__EPC2" vbProcedure="false">{#N/A,#N/A,FALSE,"RESUMEN ECON.";#N/A,#N/A,FALSE,"Costos de R.H.";#N/A,#N/A,FALSE,"COSTO HW";#N/A,#N/A,FALSE,"CUADROS";#N/A,#N/A,FALSE,"SCADA´s";#N/A,#N/A,FALSE,"PRECIOS EQUIPOS"}</definedName>
    <definedName function="false" hidden="false" name="__FC" vbProcedure="false">#REF!</definedName>
    <definedName function="false" hidden="false" name="__FHE7" vbProcedure="false">#REF!</definedName>
    <definedName function="false" hidden="false" name="__gg2" vbProcedure="false">{#N/A,#N/A,FALSE,"RESUMEN ECON.";#N/A,#N/A,FALSE,"Costos de R.H.";#N/A,#N/A,FALSE,"COSTO HW";#N/A,#N/A,FALSE,"CUADROS";#N/A,#N/A,FALSE,"SCADA´s";#N/A,#N/A,FALSE,"PRECIOS EQUIPOS"}</definedName>
    <definedName function="false" hidden="false" name="__ggg2" vbProcedure="false">{#N/A,#N/A,TRUE,"RESUMEN ECON.";#N/A,#N/A,TRUE,"Costos de R.H.";#N/A,#N/A,TRUE,"COSTO HW";#N/A,#N/A,TRUE,"CUADROS";#N/A,#N/A,TRUE,"SCADA´s";#N/A,#N/A,TRUE,"PRECIOS EQUIPOS"}</definedName>
    <definedName function="false" hidden="false" name="__IntlFixup" vbProcedure="false">TRUE()</definedName>
    <definedName function="false" hidden="false" name="__jy5" vbProcedure="false">#REF!</definedName>
    <definedName function="false" hidden="false" name="__ooo2" vbProcedure="false">{#N/A,#N/A,FALSE,"RESUMEN ECON.";#N/A,#N/A,FALSE,"Costos de R.H.";#N/A,#N/A,FALSE,"COSTO HW";#N/A,#N/A,FALSE,"CUADROS";#N/A,#N/A,FALSE,"SCADA´s";#N/A,#N/A,FALSE,"PRECIOS EQUIPOS"}</definedName>
    <definedName function="false" hidden="false" name="__PP1" vbProcedure="false">#REF!</definedName>
    <definedName function="false" hidden="false" name="__ptg2" vbProcedure="false">{#N/A,#N/A,TRUE,"RESUMEN ECON.";#N/A,#N/A,TRUE,"Costos de R.H.";#N/A,#N/A,TRUE,"COSTO HW";#N/A,#N/A,TRUE,"CUADROS";#N/A,#N/A,TRUE,"SCADA´s";#N/A,#N/A,TRUE,"PRECIOS EQUIPOS"}</definedName>
    <definedName function="false" hidden="false" name="__qg2" vbProcedure="false">{#N/A,#N/A,FALSE,"RESUMEN ECON.";#N/A,#N/A,FALSE,"Costos de R.H.";#N/A,#N/A,FALSE,"COSTO HW";#N/A,#N/A,FALSE,"CUADROS";#N/A,#N/A,FALSE,"SCADA´s";#N/A,#N/A,FALSE,"PRECIOS EQUIPOS"}</definedName>
    <definedName function="false" hidden="false" name="__REV1" vbProcedure="false">#REF!</definedName>
    <definedName function="false" hidden="false" name="__REV11" vbProcedure="false">#REF!</definedName>
    <definedName function="false" hidden="false" name="__rft2" vbProcedure="false">{#N/A,#N/A,TRUE,"RESUMEN ECON.";#N/A,#N/A,TRUE,"Costos de R.H.";#N/A,#N/A,TRUE,"COSTO HW";#N/A,#N/A,TRUE,"CUADROS";#N/A,#N/A,TRUE,"SCADA´s";#N/A,#N/A,TRUE,"PRECIOS EQUIPOS"}</definedName>
    <definedName function="false" hidden="false" name="__rtu2" vbProcedure="false">{#N/A,#N/A,TRUE,"RESUMEN ECON.";#N/A,#N/A,TRUE,"Costos de R.H.";#N/A,#N/A,TRUE,"COSTO HW";#N/A,#N/A,TRUE,"CUADROS";#N/A,#N/A,TRUE,"SCADA´s";#N/A,#N/A,TRUE,"PRECIOS EQUIPOS"}</definedName>
    <definedName function="false" hidden="false" name="__tyl2" vbProcedure="false">#REF!</definedName>
    <definedName function="false" hidden="false" name="__ww2" vbProcedure="false">{#N/A,#N/A,TRUE,"RESUMEN ECON.";#N/A,#N/A,TRUE,"Costos de R.H.";#N/A,#N/A,TRUE,"COSTO HW";#N/A,#N/A,TRUE,"CUADROS";#N/A,#N/A,TRUE,"SCADA´s";#N/A,#N/A,TRUE,"PRECIOS EQUIPOS"}</definedName>
    <definedName function="false" hidden="false" name="__zx2" vbProcedure="false">#REF!</definedName>
    <definedName function="false" hidden="false" name="___" vbProcedure="false">#REF!</definedName>
    <definedName function="false" hidden="false" name="___a2" vbProcedure="false">{#N/A,#N/A,TRUE,"RESUMEN ECON.";#N/A,#N/A,TRUE,"Costos de R.H.";#N/A,#N/A,TRUE,"COSTO HW";#N/A,#N/A,TRUE,"CUADROS";#N/A,#N/A,TRUE,"SCADA´s";#N/A,#N/A,TRUE,"PRECIOS EQUIPOS"}</definedName>
    <definedName function="false" hidden="false" name="___aaa2" vbProcedure="false">{#N/A,#N/A,TRUE,"RESUMEN ECON.";#N/A,#N/A,TRUE,"Costos de R.H.";#N/A,#N/A,TRUE,"COSTO HW";#N/A,#N/A,TRUE,"CUADROS";#N/A,#N/A,TRUE,"SCADA´s";#N/A,#N/A,TRUE,"PRECIOS EQUIPOS"}</definedName>
    <definedName function="false" hidden="false" name="___b2" vbProcedure="false">{#N/A,#N/A,FALSE,"RESUMEN ECON.";#N/A,#N/A,FALSE,"Costos de R.H.";#N/A,#N/A,FALSE,"COSTO HW";#N/A,#N/A,FALSE,"CUADROS";#N/A,#N/A,FALSE,"SCADA´s";#N/A,#N/A,FALSE,"PRECIOS EQUIPOS"}</definedName>
    <definedName function="false" hidden="false" name="___bbb1" vbProcedure="false">{#N/A,#N/A,TRUE,"RESUMEN ECON.";#N/A,#N/A,TRUE,"Costos de R.H.";#N/A,#N/A,TRUE,"COSTO HW";#N/A,#N/A,TRUE,"CUADROS";#N/A,#N/A,TRUE,"SCADA´s";#N/A,#N/A,TRUE,"PRECIOS EQUIPOS"}</definedName>
    <definedName function="false" hidden="false" name="___bbb2" vbProcedure="false">{#N/A,#N/A,TRUE,"RESUMEN ECON.";#N/A,#N/A,TRUE,"Costos de R.H.";#N/A,#N/A,TRUE,"COSTO HW";#N/A,#N/A,TRUE,"CUADROS";#N/A,#N/A,TRUE,"SCADA´s";#N/A,#N/A,TRUE,"PRECIOS EQUIPOS"}</definedName>
    <definedName function="false" hidden="false" name="___cc1" vbProcedure="false">#REF!</definedName>
    <definedName function="false" hidden="false" name="___ccc2" vbProcedure="false">{#N/A,#N/A,FALSE,"RESUMEN ECON.";#N/A,#N/A,FALSE,"Costos de R.H.";#N/A,#N/A,FALSE,"COSTO HW";#N/A,#N/A,FALSE,"CUADROS";#N/A,#N/A,FALSE,"SCADA´s";#N/A,#N/A,FALSE,"PRECIOS EQUIPOS"}</definedName>
    <definedName function="false" hidden="false" name="___d2" vbProcedure="false">{#N/A,#N/A,TRUE,"RESUMEN ECON.";#N/A,#N/A,TRUE,"Costos de R.H.";#N/A,#N/A,TRUE,"COSTO HW";#N/A,#N/A,TRUE,"CUADROS";#N/A,#N/A,TRUE,"SCADA´s";#N/A,#N/A,TRUE,"PRECIOS EQUIPOS"}</definedName>
    <definedName function="false" hidden="false" name="___ddd2" vbProcedure="false">{#N/A,#N/A,TRUE,"RESUMEN ECON.";#N/A,#N/A,TRUE,"Costos de R.H.";#N/A,#N/A,TRUE,"COSTO HW";#N/A,#N/A,TRUE,"CUADROS";#N/A,#N/A,TRUE,"SCADA´s";#N/A,#N/A,TRUE,"PRECIOS EQUIPOS"}</definedName>
    <definedName function="false" hidden="false" name="___EPC2" vbProcedure="false">{#N/A,#N/A,FALSE,"RESUMEN ECON.";#N/A,#N/A,FALSE,"Costos de R.H.";#N/A,#N/A,FALSE,"COSTO HW";#N/A,#N/A,FALSE,"CUADROS";#N/A,#N/A,FALSE,"SCADA´s";#N/A,#N/A,FALSE,"PRECIOS EQUIPOS"}</definedName>
    <definedName function="false" hidden="false" name="___FC" vbProcedure="false">#REF!</definedName>
    <definedName function="false" hidden="false" name="___FHE7" vbProcedure="false">#REF!</definedName>
    <definedName function="false" hidden="false" name="___gg2" vbProcedure="false">{#N/A,#N/A,FALSE,"RESUMEN ECON.";#N/A,#N/A,FALSE,"Costos de R.H.";#N/A,#N/A,FALSE,"COSTO HW";#N/A,#N/A,FALSE,"CUADROS";#N/A,#N/A,FALSE,"SCADA´s";#N/A,#N/A,FALSE,"PRECIOS EQUIPOS"}</definedName>
    <definedName function="false" hidden="false" name="___ggg2" vbProcedure="false">{#N/A,#N/A,TRUE,"RESUMEN ECON.";#N/A,#N/A,TRUE,"Costos de R.H.";#N/A,#N/A,TRUE,"COSTO HW";#N/A,#N/A,TRUE,"CUADROS";#N/A,#N/A,TRUE,"SCADA´s";#N/A,#N/A,TRUE,"PRECIOS EQUIPOS"}</definedName>
    <definedName function="false" hidden="false" name="___jy5" vbProcedure="false">#REF!</definedName>
    <definedName function="false" hidden="false" name="___ooo2" vbProcedure="false">{#N/A,#N/A,FALSE,"RESUMEN ECON.";#N/A,#N/A,FALSE,"Costos de R.H.";#N/A,#N/A,FALSE,"COSTO HW";#N/A,#N/A,FALSE,"CUADROS";#N/A,#N/A,FALSE,"SCADA´s";#N/A,#N/A,FALSE,"PRECIOS EQUIPOS"}</definedName>
    <definedName function="false" hidden="false" name="___PP1" vbProcedure="false">#REF!</definedName>
    <definedName function="false" hidden="false" name="___ptg2" vbProcedure="false">{#N/A,#N/A,TRUE,"RESUMEN ECON.";#N/A,#N/A,TRUE,"Costos de R.H.";#N/A,#N/A,TRUE,"COSTO HW";#N/A,#N/A,TRUE,"CUADROS";#N/A,#N/A,TRUE,"SCADA´s";#N/A,#N/A,TRUE,"PRECIOS EQUIPOS"}</definedName>
    <definedName function="false" hidden="false" name="___qg2" vbProcedure="false">{#N/A,#N/A,FALSE,"RESUMEN ECON.";#N/A,#N/A,FALSE,"Costos de R.H.";#N/A,#N/A,FALSE,"COSTO HW";#N/A,#N/A,FALSE,"CUADROS";#N/A,#N/A,FALSE,"SCADA´s";#N/A,#N/A,FALSE,"PRECIOS EQUIPOS"}</definedName>
    <definedName function="false" hidden="false" name="___REV1" vbProcedure="false">#REF!</definedName>
    <definedName function="false" hidden="false" name="___REV11" vbProcedure="false">#REF!</definedName>
    <definedName function="false" hidden="false" name="___rft2" vbProcedure="false">{#N/A,#N/A,TRUE,"RESUMEN ECON.";#N/A,#N/A,TRUE,"Costos de R.H.";#N/A,#N/A,TRUE,"COSTO HW";#N/A,#N/A,TRUE,"CUADROS";#N/A,#N/A,TRUE,"SCADA´s";#N/A,#N/A,TRUE,"PRECIOS EQUIPOS"}</definedName>
    <definedName function="false" hidden="false" name="___rtu2" vbProcedure="false">{#N/A,#N/A,TRUE,"RESUMEN ECON.";#N/A,#N/A,TRUE,"Costos de R.H.";#N/A,#N/A,TRUE,"COSTO HW";#N/A,#N/A,TRUE,"CUADROS";#N/A,#N/A,TRUE,"SCADA´s";#N/A,#N/A,TRUE,"PRECIOS EQUIPOS"}</definedName>
    <definedName function="false" hidden="false" name="___tyl2" vbProcedure="false">#REF!</definedName>
    <definedName function="false" hidden="false" name="___ww2" vbProcedure="false">{#N/A,#N/A,TRUE,"RESUMEN ECON.";#N/A,#N/A,TRUE,"Costos de R.H.";#N/A,#N/A,TRUE,"COSTO HW";#N/A,#N/A,TRUE,"CUADROS";#N/A,#N/A,TRUE,"SCADA´s";#N/A,#N/A,TRUE,"PRECIOS EQUIPOS"}</definedName>
    <definedName function="false" hidden="false" name="___zx2" vbProcedure="false">#REF!</definedName>
    <definedName function="false" hidden="false" name="____" vbProcedure="false">#REF!</definedName>
    <definedName function="false" hidden="false" name="____bbb1" vbProcedure="false">{#N/A,#N/A,TRUE,"RESUMEN ECON.";#N/A,#N/A,TRUE,"Costos de R.H.";#N/A,#N/A,TRUE,"COSTO HW";#N/A,#N/A,TRUE,"CUADROS";#N/A,#N/A,TRUE,"SCADA´s";#N/A,#N/A,TRUE,"PRECIOS EQUIPOS"}</definedName>
    <definedName function="false" hidden="false" name="____PP1" vbProcedure="false">#REF!</definedName>
    <definedName function="false" hidden="false" name="_____a2" vbProcedure="false">{#N/A,#N/A,TRUE,"RESUMEN ECON.";#N/A,#N/A,TRUE,"Costos de R.H.";#N/A,#N/A,TRUE,"COSTO HW";#N/A,#N/A,TRUE,"CUADROS";#N/A,#N/A,TRUE,"SCADA´s";#N/A,#N/A,TRUE,"PRECIOS EQUIPOS"}</definedName>
    <definedName function="false" hidden="false" name="_____aaa2" vbProcedure="false">{#N/A,#N/A,TRUE,"RESUMEN ECON.";#N/A,#N/A,TRUE,"Costos de R.H.";#N/A,#N/A,TRUE,"COSTO HW";#N/A,#N/A,TRUE,"CUADROS";#N/A,#N/A,TRUE,"SCADA´s";#N/A,#N/A,TRUE,"PRECIOS EQUIPOS"}</definedName>
    <definedName function="false" hidden="false" name="_____b2" vbProcedure="false">{#N/A,#N/A,FALSE,"RESUMEN ECON.";#N/A,#N/A,FALSE,"Costos de R.H.";#N/A,#N/A,FALSE,"COSTO HW";#N/A,#N/A,FALSE,"CUADROS";#N/A,#N/A,FALSE,"SCADA´s";#N/A,#N/A,FALSE,"PRECIOS EQUIPOS"}</definedName>
    <definedName function="false" hidden="false" name="_____bbb2" vbProcedure="false">{#N/A,#N/A,TRUE,"RESUMEN ECON.";#N/A,#N/A,TRUE,"Costos de R.H.";#N/A,#N/A,TRUE,"COSTO HW";#N/A,#N/A,TRUE,"CUADROS";#N/A,#N/A,TRUE,"SCADA´s";#N/A,#N/A,TRUE,"PRECIOS EQUIPOS"}</definedName>
    <definedName function="false" hidden="false" name="_____ccc2" vbProcedure="false">{#N/A,#N/A,FALSE,"RESUMEN ECON.";#N/A,#N/A,FALSE,"Costos de R.H.";#N/A,#N/A,FALSE,"COSTO HW";#N/A,#N/A,FALSE,"CUADROS";#N/A,#N/A,FALSE,"SCADA´s";#N/A,#N/A,FALSE,"PRECIOS EQUIPOS"}</definedName>
    <definedName function="false" hidden="false" name="_____d2" vbProcedure="false">{#N/A,#N/A,TRUE,"RESUMEN ECON.";#N/A,#N/A,TRUE,"Costos de R.H.";#N/A,#N/A,TRUE,"COSTO HW";#N/A,#N/A,TRUE,"CUADROS";#N/A,#N/A,TRUE,"SCADA´s";#N/A,#N/A,TRUE,"PRECIOS EQUIPOS"}</definedName>
    <definedName function="false" hidden="false" name="_____ddd2" vbProcedure="false">{#N/A,#N/A,TRUE,"RESUMEN ECON.";#N/A,#N/A,TRUE,"Costos de R.H.";#N/A,#N/A,TRUE,"COSTO HW";#N/A,#N/A,TRUE,"CUADROS";#N/A,#N/A,TRUE,"SCADA´s";#N/A,#N/A,TRUE,"PRECIOS EQUIPOS"}</definedName>
    <definedName function="false" hidden="false" name="_____EPC2" vbProcedure="false">{#N/A,#N/A,FALSE,"RESUMEN ECON.";#N/A,#N/A,FALSE,"Costos de R.H.";#N/A,#N/A,FALSE,"COSTO HW";#N/A,#N/A,FALSE,"CUADROS";#N/A,#N/A,FALSE,"SCADA´s";#N/A,#N/A,FALSE,"PRECIOS EQUIPOS"}</definedName>
    <definedName function="false" hidden="false" name="_____gg2" vbProcedure="false">{#N/A,#N/A,FALSE,"RESUMEN ECON.";#N/A,#N/A,FALSE,"Costos de R.H.";#N/A,#N/A,FALSE,"COSTO HW";#N/A,#N/A,FALSE,"CUADROS";#N/A,#N/A,FALSE,"SCADA´s";#N/A,#N/A,FALSE,"PRECIOS EQUIPOS"}</definedName>
    <definedName function="false" hidden="false" name="_____ggg2" vbProcedure="false">{#N/A,#N/A,TRUE,"RESUMEN ECON.";#N/A,#N/A,TRUE,"Costos de R.H.";#N/A,#N/A,TRUE,"COSTO HW";#N/A,#N/A,TRUE,"CUADROS";#N/A,#N/A,TRUE,"SCADA´s";#N/A,#N/A,TRUE,"PRECIOS EQUIPOS"}</definedName>
    <definedName function="false" hidden="false" name="_____ooo2" vbProcedure="false">{#N/A,#N/A,FALSE,"RESUMEN ECON.";#N/A,#N/A,FALSE,"Costos de R.H.";#N/A,#N/A,FALSE,"COSTO HW";#N/A,#N/A,FALSE,"CUADROS";#N/A,#N/A,FALSE,"SCADA´s";#N/A,#N/A,FALSE,"PRECIOS EQUIPOS"}</definedName>
    <definedName function="false" hidden="false" name="_____ptg2" vbProcedure="false">{#N/A,#N/A,TRUE,"RESUMEN ECON.";#N/A,#N/A,TRUE,"Costos de R.H.";#N/A,#N/A,TRUE,"COSTO HW";#N/A,#N/A,TRUE,"CUADROS";#N/A,#N/A,TRUE,"SCADA´s";#N/A,#N/A,TRUE,"PRECIOS EQUIPOS"}</definedName>
    <definedName function="false" hidden="false" name="_____qg2" vbProcedure="false">{#N/A,#N/A,FALSE,"RESUMEN ECON.";#N/A,#N/A,FALSE,"Costos de R.H.";#N/A,#N/A,FALSE,"COSTO HW";#N/A,#N/A,FALSE,"CUADROS";#N/A,#N/A,FALSE,"SCADA´s";#N/A,#N/A,FALSE,"PRECIOS EQUIPOS"}</definedName>
    <definedName function="false" hidden="false" name="_____rft2" vbProcedure="false">{#N/A,#N/A,TRUE,"RESUMEN ECON.";#N/A,#N/A,TRUE,"Costos de R.H.";#N/A,#N/A,TRUE,"COSTO HW";#N/A,#N/A,TRUE,"CUADROS";#N/A,#N/A,TRUE,"SCADA´s";#N/A,#N/A,TRUE,"PRECIOS EQUIPOS"}</definedName>
    <definedName function="false" hidden="false" name="_____rtu2" vbProcedure="false">{#N/A,#N/A,TRUE,"RESUMEN ECON.";#N/A,#N/A,TRUE,"Costos de R.H.";#N/A,#N/A,TRUE,"COSTO HW";#N/A,#N/A,TRUE,"CUADROS";#N/A,#N/A,TRUE,"SCADA´s";#N/A,#N/A,TRUE,"PRECIOS EQUIPOS"}</definedName>
    <definedName function="false" hidden="false" name="_____ww2" vbProcedure="false">{#N/A,#N/A,TRUE,"RESUMEN ECON.";#N/A,#N/A,TRUE,"Costos de R.H.";#N/A,#N/A,TRUE,"COSTO HW";#N/A,#N/A,TRUE,"CUADROS";#N/A,#N/A,TRUE,"SCADA´s";#N/A,#N/A,TRUE,"PRECIOS EQUIPOS"}</definedName>
    <definedName function="false" hidden="false" name="______bbb1" vbProcedure="false">{#N/A,#N/A,TRUE,"RESUMEN ECON.";#N/A,#N/A,TRUE,"Costos de R.H.";#N/A,#N/A,TRUE,"COSTO HW";#N/A,#N/A,TRUE,"CUADROS";#N/A,#N/A,TRUE,"SCADA´s";#N/A,#N/A,TRUE,"PRECIOS EQUIPOS"}</definedName>
    <definedName function="false" hidden="false" localSheetId="3" name="A" vbProcedure="false">{#N/A,#N/A,FALSE,"masez (10)";#N/A,#N/A,FALSE,"masez (7)";#N/A,#N/A,FALSE,"masez (6)";#N/A,#N/A,FALSE,"masez (5)";#N/A,#N/A,FALSE,"masez (4)";#N/A,#N/A,FALSE,"masez (3)";#N/A,#N/A,FALSE,"masez (2)";#N/A,#N/A,FALSE,"GME";#N/A,#N/A,FALSE,"masez"}</definedName>
    <definedName function="false" hidden="false" localSheetId="3" name="A02M310" vbProcedure="false">{"DETALLE_1996",#N/A,FALSE,"flujo";"DETALLE_1997",#N/A,FALSE,"flujo";"GASTOS_INCURRIDOS_1996",#N/A,FALSE,"flujo";"GASTOS_PROGRAMADOS_PARA_1997",#N/A,FALSE,"flujo";#N/A,#N/A,FALSE,"comparat";#N/A,#N/A,FALSE,"costos";#N/A,#N/A,FALSE,"proyctrol"}</definedName>
    <definedName function="false" hidden="false" localSheetId="3" name="aa" vbProcedure="false">{#N/A,#N/A,FALSE,"masez (10)";#N/A,#N/A,FALSE,"masez (7)";#N/A,#N/A,FALSE,"masez (6)";#N/A,#N/A,FALSE,"masez (5)";#N/A,#N/A,FALSE,"masez (4)";#N/A,#N/A,FALSE,"masez (3)";#N/A,#N/A,FALSE,"masez (2)";#N/A,#N/A,FALSE,"GME";#N/A,#N/A,FALSE,"masez"}</definedName>
    <definedName function="false" hidden="false" localSheetId="3" name="aaa" vbProcedure="false">{#N/A,#N/A,TRUE,"RESUMEN ECON.";#N/A,#N/A,TRUE,"Costos de R.H.";#N/A,#N/A,TRUE,"COSTO HW";#N/A,#N/A,TRUE,"CUADROS";#N/A,#N/A,TRUE,"SCADA´s";#N/A,#N/A,TRUE,"PRECIOS EQUIPOS"}</definedName>
    <definedName function="false" hidden="false" localSheetId="3" name="aaaa" vbProcedure="false">{"Informe 1_Consolidado",#N/A,FALSE,"Cons.";"Informe 1_Tunel",#N/A,FALSE,"Cons.";"Informe 1_Melip",#N/A,FALSE,"Cons.";"Informe 1_Guall",#N/A,FALSE,"Cons.";"Informe 1_Sara L",#N/A,FALSE,"Cons.";"Informe 1_Quellon",#N/A,FALSE,"Cons.";"Informe 1_Biolix",#N/A,FALSE,"Cons.";"Informe 1_Oficina",#N/A,FALSE,"Cons.";"Informe 1_Consorcio",#N/A,FALSE,"Cons."}</definedName>
    <definedName function="false" hidden="false" localSheetId="3" name="aaaaa" vbProcedure="false">{#N/A,#N/A,FALSE,"masez (10)";#N/A,#N/A,FALSE,"masez (7)";#N/A,#N/A,FALSE,"masez (6)";#N/A,#N/A,FALSE,"masez (5)";#N/A,#N/A,FALSE,"masez (4)";#N/A,#N/A,FALSE,"masez (3)";#N/A,#N/A,FALSE,"masez (2)";#N/A,#N/A,FALSE,"GME";#N/A,#N/A,FALSE,"masez"}</definedName>
    <definedName function="false" hidden="false" localSheetId="3" name="AAAAAA" vbProcedure="false">{"DETALLE_1996",#N/A,FALSE,"flujo";"DETALLE_1997",#N/A,FALSE,"flujo";"GASTOS_INCURRIDOS_1996",#N/A,FALSE,"flujo";"GASTOS_PROGRAMADOS_PARA_1997",#N/A,FALSE,"flujo";#N/A,#N/A,FALSE,"comparat";#N/A,#N/A,FALSE,"costos";#N/A,#N/A,FALSE,"proyctrol"}</definedName>
    <definedName function="false" hidden="false" localSheetId="3" name="ab" vbProcedure="false">{#N/A,#N/A,FALSE,"masez (10)";#N/A,#N/A,FALSE,"masez (7)";#N/A,#N/A,FALSE,"masez (6)";#N/A,#N/A,FALSE,"masez (5)";#N/A,#N/A,FALSE,"masez (4)";#N/A,#N/A,FALSE,"masez (3)";#N/A,#N/A,FALSE,"masez (2)";#N/A,#N/A,FALSE,"GME";#N/A,#N/A,FALSE,"masez"}</definedName>
    <definedName function="false" hidden="false" localSheetId="3" name="ad" vbProcedure="false">{"Sens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function="false" hidden="false" localSheetId="3" name="adsda" vbProcedure="false">{#N/A,#N/A,FALSE,"masez (10)";#N/A,#N/A,FALSE,"masez (7)";#N/A,#N/A,FALSE,"masez (6)";#N/A,#N/A,FALSE,"masez (5)";#N/A,#N/A,FALSE,"masez (4)";#N/A,#N/A,FALSE,"masez (3)";#N/A,#N/A,FALSE,"masez (2)";#N/A,#N/A,FALSE,"GME";#N/A,#N/A,FALSE,"masez"}</definedName>
    <definedName function="false" hidden="false" localSheetId="3" name="aec" vbProcedure="false">{#N/A,#N/A,FALSE,"summary";#N/A,#N/A,FALSE,"SumGraph"}</definedName>
    <definedName function="false" hidden="false" localSheetId="3" name="ag" vbProcedure="false">{#N/A,#N/A,FALSE,"PXP-TOTAL Modif";"vis2",#N/A,FALSE,"PXP-AÑO";"Vis1",#N/A,FALSE,"PXP-AÑO"}</definedName>
    <definedName function="false" hidden="false" localSheetId="3" name="agua" vbProcedure="false">{"Sens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function="false" hidden="false" localSheetId="3" name="alex" vbProcedure="false">{"Sens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function="false" hidden="false" localSheetId="3" name="Alt.2" vbProcedure="false">{#N/A,#N/A,FALSE,"masez (10)";#N/A,#N/A,FALSE,"masez (7)";#N/A,#N/A,FALSE,"masez (6)";#N/A,#N/A,FALSE,"masez (5)";#N/A,#N/A,FALSE,"masez (4)";#N/A,#N/A,FALSE,"masez (3)";#N/A,#N/A,FALSE,"masez (2)";#N/A,#N/A,FALSE,"GME";#N/A,#N/A,FALSE,"masez"}</definedName>
    <definedName function="false" hidden="false" localSheetId="3" name="asa" vbProcedure="false">{"Sens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function="false" hidden="false" localSheetId="3" name="b" vbProcedure="false">{#N/A,#N/A,FALSE,"RESUMEN ECON.";#N/A,#N/A,FALSE,"Costos de R.H.";#N/A,#N/A,FALSE,"COSTO HW";#N/A,#N/A,FALSE,"CUADROS";#N/A,#N/A,FALSE,"SCADA´s";#N/A,#N/A,FALSE,"PRECIOS EQUIPOS"}</definedName>
    <definedName function="false" hidden="false" localSheetId="3" name="barrera" vbProcedure="false">{#N/A,#N/A,FALSE,"RESUMEN ECON.";#N/A,#N/A,FALSE,"Costos de R.H.";#N/A,#N/A,FALSE,"COSTO HW";#N/A,#N/A,FALSE,"CUADROS";#N/A,#N/A,FALSE,"SCADA´s";#N/A,#N/A,FALSE,"PRECIOS EQUIPOS"}</definedName>
    <definedName function="false" hidden="false" localSheetId="3" name="barrera1" vbProcedure="false">{#N/A,#N/A,FALSE,"RESUMEN ECON.";#N/A,#N/A,FALSE,"Costos de R.H.";#N/A,#N/A,FALSE,"COSTO HW";#N/A,#N/A,FALSE,"CUADROS";#N/A,#N/A,FALSE,"SCADA´s";#N/A,#N/A,FALSE,"PRECIOS EQUIPOS"}</definedName>
    <definedName function="false" hidden="false" localSheetId="3" name="barrera2" vbProcedure="false">{#N/A,#N/A,FALSE,"RESUMEN ECON.";#N/A,#N/A,FALSE,"Costos de R.H.";#N/A,#N/A,FALSE,"COSTO HW";#N/A,#N/A,FALSE,"CUADROS";#N/A,#N/A,FALSE,"SCADA´s";#N/A,#N/A,FALSE,"PRECIOS EQUIPOS"}</definedName>
    <definedName function="false" hidden="false" localSheetId="3" name="BBB" vbProcedure="false">{"Informe 1_Consolidado",#N/A,FALSE,"Cons.";"Informe 1_Tunel",#N/A,FALSE,"Cons.";"Informe 1_Melip",#N/A,FALSE,"Cons.";"Informe 1_Guall",#N/A,FALSE,"Cons.";"Informe 1_Sara L",#N/A,FALSE,"Cons.";"Informe 1_Quellon",#N/A,FALSE,"Cons.";"Informe 1_Biolix",#N/A,FALSE,"Cons.";"Informe 1_Oficina",#N/A,FALSE,"Cons.";"Informe 1_Consorcio",#N/A,FALSE,"Cons."}</definedName>
    <definedName function="false" hidden="false" localSheetId="3" name="BBBB" vbProcedure="false">{"Informe 1_Consolidado",#N/A,FALSE,"Cons.";"Informe 1_Tunel",#N/A,FALSE,"Cons.";"Informe 1_Melip",#N/A,FALSE,"Cons.";"Informe 1_Guall",#N/A,FALSE,"Cons.";"Informe 1_Sara L",#N/A,FALSE,"Cons.";"Informe 1_Quellon",#N/A,FALSE,"Cons.";"Informe 1_Biolix",#N/A,FALSE,"Cons.";"Informe 1_Oficina",#N/A,FALSE,"Cons.";"Informe 1_Consorcio",#N/A,FALSE,"Cons."}</definedName>
    <definedName function="false" hidden="false" localSheetId="3" name="bghh" vbProcedure="false">{"Informe 1_Consolidado",#N/A,FALSE,"Cons.";"Informe 1_Tunel",#N/A,FALSE,"Cons.";"Informe 1_Melip",#N/A,FALSE,"Cons.";"Informe 1_Guall",#N/A,FALSE,"Cons.";"Informe 1_Sara L",#N/A,FALSE,"Cons.";"Informe 1_Quellon",#N/A,FALSE,"Cons.";"Informe 1_Biolix",#N/A,FALSE,"Cons.";"Informe 1_Oficina",#N/A,FALSE,"Cons.";"Informe 1_Consorcio",#N/A,FALSE,"Cons."}</definedName>
    <definedName function="false" hidden="false" localSheetId="3" name="Boolean_Type" vbProcedure="false">#REF!</definedName>
    <definedName function="false" hidden="false" localSheetId="3" name="capamc2" vbProcedure="false">#REF!</definedName>
    <definedName function="false" hidden="false" localSheetId="3" name="capamc3" vbProcedure="false">#REF!</definedName>
    <definedName function="false" hidden="false" localSheetId="3" name="Capital" vbProcedure="false">{"CR1",#N/A,TRUE,"Cost &amp; Revenue";"CR2",#N/A,TRUE,"Cost &amp; Revenue";"CR3",#N/A,TRUE,"Cost &amp; Revenue"}</definedName>
    <definedName function="false" hidden="false" localSheetId="3" name="carta" vbProcedure="false">{"DETALLE_1996",#N/A,FALSE,"flujo";"DETALLE_1997",#N/A,FALSE,"flujo";"GASTOS_INCURRIDOS_1996",#N/A,FALSE,"flujo";"GASTOS_PROGRAMADOS_PARA_1997",#N/A,FALSE,"flujo";#N/A,#N/A,FALSE,"comparat";#N/A,#N/A,FALSE,"costos";#N/A,#N/A,FALSE,"proyctrol"}</definedName>
    <definedName function="false" hidden="false" localSheetId="3" name="cartas" vbProcedure="false">{"DETALLE_1996",#N/A,FALSE,"flujo";"DETALLE_1997",#N/A,FALSE,"flujo";"GASTOS_INCURRIDOS_1996",#N/A,FALSE,"flujo";"GASTOS_PROGRAMADOS_PARA_1997",#N/A,FALSE,"flujo";#N/A,#N/A,FALSE,"comparat";#N/A,#N/A,FALSE,"costos";#N/A,#N/A,FALSE,"proyctrol"}</definedName>
    <definedName function="false" hidden="false" localSheetId="3" name="casa" vbProcedure="false">{#N/A,#N/A,FALSE,"masez (10)";#N/A,#N/A,FALSE,"masez (7)";#N/A,#N/A,FALSE,"masez (6)";#N/A,#N/A,FALSE,"masez (5)";#N/A,#N/A,FALSE,"masez (4)";#N/A,#N/A,FALSE,"masez (3)";#N/A,#N/A,FALSE,"masez (2)";#N/A,#N/A,FALSE,"GME";#N/A,#N/A,FALSE,"masez"}</definedName>
    <definedName function="false" hidden="false" localSheetId="3" name="casa1" vbProcedure="false">{#N/A,#N/A,FALSE,"masez (10)";#N/A,#N/A,FALSE,"masez (7)";#N/A,#N/A,FALSE,"masez (6)";#N/A,#N/A,FALSE,"masez (5)";#N/A,#N/A,FALSE,"masez (4)";#N/A,#N/A,FALSE,"masez (3)";#N/A,#N/A,FALSE,"masez (2)";#N/A,#N/A,FALSE,"GME";#N/A,#N/A,FALSE,"masez"}</definedName>
    <definedName function="false" hidden="false" localSheetId="3" name="Category_Column" vbProcedure="false">#REF!</definedName>
    <definedName function="false" hidden="false" localSheetId="3" name="ccc" vbProcedure="false">{#N/A,#N/A,FALSE,"masez (10)";#N/A,#N/A,FALSE,"masez (7)";#N/A,#N/A,FALSE,"masez (6)";#N/A,#N/A,FALSE,"masez (5)";#N/A,#N/A,FALSE,"masez (4)";#N/A,#N/A,FALSE,"masez (3)";#N/A,#N/A,FALSE,"masez (2)";#N/A,#N/A,FALSE,"GME";#N/A,#N/A,FALSE,"masez"}</definedName>
    <definedName function="false" hidden="false" localSheetId="3" name="Changed_Column" vbProcedure="false">#REF!</definedName>
    <definedName function="false" hidden="false" localSheetId="3" name="CHSFH" vbProcedure="false">{#N/A,#N/A,FALSE,"masez (10)";#N/A,#N/A,FALSE,"masez (7)";#N/A,#N/A,FALSE,"masez (6)";#N/A,#N/A,FALSE,"masez (5)";#N/A,#N/A,FALSE,"masez (4)";#N/A,#N/A,FALSE,"masez (3)";#N/A,#N/A,FALSE,"masez (2)";#N/A,#N/A,FALSE,"GME";#N/A,#N/A,FALSE,"masez"}</definedName>
    <definedName function="false" hidden="false" localSheetId="3" name="COASIN" vbProcedure="false">{#N/A,#N/A,FALSE,"Graficos"}</definedName>
    <definedName function="false" hidden="false" localSheetId="3" name="confmc" vbProcedure="false">#REF!</definedName>
    <definedName function="false" hidden="false" localSheetId="3" name="conftc" vbProcedure="false">#REF!</definedName>
    <definedName function="false" hidden="false" localSheetId="3" name="conftg" vbProcedure="false">#REF!</definedName>
    <definedName function="false" hidden="false" localSheetId="3" name="CONSTRUCCION" vbProcedure="false">{#N/A,#N/A,FALSE,"masez (10)";#N/A,#N/A,FALSE,"masez (7)";#N/A,#N/A,FALSE,"masez (6)";#N/A,#N/A,FALSE,"masez (5)";#N/A,#N/A,FALSE,"masez (4)";#N/A,#N/A,FALSE,"masez (3)";#N/A,#N/A,FALSE,"masez (2)";#N/A,#N/A,FALSE,"GME";#N/A,#N/A,FALSE,"masez"}</definedName>
    <definedName function="false" hidden="false" localSheetId="3" name="control" vbProcedure="false">{#N/A,#N/A,FALSE,"Graficos"}</definedName>
    <definedName function="false" hidden="false" localSheetId="3" name="copin" vbProcedure="false">{#N/A,#N/A,TRUE,"RESUMEN ECON.";#N/A,#N/A,TRUE,"Costos de R.H.";#N/A,#N/A,TRUE,"COSTO HW";#N/A,#N/A,TRUE,"CUADROS";#N/A,#N/A,TRUE,"SCADA´s";#N/A,#N/A,TRUE,"PRECIOS EQUIPOS"}</definedName>
    <definedName function="false" hidden="false" localSheetId="3" name="copin2" vbProcedure="false">{#N/A,#N/A,TRUE,"RESUMEN ECON.";#N/A,#N/A,TRUE,"Costos de R.H.";#N/A,#N/A,TRUE,"COSTO HW";#N/A,#N/A,TRUE,"CUADROS";#N/A,#N/A,TRUE,"SCADA´s";#N/A,#N/A,TRUE,"PRECIOS EQUIPOS"}</definedName>
    <definedName function="false" hidden="false" localSheetId="3" name="copon" vbProcedure="false">{#N/A,#N/A,FALSE,"RESUMEN ECON.";#N/A,#N/A,FALSE,"Costos de R.H.";#N/A,#N/A,FALSE,"COSTO HW";#N/A,#N/A,FALSE,"CUADROS";#N/A,#N/A,FALSE,"SCADA´s";#N/A,#N/A,FALSE,"PRECIOS EQUIPOS"}</definedName>
    <definedName function="false" hidden="false" localSheetId="3" name="copon2" vbProcedure="false">{#N/A,#N/A,FALSE,"RESUMEN ECON.";#N/A,#N/A,FALSE,"Costos de R.H.";#N/A,#N/A,FALSE,"COSTO HW";#N/A,#N/A,FALSE,"CUADROS";#N/A,#N/A,FALSE,"SCADA´s";#N/A,#N/A,FALSE,"PRECIOS EQUIPOS"}</definedName>
    <definedName function="false" hidden="false" localSheetId="3" name="cosots" vbProcedure="false">{"Graf_Carga Trab",#N/A,FALSE,"Grafi_Carga Trab";"Graf_Venta Flujo",#N/A,FALSE,"Grafi_Carga Trab"}</definedName>
    <definedName function="false" hidden="false" localSheetId="3" name="Costes" vbProcedure="false">{#N/A,#N/A,TRUE,"RESUMEN ECON.";#N/A,#N/A,TRUE,"Costos de R.H.";#N/A,#N/A,TRUE,"COSTO HW";#N/A,#N/A,TRUE,"CUADROS";#N/A,#N/A,TRUE,"SCADA´s";#N/A,#N/A,TRUE,"PRECIOS EQUIPOS"}</definedName>
    <definedName function="false" hidden="false" localSheetId="3" name="Costes2" vbProcedure="false">{#N/A,#N/A,TRUE,"RESUMEN ECON.";#N/A,#N/A,TRUE,"Costos de R.H.";#N/A,#N/A,TRUE,"COSTO HW";#N/A,#N/A,TRUE,"CUADROS";#N/A,#N/A,TRUE,"SCADA´s";#N/A,#N/A,TRUE,"PRECIOS EQUIPOS"}</definedName>
    <definedName function="false" hidden="false" localSheetId="3" name="costos1" vbProcedure="false">{"DETALLE_1996",#N/A,FALSE,"flujo";"DETALLE_1997",#N/A,FALSE,"flujo";"GASTOS_INCURRIDOS_1996",#N/A,FALSE,"flujo";"GASTOS_PROGRAMADOS_PARA_1997",#N/A,FALSE,"flujo";#N/A,#N/A,FALSE,"comparat";#N/A,#N/A,FALSE,"costos";#N/A,#N/A,FALSE,"proyctrol"}</definedName>
    <definedName function="false" hidden="false" localSheetId="3" name="costos2" vbProcedure="false">{"DETALLE_1996",#N/A,FALSE,"flujo";"DETALLE_1997",#N/A,FALSE,"flujo";"GASTOS_INCURRIDOS_1996",#N/A,FALSE,"flujo";"GASTOS_PROGRAMADOS_PARA_1997",#N/A,FALSE,"flujo";#N/A,#N/A,FALSE,"comparat";#N/A,#N/A,FALSE,"costos";#N/A,#N/A,FALSE,"proyctrol"}</definedName>
    <definedName function="false" hidden="false" localSheetId="3" name="cub" vbProcedure="false">{#N/A,#N/A,FALSE,"RESUMEN";#N/A,#N/A,FALSE,"GG-GI";#N/A,#N/A,FALSE,"AMB";#N/A,#N/A,FALSE,"EyR";#N/A,#N/A,FALSE,"UCP";#N/A,#N/A,FALSE,"IND";#N/A,#N/A,FALSE,"LR";#N/A,#N/A,FALSE,"PRV";#N/A,#N/A,FALSE,"TÚNELES";#N/A,#N/A,FALSE,"IDT";#N/A,#N/A,FALSE,"ING"}</definedName>
    <definedName function="false" hidden="false" localSheetId="3" name="Currency_Ceiling" vbProcedure="false">#REF!</definedName>
    <definedName function="false" hidden="false" localSheetId="3" name="d" vbProcedure="false">{"Informe 2_Consolidado",#N/A,FALSE,"Cons.";"Informe 2_Tunel",#N/A,FALSE,"Cons.";"Informe 2_Melip",#N/A,FALSE,"Cons.";"Informe 2_Guall",#N/A,FALSE,"Cons.";"Informe 2_Sara L",#N/A,FALSE,"Cons.";"Informe 2_Quellon",#N/A,FALSE,"Cons.";"Informe 2_Biolix",#N/A,FALSE,"Cons.";"Informe 2_Oficina",#N/A,FALSE,"Cons.";"Informe 2_Consorcio",#N/A,FALSE,"Cons."}</definedName>
    <definedName function="false" hidden="false" localSheetId="3" name="dad" vbProcedure="false">{#N/A,#N/A,FALSE,"Total_OC015";#N/A,#N/A,FALSE,"ADMIN";#N/A,#N/A,FALSE,"PROCES";#N/A,#N/A,FALSE,"mecan";#N/A,#N/A,FALSE,"civil";#N/A,#N/A,FALSE,"CAÑER";#N/A,#N/A,FALSE,"ELEC";#N/A,#N/A,FALSE,"INSTR"}</definedName>
    <definedName function="false" hidden="false" localSheetId="3" name="dani" vbProcedure="false">{#N/A,#N/A,FALSE,"RESUMEN ECON.";#N/A,#N/A,FALSE,"Costos de R.H.";#N/A,#N/A,FALSE,"COSTO HW";#N/A,#N/A,FALSE,"CUADROS";#N/A,#N/A,FALSE,"SCADA´s";#N/A,#N/A,FALSE,"PRECIOS EQUIPOS"}</definedName>
    <definedName function="false" hidden="false" localSheetId="3" name="DD" vbProcedure="false">{"Informe 2_Consolidado",#N/A,FALSE,"Cons.";"Informe 2_Tunel",#N/A,FALSE,"Cons.";"Informe 2_Melip",#N/A,FALSE,"Cons.";"Informe 2_Guall",#N/A,FALSE,"Cons.";"Informe 2_Sara L",#N/A,FALSE,"Cons.";"Informe 2_Quellon",#N/A,FALSE,"Cons.";"Informe 2_Biolix",#N/A,FALSE,"Cons.";"Informe 2_Oficina",#N/A,FALSE,"Cons.";"Informe 2_Consorcio",#N/A,FALSE,"Cons."}</definedName>
    <definedName function="false" hidden="false" localSheetId="3" name="DDD" vbProcedure="false">{#N/A,#N/A,FALSE,"summary";#N/A,#N/A,FALSE,"SumGraph"}</definedName>
    <definedName function="false" hidden="false" localSheetId="3" name="ddddd" vbProcedure="false">{"Informe 1_Consolidado",#N/A,FALSE,"Cons.";"Informe 1_Tunel",#N/A,FALSE,"Cons.";"Informe 1_Melip",#N/A,FALSE,"Cons.";"Informe 1_Guall",#N/A,FALSE,"Cons.";"Informe 1_Sara L",#N/A,FALSE,"Cons.";"Informe 1_Quellon",#N/A,FALSE,"Cons.";"Informe 1_Biolix",#N/A,FALSE,"Cons.";"Informe 1_Oficina",#N/A,FALSE,"Cons.";"Informe 1_Consorcio",#N/A,FALSE,"Cons."}</definedName>
    <definedName function="false" hidden="false" localSheetId="3" name="Depr." vbProcedure="false">{"CR1",#N/A,TRUE,"Cost &amp; Revenue";"CR2",#N/A,TRUE,"Cost &amp; Revenue";"CR3",#N/A,TRUE,"Cost &amp; Revenue"}</definedName>
    <definedName function="false" hidden="false" localSheetId="3" name="des" vbProcedure="false">{"DETALLE_1996",#N/A,FALSE,"flujo";"DETALLE_1997",#N/A,FALSE,"flujo";"GASTOS_INCURRIDOS_1996",#N/A,FALSE,"flujo";"GASTOS_PROGRAMADOS_PARA_1997",#N/A,FALSE,"flujo";#N/A,#N/A,FALSE,"comparat";#N/A,#N/A,FALSE,"costos";#N/A,#N/A,FALSE,"proyctrol"}</definedName>
    <definedName function="false" hidden="false" localSheetId="3" name="DESARROLLOSRIODELMEDIO" vbProcedure="false">{#N/A,#N/A,FALSE,"summary";#N/A,#N/A,FALSE,"SumGraph"}</definedName>
    <definedName function="false" hidden="false" localSheetId="3" name="Description_Column" vbProcedure="false">#REF!</definedName>
    <definedName function="false" hidden="false" localSheetId="3" name="dffg" vbProcedure="false">{#N/A,#N/A,TRUE,"RESUMEN ECON.";#N/A,#N/A,TRUE,"Costos de R.H.";#N/A,#N/A,TRUE,"COSTO HW";#N/A,#N/A,TRUE,"CUADROS";#N/A,#N/A,TRUE,"SCADA´s";#N/A,#N/A,TRUE,"PRECIOS EQUIPOS"}</definedName>
    <definedName function="false" hidden="false" localSheetId="3" name="dispmc" vbProcedure="false">#REF!</definedName>
    <definedName function="false" hidden="false" localSheetId="3" name="disptc" vbProcedure="false">#REF!</definedName>
    <definedName function="false" hidden="false" localSheetId="3" name="disptg" vbProcedure="false">#REF!</definedName>
    <definedName function="false" hidden="false" localSheetId="3" name="ds" vbProcedure="false">{#N/A,#N/A,FALSE,"masez (10)";#N/A,#N/A,FALSE,"masez (7)";#N/A,#N/A,FALSE,"masez (6)";#N/A,#N/A,FALSE,"masez (5)";#N/A,#N/A,FALSE,"masez (4)";#N/A,#N/A,FALSE,"masez (3)";#N/A,#N/A,FALSE,"masez (2)";#N/A,#N/A,FALSE,"GME";#N/A,#N/A,FALSE,"masez"}</definedName>
    <definedName function="false" hidden="false" localSheetId="3" name="ed" vbProcedure="false">{"DETALLE_1996",#N/A,FALSE,"flujo";"DETALLE_1997",#N/A,FALSE,"flujo";"GASTOS_INCURRIDOS_1996",#N/A,FALSE,"flujo";"GASTOS_PROGRAMADOS_PARA_1997",#N/A,FALSE,"flujo";#N/A,#N/A,FALSE,"comparat";#N/A,#N/A,FALSE,"costos";#N/A,#N/A,FALSE,"proyctrol"}</definedName>
    <definedName function="false" hidden="false" localSheetId="3" name="edr" vbProcedure="false">{"DETALLE_1996",#N/A,FALSE,"flujo";"DETALLE_1997",#N/A,FALSE,"flujo";"GASTOS_INCURRIDOS_1996",#N/A,FALSE,"flujo";"GASTOS_PROGRAMADOS_PARA_1997",#N/A,FALSE,"flujo";#N/A,#N/A,FALSE,"comparat";#N/A,#N/A,FALSE,"costos";#N/A,#N/A,FALSE,"proyctrol"}</definedName>
    <definedName function="false" hidden="false" localSheetId="3" name="ee" vbProcedure="false">{"Graf_Carga Trab",#N/A,FALSE,"Grafi_Carga Trab";"Graf_Venta Flujo",#N/A,FALSE,"Grafi_Carga Trab"}</definedName>
    <definedName function="false" hidden="false" localSheetId="3" name="eea" vbProcedure="false">{#N/A,#N/A,FALSE,"masez (10)";#N/A,#N/A,FALSE,"masez (7)";#N/A,#N/A,FALSE,"masez (6)";#N/A,#N/A,FALSE,"masez (5)";#N/A,#N/A,FALSE,"masez (4)";#N/A,#N/A,FALSE,"masez (3)";#N/A,#N/A,FALSE,"masez (2)";#N/A,#N/A,FALSE,"GME";#N/A,#N/A,FALSE,"masez"}</definedName>
    <definedName function="false" hidden="false" localSheetId="3" name="eee" vbProcedure="false">{#N/A,#N/A,FALSE,"masez (10)";#N/A,#N/A,FALSE,"masez (7)";#N/A,#N/A,FALSE,"masez (6)";#N/A,#N/A,FALSE,"masez (5)";#N/A,#N/A,FALSE,"masez (4)";#N/A,#N/A,FALSE,"masez (3)";#N/A,#N/A,FALSE,"masez (2)";#N/A,#N/A,FALSE,"GME";#N/A,#N/A,FALSE,"masez"}</definedName>
    <definedName function="false" hidden="false" localSheetId="3" name="eeee" vbProcedure="false">{#N/A,#N/A,FALSE,"masez (10)";#N/A,#N/A,FALSE,"masez (7)";#N/A,#N/A,FALSE,"masez (6)";#N/A,#N/A,FALSE,"masez (5)";#N/A,#N/A,FALSE,"masez (4)";#N/A,#N/A,FALSE,"masez (3)";#N/A,#N/A,FALSE,"masez (2)";#N/A,#N/A,FALSE,"GME";#N/A,#N/A,FALSE,"masez"}</definedName>
    <definedName function="false" hidden="false" localSheetId="3" name="eeeeeeeeeeeeee" vbProcedure="false">{#N/A,#N/A,FALSE,"RESUMEN ECON.";#N/A,#N/A,FALSE,"Costos de R.H.";#N/A,#N/A,FALSE,"COSTO HW";#N/A,#N/A,FALSE,"CUADROS";#N/A,#N/A,FALSE,"SCADA´s";#N/A,#N/A,FALSE,"PRECIOS EQUIPOS"}</definedName>
    <definedName function="false" hidden="false" localSheetId="3" name="ees" vbProcedure="false">{#N/A,#N/A,FALSE,"masez (10)";#N/A,#N/A,FALSE,"masez (7)";#N/A,#N/A,FALSE,"masez (6)";#N/A,#N/A,FALSE,"masez (5)";#N/A,#N/A,FALSE,"masez (4)";#N/A,#N/A,FALSE,"masez (3)";#N/A,#N/A,FALSE,"masez (2)";#N/A,#N/A,FALSE,"GME";#N/A,#N/A,FALSE,"masez"}</definedName>
    <definedName function="false" hidden="false" localSheetId="3" name="Effective_Date" vbProcedure="false">#REF!</definedName>
    <definedName function="false" hidden="false" localSheetId="3" name="efwerf" vbProcedure="false">{#N/A,#N/A,FALSE,"Graficos"}</definedName>
    <definedName function="false" hidden="false" localSheetId="3" name="efy" vbProcedure="false">{"DETALLE_1996",#N/A,FALSE,"flujo";"DETALLE_1997",#N/A,FALSE,"flujo";"GASTOS_INCURRIDOS_1996",#N/A,FALSE,"flujo";"GASTOS_PROGRAMADOS_PARA_1997",#N/A,FALSE,"flujo";#N/A,#N/A,FALSE,"comparat";#N/A,#N/A,FALSE,"costos";#N/A,#N/A,FALSE,"proyctrol"}</definedName>
    <definedName function="false" hidden="false" localSheetId="3" name="EPC" vbProcedure="false">{#N/A,#N/A,FALSE,"RESUMEN ECON.";#N/A,#N/A,FALSE,"Costos de R.H.";#N/A,#N/A,FALSE,"COSTO HW";#N/A,#N/A,FALSE,"CUADROS";#N/A,#N/A,FALSE,"SCADA´s";#N/A,#N/A,FALSE,"PRECIOS EQUIPOS"}</definedName>
    <definedName function="false" hidden="false" localSheetId="3" name="EQ" vbProcedure="false">#REF!</definedName>
    <definedName function="false" hidden="false" localSheetId="3" name="EQUI" vbProcedure="false">{"'INDICE'!$A$1:$K$78"}</definedName>
    <definedName function="false" hidden="false" localSheetId="3" name="er" vbProcedure="false">{#N/A,#N/A,FALSE,"masez (10)";#N/A,#N/A,FALSE,"masez (7)";#N/A,#N/A,FALSE,"masez (6)";#N/A,#N/A,FALSE,"masez (5)";#N/A,#N/A,FALSE,"masez (4)";#N/A,#N/A,FALSE,"masez (3)";#N/A,#N/A,FALSE,"masez (2)";#N/A,#N/A,FALSE,"GME";#N/A,#N/A,FALSE,"masez"}</definedName>
    <definedName function="false" hidden="false" localSheetId="3" name="erd" vbProcedure="false">{#N/A,#N/A,FALSE,"IC_Global";#N/A,#N/A,FALSE,"IC_Global (98-f)";#N/A,#N/A,FALSE,"Inc";#N/A,#N/A,FALSE,"CAMBIOS (2)";#N/A,#N/A,FALSE,"EXPL Inc.";#N/A,#N/A,FALSE,"HITOS98";#N/A,#N/A,FALSE,"CURVA ""S"" GLOBAL ";#N/A,#N/A,FALSE,"CURVA ""S"" 1998 "}</definedName>
    <definedName function="false" hidden="false" localSheetId="3" name="españa" vbProcedure="false">#REF!</definedName>
    <definedName function="false" hidden="false" localSheetId="3" name="etagig" vbProcedure="false">#REF!</definedName>
    <definedName function="false" hidden="false" localSheetId="3" name="etagim" vbProcedure="false">#REF!</definedName>
    <definedName function="false" hidden="false" localSheetId="3" name="EXPFIS" vbProcedure="false">{"DETALLE_1996",#N/A,FALSE,"flujo";"DETALLE_1997",#N/A,FALSE,"flujo";"GASTOS_INCURRIDOS_1996",#N/A,FALSE,"flujo";"GASTOS_PROGRAMADOS_PARA_1997",#N/A,FALSE,"flujo";#N/A,#N/A,FALSE,"comparat";#N/A,#N/A,FALSE,"costos";#N/A,#N/A,FALSE,"proyctrol"}</definedName>
    <definedName function="false" hidden="false" localSheetId="3" name="FACY" vbProcedure="false">{#N/A,#N/A,FALSE,"masez (10)";#N/A,#N/A,FALSE,"masez (7)";#N/A,#N/A,FALSE,"masez (6)";#N/A,#N/A,FALSE,"masez (5)";#N/A,#N/A,FALSE,"masez (4)";#N/A,#N/A,FALSE,"masez (3)";#N/A,#N/A,FALSE,"masez (2)";#N/A,#N/A,FALSE,"GME";#N/A,#N/A,FALSE,"masez"}</definedName>
    <definedName function="false" hidden="false" localSheetId="3" name="fdfjgd" vbProcedure="false">{"Informe 2_Consolidado",#N/A,FALSE,"Cons.";"Informe 2_Tunel",#N/A,FALSE,"Cons.";"Informe 2_Melip",#N/A,FALSE,"Cons.";"Informe 2_Guall",#N/A,FALSE,"Cons.";"Informe 2_Sara L",#N/A,FALSE,"Cons.";"Informe 2_Quellon",#N/A,FALSE,"Cons.";"Informe 2_Biolix",#N/A,FALSE,"Cons.";"Informe 2_Oficina",#N/A,FALSE,"Cons.";"Informe 2_Consorcio",#N/A,FALSE,"Cons."}</definedName>
    <definedName function="false" hidden="false" localSheetId="3" name="fdsfsdfdsfsd" vbProcedure="false">{"DETALLE_1996",#N/A,FALSE,"flujo";"DETALLE_1997",#N/A,FALSE,"flujo";"GASTOS_INCURRIDOS_1996",#N/A,FALSE,"flujo";"GASTOS_PROGRAMADOS_PARA_1997",#N/A,FALSE,"flujo";#N/A,#N/A,FALSE,"comparat";#N/A,#N/A,FALSE,"costos";#N/A,#N/A,FALSE,"proyctrol"}</definedName>
    <definedName function="false" hidden="false" localSheetId="3" name="fdshfg" vbProcedure="false">{#N/A,#N/A,FALSE,"masez (10)";#N/A,#N/A,FALSE,"masez (7)";#N/A,#N/A,FALSE,"masez (6)";#N/A,#N/A,FALSE,"masez (5)";#N/A,#N/A,FALSE,"masez (4)";#N/A,#N/A,FALSE,"masez (3)";#N/A,#N/A,FALSE,"masez (2)";#N/A,#N/A,FALSE,"GME";#N/A,#N/A,FALSE,"masez"}</definedName>
    <definedName function="false" hidden="false" localSheetId="3" name="Fernando" vbProcedure="false">{"cuadro1",#N/A,FALSE,"Cam buz camión Opción 1";"cuadro2",#N/A,FALSE,"Cam buz camión Opción 1";"cuadro3",#N/A,FALSE,"Cam buz camión Opción 1";"cuadro4",#N/A,FALSE,"Cam buz camión Opción 1";"cuadro5",#N/A,FALSE,"Cam buz camión Opción 1"}</definedName>
    <definedName function="false" hidden="false" localSheetId="3" name="ff" vbProcedure="false">{"Informe 2_Consolidado",#N/A,FALSE,"Cons.";"Informe 2_Tunel",#N/A,FALSE,"Cons.";"Informe 2_Melip",#N/A,FALSE,"Cons.";"Informe 2_Guall",#N/A,FALSE,"Cons.";"Informe 2_Sara L",#N/A,FALSE,"Cons.";"Informe 2_Quellon",#N/A,FALSE,"Cons.";"Informe 2_Biolix",#N/A,FALSE,"Cons.";"Informe 2_Oficina",#N/A,FALSE,"Cons.";"Informe 2_Consorcio",#N/A,FALSE,"Cons."}</definedName>
    <definedName function="false" hidden="false" localSheetId="3" name="FFF" vbProcedure="false">{"Graf_Carga Trab",#N/A,FALSE,"Grafi_Carga Trab";"Graf_Venta Flujo",#N/A,FALSE,"Grafi_Carga Trab"}</definedName>
    <definedName function="false" hidden="false" localSheetId="3" name="fgch" vbProcedure="false">{#N/A,#N/A,FALSE,"masez (10)";#N/A,#N/A,FALSE,"masez (7)";#N/A,#N/A,FALSE,"masez (6)";#N/A,#N/A,FALSE,"masez (5)";#N/A,#N/A,FALSE,"masez (4)";#N/A,#N/A,FALSE,"masez (3)";#N/A,#N/A,FALSE,"masez (2)";#N/A,#N/A,FALSE,"GME";#N/A,#N/A,FALSE,"masez"}</definedName>
    <definedName function="false" hidden="false" localSheetId="3" name="fgr" vbProcedure="false">{#N/A,#N/A,FALSE,"Total_OC015";#N/A,#N/A,FALSE,"ADMIN";#N/A,#N/A,FALSE,"PROCES";#N/A,#N/A,FALSE,"mecan";#N/A,#N/A,FALSE,"civil";#N/A,#N/A,FALSE,"CAÑER";#N/A,#N/A,FALSE,"ELEC";#N/A,#N/A,FALSE,"INSTR"}</definedName>
    <definedName function="false" hidden="false" localSheetId="3" name="FHSFJKSG" vbProcedure="false">{#N/A,#N/A,FALSE,"RESUMEN";#N/A,#N/A,FALSE,"GG-GI";#N/A,#N/A,FALSE,"AMB";#N/A,#N/A,FALSE,"EyR";#N/A,#N/A,FALSE,"UCP";#N/A,#N/A,FALSE,"IND";#N/A,#N/A,FALSE,"LR";#N/A,#N/A,FALSE,"PRV";#N/A,#N/A,FALSE,"TÚNELES";#N/A,#N/A,FALSE,"IDT";#N/A,#N/A,FALSE,"ING"}</definedName>
    <definedName function="false" hidden="false" localSheetId="3" name="ficha" vbProcedure="false">{#N/A,#N/A,FALSE,"RESUMEN ECON.";#N/A,#N/A,FALSE,"Costos de R.H.";#N/A,#N/A,FALSE,"COSTO HW";#N/A,#N/A,FALSE,"CUADROS";#N/A,#N/A,FALSE,"SCADA´s";#N/A,#N/A,FALSE,"PRECIOS EQUIPOS"}</definedName>
    <definedName function="false" hidden="false" localSheetId="3" name="ficha2" vbProcedure="false">{#N/A,#N/A,FALSE,"RESUMEN ECON.";#N/A,#N/A,FALSE,"Costos de R.H.";#N/A,#N/A,FALSE,"COSTO HW";#N/A,#N/A,FALSE,"CUADROS";#N/A,#N/A,FALSE,"SCADA´s";#N/A,#N/A,FALSE,"PRECIOS EQUIPOS"}</definedName>
    <definedName function="false" hidden="false" localSheetId="3" name="Flujos" vbProcedure="false">{#N/A,#N/A,FALSE,"Graficos"}</definedName>
    <definedName function="false" hidden="false" localSheetId="3" name="FRDEASASa" vbProcedure="false">{"DETALLE_1996",#N/A,FALSE,"flujo";"DETALLE_1997",#N/A,FALSE,"flujo";"GASTOS_INCURRIDOS_1996",#N/A,FALSE,"flujo";"GASTOS_PROGRAMADOS_PARA_1997",#N/A,FALSE,"flujo";#N/A,#N/A,FALSE,"comparat";#N/A,#N/A,FALSE,"costos";#N/A,#N/A,FALSE,"proyctrol"}</definedName>
    <definedName function="false" hidden="false" localSheetId="3" name="FSF" vbProcedure="false">{#N/A,#N/A,FALSE,"masez (10)";#N/A,#N/A,FALSE,"masez (7)";#N/A,#N/A,FALSE,"masez (6)";#N/A,#N/A,FALSE,"masez (5)";#N/A,#N/A,FALSE,"masez (4)";#N/A,#N/A,FALSE,"masez (3)";#N/A,#N/A,FALSE,"masez (2)";#N/A,#N/A,FALSE,"GME";#N/A,#N/A,FALSE,"masez"}</definedName>
    <definedName function="false" hidden="false" localSheetId="3" name="fsfs" vbProcedure="false">{#N/A,#N/A,FALSE,"masez (10)";#N/A,#N/A,FALSE,"masez (7)";#N/A,#N/A,FALSE,"masez (6)";#N/A,#N/A,FALSE,"masez (5)";#N/A,#N/A,FALSE,"masez (4)";#N/A,#N/A,FALSE,"masez (3)";#N/A,#N/A,FALSE,"masez (2)";#N/A,#N/A,FALSE,"GME";#N/A,#N/A,FALSE,"masez"}</definedName>
    <definedName function="false" hidden="false" localSheetId="3" name="fsfsd" vbProcedure="false">{#N/A,#N/A,TRUE,"RESUMEN ECON.";#N/A,#N/A,TRUE,"Costos de R.H.";#N/A,#N/A,TRUE,"COSTO HW";#N/A,#N/A,TRUE,"CUADROS";#N/A,#N/A,TRUE,"SCADA´s";#N/A,#N/A,TRUE,"PRECIOS EQUIPOS"}</definedName>
    <definedName function="false" hidden="false" localSheetId="3" name="fsfsd2" vbProcedure="false">{#N/A,#N/A,TRUE,"RESUMEN ECON.";#N/A,#N/A,TRUE,"Costos de R.H.";#N/A,#N/A,TRUE,"COSTO HW";#N/A,#N/A,TRUE,"CUADROS";#N/A,#N/A,TRUE,"SCADA´s";#N/A,#N/A,TRUE,"PRECIOS EQUIPOS"}</definedName>
    <definedName function="false" hidden="false" localSheetId="3" name="g" vbProcedure="false">{#N/A,#N/A,FALSE,"Graficos"}</definedName>
    <definedName function="false" hidden="false" localSheetId="3" name="gar" vbProcedure="false">#REF!</definedName>
    <definedName function="false" hidden="false" localSheetId="3" name="Gastón" vbProcedure="false">{"CI+GG(BASE)",#N/A,FALSE,"CI+GG(BASE)";"GG",#N/A,FALSE,"CI+GG(BASE)";"CI",#N/A,FALSE,"CI+GG(BASE)"}</definedName>
    <definedName function="false" hidden="false" localSheetId="3" name="GDG" vbProcedure="false">{#N/A,#N/A,FALSE,"masez (10)";#N/A,#N/A,FALSE,"masez (7)";#N/A,#N/A,FALSE,"masez (6)";#N/A,#N/A,FALSE,"masez (5)";#N/A,#N/A,FALSE,"masez (4)";#N/A,#N/A,FALSE,"masez (3)";#N/A,#N/A,FALSE,"masez (2)";#N/A,#N/A,FALSE,"GME";#N/A,#N/A,FALSE,"masez"}</definedName>
    <definedName function="false" hidden="false" localSheetId="3" name="GFGFGGG" vbProcedure="false">{"Control_Consolidado",#N/A,FALSE,"Cons.";"Control_Tunel",#N/A,FALSE,"Cons.";"Control_Melip",#N/A,FALSE,"Cons.";"Control_Gualleco",#N/A,FALSE,"Cons.";"Control_Sara L",#N/A,FALSE,"Cons.";"Control_Quellon",#N/A,FALSE,"Cons.";"Control_Biolix",#N/A,FALSE,"Cons.";"Control_Oficina",#N/A,FALSE,"Cons.";"Control_Consorcio",#N/A,FALSE,"Cons."}</definedName>
    <definedName function="false" hidden="false" localSheetId="3" name="gg" vbProcedure="false">{"Graf_Carga Trab",#N/A,FALSE,"Grafi_Carga Trab";"Graf_Venta Flujo",#N/A,FALSE,"Grafi_Carga Trab"}</definedName>
    <definedName function="false" hidden="false" localSheetId="3" name="ggg" vbProcedure="false">{#N/A,#N/A,TRUE,"RESUMEN ECON.";#N/A,#N/A,TRUE,"Costos de R.H.";#N/A,#N/A,TRUE,"COSTO HW";#N/A,#N/A,TRUE,"CUADROS";#N/A,#N/A,TRUE,"SCADA´s";#N/A,#N/A,TRUE,"PRECIOS EQUIPOS"}</definedName>
    <definedName function="false" hidden="false" localSheetId="3" name="ghgijuu" vbProcedure="false">{#N/A,#N/A,FALSE,"COVER";#N/A,#N/A,FALSE,"RECAP";#N/A,#N/A,FALSE,"SANTA BARBARA NONMANUAL";#N/A,#N/A,FALSE,"CEQUIP";#N/A,#N/A,FALSE,"WRATE";#N/A,#N/A,FALSE,"INDIRECT";#N/A,#N/A,FALSE,"TRAIN";#N/A,#N/A,FALSE,"MANLOADED SCHEDULE"}</definedName>
    <definedName function="false" hidden="false" localSheetId="3" name="gigi" vbProcedure="false">{#N/A,#N/A,FALSE,"summary";#N/A,#N/A,FALSE,"SumGraph"}</definedName>
    <definedName function="false" hidden="false" localSheetId="3" name="GJLHÑÑGHK" vbProcedure="false">{#N/A,#N/A,FALSE,"masez (10)";#N/A,#N/A,FALSE,"masez (7)";#N/A,#N/A,FALSE,"masez (6)";#N/A,#N/A,FALSE,"masez (5)";#N/A,#N/A,FALSE,"masez (4)";#N/A,#N/A,FALSE,"masez (3)";#N/A,#N/A,FALSE,"masez (2)";#N/A,#N/A,FALSE,"GME";#N/A,#N/A,FALSE,"masez"}</definedName>
    <definedName function="false" hidden="false" localSheetId="3" name="gmd" vbProcedure="false">{#N/A,#N/A,FALSE,"Matrix";#N/A,#N/A,FALSE,"Executive";#N/A,#N/A,FALSE,"Summary"}</definedName>
    <definedName function="false" hidden="false" localSheetId="3" name="HG" vbProcedure="false">{"Informe 2_Consolidado",#N/A,FALSE,"Cons.";"Informe 2_Tunel",#N/A,FALSE,"Cons.";"Informe 2_Melip",#N/A,FALSE,"Cons.";"Informe 2_Guall",#N/A,FALSE,"Cons.";"Informe 2_Sara L",#N/A,FALSE,"Cons.";"Informe 2_Quellon",#N/A,FALSE,"Cons.";"Informe 2_Biolix",#N/A,FALSE,"Cons.";"Informe 2_Oficina",#N/A,FALSE,"Cons.";"Informe 2_Consorcio",#N/A,FALSE,"Cons."}</definedName>
    <definedName function="false" hidden="false" localSheetId="3" name="HGH" vbProcedure="false">{#N/A,#N/A,FALSE,"summary";#N/A,#N/A,FALSE,"SumGraph"}</definedName>
    <definedName function="false" hidden="false" localSheetId="3" name="HHGH" vbProcedure="false">{"Control_Consolidado",#N/A,FALSE,"Cons.";"Control_Tunel",#N/A,FALSE,"Cons.";"Control_Melip",#N/A,FALSE,"Cons.";"Control_Gualleco",#N/A,FALSE,"Cons.";"Control_Sara L",#N/A,FALSE,"Cons.";"Control_Quellon",#N/A,FALSE,"Cons.";"Control_Biolix",#N/A,FALSE,"Cons.";"Control_Oficina",#N/A,FALSE,"Cons.";"Control_Consorcio",#N/A,FALSE,"Cons."}</definedName>
    <definedName function="false" hidden="false" localSheetId="3" name="hhhhh" vbProcedure="false">{"Informe 2_Consolidado",#N/A,FALSE,"Cons.";"Informe 2_Tunel",#N/A,FALSE,"Cons.";"Informe 2_Melip",#N/A,FALSE,"Cons.";"Informe 2_Guall",#N/A,FALSE,"Cons.";"Informe 2_Sara L",#N/A,FALSE,"Cons.";"Informe 2_Quellon",#N/A,FALSE,"Cons.";"Informe 2_Biolix",#N/A,FALSE,"Cons.";"Informe 2_Oficina",#N/A,FALSE,"Cons.";"Informe 2_Consorcio",#N/A,FALSE,"Cons."}</definedName>
    <definedName function="false" hidden="false" localSheetId="3" name="HHHHHH" vbProcedure="false">{"DETALLE_1996",#N/A,FALSE,"flujo";"DETALLE_1997",#N/A,FALSE,"flujo";"GASTOS_INCURRIDOS_1996",#N/A,FALSE,"flujo";"GASTOS_PROGRAMADOS_PARA_1997",#N/A,FALSE,"flujo";#N/A,#N/A,FALSE,"comparat";#N/A,#N/A,FALSE,"costos";#N/A,#N/A,FALSE,"proyctrol"}</definedName>
    <definedName function="false" hidden="false" localSheetId="3" name="HHJK" vbProcedure="false">{"Graf_Carga Trab",#N/A,FALSE,"Grafi_Carga Trab";"Graf_Venta Flujo",#N/A,FALSE,"Grafi_Carga Trab"}</definedName>
    <definedName function="false" hidden="false" localSheetId="3" name="HOJITA" vbProcedure="false">{"cuadro1",#N/A,FALSE,"Buzon Camion Opción 3";"cuadro2",#N/A,FALSE,"Buzon Camion Opción 3";"cuadro3",#N/A,FALSE,"Buzon Camion Opción 3";"cuadro4",#N/A,FALSE,"Buzon Camion Opción 3"}</definedName>
    <definedName function="false" hidden="false" localSheetId="3" name="hojita2" vbProcedure="false">{"cuadro1",#N/A,FALSE,"Buzon Camion Opción 3";"cuadro2",#N/A,FALSE,"Buzon Camion Opción 3";"cuadro3",#N/A,FALSE,"Buzon Camion Opción 3";"cuadro4",#N/A,FALSE,"Buzon Camion Opción 3"}</definedName>
    <definedName function="false" hidden="false" localSheetId="3" name="hola" vbProcedure="false">{#N/A,#N/A,TRUE,"RESUMEN ECON.";#N/A,#N/A,TRUE,"Costos de R.H.";#N/A,#N/A,TRUE,"COSTO HW";#N/A,#N/A,TRUE,"CUADROS";#N/A,#N/A,TRUE,"SCADA´s";#N/A,#N/A,TRUE,"PRECIOS EQUIPOS"}</definedName>
    <definedName function="false" hidden="false" localSheetId="3" name="HTML_Control" vbProcedure="false">{"'resumen REV 3'!$B$1:$Q$69"}</definedName>
    <definedName function="false" hidden="false" localSheetId="3" name="HTML_Control_1" vbProcedure="false">{"'Sheet1'!$A$1:$G$85"}</definedName>
    <definedName function="false" hidden="false" localSheetId="3" name="III" vbProcedure="false">{#N/A,#N/A,FALSE,"summary";#N/A,#N/A,FALSE,"SumGraph"}</definedName>
    <definedName function="false" hidden="false" localSheetId="3" name="Increase_Effective_Date" vbProcedure="false">#REF!</definedName>
    <definedName function="false" hidden="false" localSheetId="3" name="INCU" vbProcedure="false">{"DETALLE_1996",#N/A,FALSE,"flujo";"DETALLE_1997",#N/A,FALSE,"flujo";"GASTOS_INCURRIDOS_1996",#N/A,FALSE,"flujo";"GASTOS_PROGRAMADOS_PARA_1997",#N/A,FALSE,"flujo";#N/A,#N/A,FALSE,"comparat";#N/A,#N/A,FALSE,"costos";#N/A,#N/A,FALSE,"proyctrol"}</definedName>
    <definedName function="false" hidden="false" localSheetId="3" name="incurrido2" vbProcedure="false">{"DETALLE_1996",#N/A,FALSE,"flujo";"DETALLE_1997",#N/A,FALSE,"flujo";"GASTOS_INCURRIDOS_1996",#N/A,FALSE,"flujo";"GASTOS_PROGRAMADOS_PARA_1997",#N/A,FALSE,"flujo";#N/A,#N/A,FALSE,"comparat";#N/A,#N/A,FALSE,"costos";#N/A,#N/A,FALSE,"proyctrol"}</definedName>
    <definedName function="false" hidden="false" localSheetId="3" name="incurrido3" vbProcedure="false">{"DETALLE_1996",#N/A,FALSE,"flujo";"DETALLE_1997",#N/A,FALSE,"flujo";"GASTOS_INCURRIDOS_1996",#N/A,FALSE,"flujo";"GASTOS_PROGRAMADOS_PARA_1997",#N/A,FALSE,"flujo";#N/A,#N/A,FALSE,"comparat";#N/A,#N/A,FALSE,"costos";#N/A,#N/A,FALSE,"proyctrol"}</definedName>
    <definedName function="false" hidden="false" localSheetId="3" name="jhdfghjd" vbProcedure="false">{#N/A,#N/A,FALSE,"RESUMEN ECON.";#N/A,#N/A,FALSE,"Costos de R.H.";#N/A,#N/A,FALSE,"COSTO HW";#N/A,#N/A,FALSE,"CUADROS";#N/A,#N/A,FALSE,"SCADA´s";#N/A,#N/A,FALSE,"PRECIOS EQUIPOS"}</definedName>
    <definedName function="false" hidden="false" localSheetId="3" name="JMBM" vbProcedure="false">{#N/A,#N/A,TRUE,"RESUMEN ECON.";#N/A,#N/A,TRUE,"Costos de R.H.";#N/A,#N/A,TRUE,"COSTO HW";#N/A,#N/A,TRUE,"CUADROS";#N/A,#N/A,TRUE,"SCADA´s";#N/A,#N/A,TRUE,"PRECIOS EQUIPOS"}</definedName>
    <definedName function="false" hidden="false" localSheetId="3" name="JMBM2" vbProcedure="false">{#N/A,#N/A,TRUE,"RESUMEN ECON.";#N/A,#N/A,TRUE,"Costos de R.H.";#N/A,#N/A,TRUE,"COSTO HW";#N/A,#N/A,TRUE,"CUADROS";#N/A,#N/A,TRUE,"SCADA´s";#N/A,#N/A,TRUE,"PRECIOS EQUIPOS"}</definedName>
    <definedName function="false" hidden="false" localSheetId="3" name="JMBMI" vbProcedure="false">{#N/A,#N/A,TRUE,"RESUMEN ECON.";#N/A,#N/A,TRUE,"Costos de R.H.";#N/A,#N/A,TRUE,"COSTO HW";#N/A,#N/A,TRUE,"CUADROS";#N/A,#N/A,TRUE,"SCADA´s";#N/A,#N/A,TRUE,"PRECIOS EQUIPOS"}</definedName>
    <definedName function="false" hidden="false" localSheetId="3" name="JMBMI2" vbProcedure="false">{#N/A,#N/A,TRUE,"RESUMEN ECON.";#N/A,#N/A,TRUE,"Costos de R.H.";#N/A,#N/A,TRUE,"COSTO HW";#N/A,#N/A,TRUE,"CUADROS";#N/A,#N/A,TRUE,"SCADA´s";#N/A,#N/A,TRUE,"PRECIOS EQUIPOS"}</definedName>
    <definedName function="false" hidden="false" localSheetId="3" name="JUAN" vbProcedure="false">{#N/A,#N/A,FALSE,"RESUMEN ECON.";#N/A,#N/A,FALSE,"Costos de R.H.";#N/A,#N/A,FALSE,"COSTO HW";#N/A,#N/A,FALSE,"CUADROS";#N/A,#N/A,FALSE,"SCADA´s";#N/A,#N/A,FALSE,"PRECIOS EQUIPOS"}</definedName>
    <definedName function="false" hidden="false" localSheetId="3" name="JUAN2" vbProcedure="false">{#N/A,#N/A,FALSE,"RESUMEN ECON.";#N/A,#N/A,FALSE,"Costos de R.H.";#N/A,#N/A,FALSE,"COSTO HW";#N/A,#N/A,FALSE,"CUADROS";#N/A,#N/A,FALSE,"SCADA´s";#N/A,#N/A,FALSE,"PRECIOS EQUIPOS"}</definedName>
    <definedName function="false" hidden="false" localSheetId="3" name="JUANITO" vbProcedure="false">{"Sens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function="false" hidden="false" localSheetId="3" name="JUMABA" vbProcedure="false">{#N/A,#N/A,TRUE,"RESUMEN ECON.";#N/A,#N/A,TRUE,"Costos de R.H.";#N/A,#N/A,TRUE,"COSTO HW";#N/A,#N/A,TRUE,"CUADROS";#N/A,#N/A,TRUE,"SCADA´s";#N/A,#N/A,TRUE,"PRECIOS EQUIPOS"}</definedName>
    <definedName function="false" hidden="false" localSheetId="3" name="JUMABA2" vbProcedure="false">{#N/A,#N/A,TRUE,"RESUMEN ECON.";#N/A,#N/A,TRUE,"Costos de R.H.";#N/A,#N/A,TRUE,"COSTO HW";#N/A,#N/A,TRUE,"CUADROS";#N/A,#N/A,TRUE,"SCADA´s";#N/A,#N/A,TRUE,"PRECIOS EQUIPOS"}</definedName>
    <definedName function="false" hidden="false" localSheetId="3" name="JUPOX" vbProcedure="false">{#N/A,#N/A,FALSE,"masez (10)";#N/A,#N/A,FALSE,"masez (7)";#N/A,#N/A,FALSE,"masez (6)";#N/A,#N/A,FALSE,"masez (5)";#N/A,#N/A,FALSE,"masez (4)";#N/A,#N/A,FALSE,"masez (3)";#N/A,#N/A,FALSE,"masez (2)";#N/A,#N/A,FALSE,"GME";#N/A,#N/A,FALSE,"masez"}</definedName>
    <definedName function="false" hidden="false" localSheetId="3" name="k1mc" vbProcedure="false">#REF!</definedName>
    <definedName function="false" hidden="false" localSheetId="3" name="k1tc" vbProcedure="false">#REF!</definedName>
    <definedName function="false" hidden="false" localSheetId="3" name="k2mc" vbProcedure="false">#REF!</definedName>
    <definedName function="false" hidden="false" localSheetId="3" name="kmjvhfjdvbfdmjvfd" vbProcedure="false">{#N/A,#N/A,TRUE,"RESUMEN ECON.";#N/A,#N/A,TRUE,"Costos de R.H.";#N/A,#N/A,TRUE,"COSTO HW";#N/A,#N/A,TRUE,"CUADROS";#N/A,#N/A,TRUE,"SCADA´s";#N/A,#N/A,TRUE,"PRECIOS EQUIPOS"}</definedName>
    <definedName function="false" hidden="false" localSheetId="3" name="ldldld" vbProcedure="false">{#N/A,#N/A,TRUE,"RESUMEN ECON.";#N/A,#N/A,TRUE,"Costos de R.H.";#N/A,#N/A,TRUE,"COSTO HW";#N/A,#N/A,TRUE,"CUADROS";#N/A,#N/A,TRUE,"SCADA´s";#N/A,#N/A,TRUE,"PRECIOS EQUIPOS"}</definedName>
    <definedName function="false" hidden="false" localSheetId="3" name="ll" vbProcedure="false">{"Sens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function="false" hidden="false" localSheetId="3" name="lll" vbProcedure="false">{#N/A,#N/A,FALSE,"RESUMEN ECON.";#N/A,#N/A,FALSE,"Costos de R.H.";#N/A,#N/A,FALSE,"COSTO HW";#N/A,#N/A,FALSE,"CUADROS";#N/A,#N/A,FALSE,"SCADA´s";#N/A,#N/A,FALSE,"PRECIOS EQUIPOS"}</definedName>
    <definedName function="false" hidden="false" localSheetId="3" name="lllll" vbProcedure="false">{#N/A,#N/A,FALSE,"RESUMEN ECON.";#N/A,#N/A,FALSE,"Costos de R.H.";#N/A,#N/A,FALSE,"COSTO HW";#N/A,#N/A,FALSE,"CUADROS";#N/A,#N/A,FALSE,"SCADA´s";#N/A,#N/A,FALSE,"PRECIOS EQUIPOS"}</definedName>
    <definedName function="false" hidden="false" localSheetId="3" name="llllll2" vbProcedure="false">{#N/A,#N/A,FALSE,"RESUMEN ECON.";#N/A,#N/A,FALSE,"Costos de R.H.";#N/A,#N/A,FALSE,"COSTO HW";#N/A,#N/A,FALSE,"CUADROS";#N/A,#N/A,FALSE,"SCADA´s";#N/A,#N/A,FALSE,"PRECIOS EQUIPOS"}</definedName>
    <definedName function="false" hidden="false" localSheetId="3" name="lo" vbProcedure="false">{#N/A,#N/A,FALSE,"COVER";#N/A,#N/A,FALSE,"RECAP";#N/A,#N/A,FALSE,"SANTA BARBARA NONMANUAL";#N/A,#N/A,FALSE,"CEQUIP";#N/A,#N/A,FALSE,"WRATE";#N/A,#N/A,FALSE,"INDIRECT";#N/A,#N/A,FALSE,"TRAIN";#N/A,#N/A,FALSE,"MANLOADED SCHEDULE"}</definedName>
    <definedName function="false" hidden="false" localSheetId="3" name="loco" vbProcedure="false">{#N/A,#N/A,FALSE,"masez (10)";#N/A,#N/A,FALSE,"masez (7)";#N/A,#N/A,FALSE,"masez (6)";#N/A,#N/A,FALSE,"masez (5)";#N/A,#N/A,FALSE,"masez (4)";#N/A,#N/A,FALSE,"masez (3)";#N/A,#N/A,FALSE,"masez (2)";#N/A,#N/A,FALSE,"GME";#N/A,#N/A,FALSE,"masez"}</definedName>
    <definedName function="false" hidden="false" localSheetId="3" name="lp" vbProcedure="false">{#N/A,#N/A,FALSE,"COVER";#N/A,#N/A,FALSE,"RECAP";#N/A,#N/A,FALSE,"SANTA BARBARA NONMANUAL";#N/A,#N/A,FALSE,"CEQUIP";#N/A,#N/A,FALSE,"WRATE";#N/A,#N/A,FALSE,"INDIRECT";#N/A,#N/A,FALSE,"TRAIN";#N/A,#N/A,FALSE,"MANLOADED SCHEDULE"}</definedName>
    <definedName function="false" hidden="false" localSheetId="3" name="Manual_DB" vbProcedure="false">#REF!</definedName>
    <definedName function="false" hidden="false" localSheetId="3" name="MB" vbProcedure="false">{#N/A,#N/A,FALSE,"PXP-TOTAL Modif";"vis2",#N/A,FALSE,"PXP-AÑO";"Vis1",#N/A,FALSE,"PXP-AÑO"}</definedName>
    <definedName function="false" hidden="false" localSheetId="3" name="mm" vbProcedure="false">{"Sens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function="false" hidden="false" localSheetId="3" name="MO" vbProcedure="false">#REF!</definedName>
    <definedName function="false" hidden="false" localSheetId="3" name="nose1" vbProcedure="false">{#N/A,#N/A,FALSE,"Matrix";#N/A,#N/A,FALSE,"Executive";#N/A,#N/A,FALSE,"Summary";#N/A,#N/A,FALSE,"Office1";#N/A,#N/A,FALSE,"Office2";#N/A,#N/A,FALSE,"Office3";#N/A,#N/A,FALSE,"Office4";#N/A,#N/A,FALSE,"Office5";#N/A,#N/A,FALSE,"Office6";#N/A,#N/A,FALSE,"Office7";#N/A,#N/A,FALSE,"Labor"}</definedName>
    <definedName function="false" hidden="false" localSheetId="3" name="nose2" vbProcedure="false">{#N/A,#N/A,FALSE,"E-1";#N/A,#N/A,FALSE,"E-2";#N/A,#N/A,FALSE,"F-1";#N/A,#N/A,FALSE,"F-2";#N/A,#N/A,FALSE,"F-3";#N/A,#N/A,FALSE,"F-4";#N/A,#N/A,FALSE,"F-5";#N/A,#N/A,FALSE,"F-6";#N/A,#N/A,FALSE,"Matrix"}</definedName>
    <definedName function="false" hidden="false" localSheetId="3" name="nose3" vbProcedure="false">{#N/A,#N/A,FALSE,"Matrix";#N/A,#N/A,FALSE,"Executive";#N/A,#N/A,FALSE,"Summary"}</definedName>
    <definedName function="false" hidden="false" localSheetId="3" name="NVOS" vbProcedure="false">{"'Sheet1'!$A$1:$G$85"}</definedName>
    <definedName function="false" hidden="false" localSheetId="3" name="OLA" vbProcedure="false">{"DETALLE_1996",#N/A,FALSE,"flujo";"DETALLE_1997",#N/A,FALSE,"flujo";"GASTOS_INCURRIDOS_1996",#N/A,FALSE,"flujo";"GASTOS_PROGRAMADOS_PARA_1997",#N/A,FALSE,"flujo";#N/A,#N/A,FALSE,"comparat";#N/A,#N/A,FALSE,"costos";#N/A,#N/A,FALSE,"proyctrol"}</definedName>
    <definedName function="false" hidden="false" localSheetId="3" name="onon" vbProcedure="false">{#N/A,#N/A,TRUE,"RESUMEN ECON.";#N/A,#N/A,TRUE,"Costos de R.H.";#N/A,#N/A,TRUE,"COSTO HW";#N/A,#N/A,TRUE,"CUADROS";#N/A,#N/A,TRUE,"SCADA´s";#N/A,#N/A,TRUE,"PRECIOS EQUIPOS"}</definedName>
    <definedName function="false" hidden="false" localSheetId="3" name="ooo" vbProcedure="false">{#N/A,#N/A,FALSE,"RESUMEN ECON.";#N/A,#N/A,FALSE,"Costos de R.H.";#N/A,#N/A,FALSE,"COSTO HW";#N/A,#N/A,FALSE,"CUADROS";#N/A,#N/A,FALSE,"SCADA´s";#N/A,#N/A,FALSE,"PRECIOS EQUIPOS"}</definedName>
    <definedName function="false" hidden="false" localSheetId="3" name="OSCAR" vbProcedure="false">{"DETALLE_1996",#N/A,FALSE,"flujo";"DETALLE_1997",#N/A,FALSE,"flujo";"GASTOS_INCURRIDOS_1996",#N/A,FALSE,"flujo";"GASTOS_PROGRAMADOS_PARA_1997",#N/A,FALSE,"flujo";#N/A,#N/A,FALSE,"comparat";#N/A,#N/A,FALSE,"costos";#N/A,#N/A,FALSE,"proyctrol"}</definedName>
    <definedName function="false" hidden="false" localSheetId="3" name="p2mpmc2" vbProcedure="false">#REF!</definedName>
    <definedName function="false" hidden="false" localSheetId="3" name="p2mpmc3" vbProcedure="false">#REF!</definedName>
    <definedName function="false" hidden="false" localSheetId="3" name="p2mpmc4" vbProcedure="false">#REF!</definedName>
    <definedName function="false" hidden="false" localSheetId="3" name="pi" vbProcedure="false">{#N/A,#N/A,FALSE,"masez (10)";#N/A,#N/A,FALSE,"masez (7)";#N/A,#N/A,FALSE,"masez (6)";#N/A,#N/A,FALSE,"masez (5)";#N/A,#N/A,FALSE,"masez (4)";#N/A,#N/A,FALSE,"masez (3)";#N/A,#N/A,FALSE,"masez (2)";#N/A,#N/A,FALSE,"GME";#N/A,#N/A,FALSE,"masez"}</definedName>
    <definedName function="false" hidden="false" localSheetId="3" name="pico" vbProcedure="false">{#N/A,#N/A,FALSE,"masez (10)";#N/A,#N/A,FALSE,"masez (7)";#N/A,#N/A,FALSE,"masez (6)";#N/A,#N/A,FALSE,"masez (5)";#N/A,#N/A,FALSE,"masez (4)";#N/A,#N/A,FALSE,"masez (3)";#N/A,#N/A,FALSE,"masez (2)";#N/A,#N/A,FALSE,"GME";#N/A,#N/A,FALSE,"masez"}</definedName>
    <definedName function="false" hidden="false" localSheetId="3" name="plan" vbProcedure="false">{#N/A,#N/A,FALSE,"masez (10)";#N/A,#N/A,FALSE,"masez (7)";#N/A,#N/A,FALSE,"masez (6)";#N/A,#N/A,FALSE,"masez (5)";#N/A,#N/A,FALSE,"masez (4)";#N/A,#N/A,FALSE,"masez (3)";#N/A,#N/A,FALSE,"masez (2)";#N/A,#N/A,FALSE,"GME";#N/A,#N/A,FALSE,"masez"}</definedName>
    <definedName function="false" hidden="false" localSheetId="3" name="PL_AUX_DATA" vbProcedure="false">#REF!</definedName>
    <definedName function="false" hidden="false" localSheetId="3" name="PL_AUX_GRAF" vbProcedure="false">#REF!</definedName>
    <definedName function="false" hidden="false" localSheetId="3" name="PL_CLASSIFICACAO" vbProcedure="false">#REF!</definedName>
    <definedName function="false" hidden="false" localSheetId="3" name="PL_TAB_DIN_REAL" vbProcedure="false">OFFSET(#REF!,0,0,COUNTA(#REF!),50)</definedName>
    <definedName function="false" hidden="false" localSheetId="3" name="PL_TIPO_CURVA" vbProcedure="false">#REF!</definedName>
    <definedName function="false" hidden="false" localSheetId="3" name="pp" vbProcedure="false">{"Sens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function="false" hidden="false" localSheetId="3" name="ppspsps" vbProcedure="false">{"Informe 1_Consolidado",#N/A,FALSE,"Cons.";"Informe 1_Tunel",#N/A,FALSE,"Cons.";"Informe 1_Melip",#N/A,FALSE,"Cons.";"Informe 1_Guall",#N/A,FALSE,"Cons.";"Informe 1_Sara L",#N/A,FALSE,"Cons.";"Informe 1_Quellon",#N/A,FALSE,"Cons.";"Informe 1_Biolix",#N/A,FALSE,"Cons.";"Informe 1_Oficina",#N/A,FALSE,"Cons.";"Informe 1_Consorcio",#N/A,FALSE,"Cons."}</definedName>
    <definedName function="false" hidden="false" localSheetId="3" name="PROGINC" vbProcedure="false">{"DETALLE_1996",#N/A,FALSE,"flujo";"DETALLE_1997",#N/A,FALSE,"flujo";"GASTOS_INCURRIDOS_1996",#N/A,FALSE,"flujo";"GASTOS_PROGRAMADOS_PARA_1997",#N/A,FALSE,"flujo";#N/A,#N/A,FALSE,"comparat";#N/A,#N/A,FALSE,"costos";#N/A,#N/A,FALSE,"proyctrol"}</definedName>
    <definedName function="false" hidden="false" localSheetId="3" name="ptg" vbProcedure="false">{#N/A,#N/A,TRUE,"RESUMEN ECON.";#N/A,#N/A,TRUE,"Costos de R.H.";#N/A,#N/A,TRUE,"COSTO HW";#N/A,#N/A,TRUE,"CUADROS";#N/A,#N/A,TRUE,"SCADA´s";#N/A,#N/A,TRUE,"PRECIOS EQUIPOS"}</definedName>
    <definedName function="false" hidden="false" localSheetId="3" name="qaq" vbProcedure="false">{#N/A,#N/A,FALSE,"summary";#N/A,#N/A,FALSE,"SumGraph"}</definedName>
    <definedName function="false" hidden="false" localSheetId="3" name="qg" vbProcedure="false">{#N/A,#N/A,FALSE,"RESUMEN ECON.";#N/A,#N/A,FALSE,"Costos de R.H.";#N/A,#N/A,FALSE,"COSTO HW";#N/A,#N/A,FALSE,"CUADROS";#N/A,#N/A,FALSE,"SCADA´s";#N/A,#N/A,FALSE,"PRECIOS EQUIPOS"}</definedName>
    <definedName function="false" hidden="false" localSheetId="3" name="qq" vbProcedure="false">{#N/A,#N/A,TRUE,"RESUMEN ECON.";#N/A,#N/A,TRUE,"Costos de R.H.";#N/A,#N/A,TRUE,"COSTO HW";#N/A,#N/A,TRUE,"CUADROS";#N/A,#N/A,TRUE,"SCADA´s";#N/A,#N/A,TRUE,"PRECIOS EQUIPOS"}</definedName>
    <definedName function="false" hidden="false" localSheetId="3" name="qw" vbProcedure="false">{"Control_Consolidado",#N/A,FALSE,"Cons.";"Control_Tunel",#N/A,FALSE,"Cons.";"Control_Melip",#N/A,FALSE,"Cons.";"Control_Gualleco",#N/A,FALSE,"Cons.";"Control_Sara L",#N/A,FALSE,"Cons.";"Control_Quellon",#N/A,FALSE,"Cons.";"Control_Biolix",#N/A,FALSE,"Cons.";"Control_Oficina",#N/A,FALSE,"Cons.";"Control_Consorcio",#N/A,FALSE,"Cons."}</definedName>
    <definedName function="false" hidden="false" localSheetId="3" name="qx" vbProcedure="false">{#N/A,#N/A,FALSE,"masez (10)";#N/A,#N/A,FALSE,"masez (7)";#N/A,#N/A,FALSE,"masez (6)";#N/A,#N/A,FALSE,"masez (5)";#N/A,#N/A,FALSE,"masez (4)";#N/A,#N/A,FALSE,"masez (3)";#N/A,#N/A,FALSE,"masez (2)";#N/A,#N/A,FALSE,"GME";#N/A,#N/A,FALSE,"masez"}</definedName>
    <definedName function="false" hidden="false" localSheetId="3" name="RAF" vbProcedure="false">{"Sens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function="false" hidden="false" localSheetId="3" name="RANKING" vbProcedure="false">{"DETALLE_1996",#N/A,FALSE,"flujo";"DETALLE_1997",#N/A,FALSE,"flujo";"GASTOS_INCURRIDOS_1996",#N/A,FALSE,"flujo";"GASTOS_PROGRAMADOS_PARA_1997",#N/A,FALSE,"flujo";#N/A,#N/A,FALSE,"comparat";#N/A,#N/A,FALSE,"costos";#N/A,#N/A,FALSE,"proyctrol"}</definedName>
    <definedName function="false" hidden="false" localSheetId="3" name="red" vbProcedure="false">{"DETALLE_1996",#N/A,FALSE,"flujo";"DETALLE_1997",#N/A,FALSE,"flujo";"GASTOS_INCURRIDOS_1996",#N/A,FALSE,"flujo";"GASTOS_PROGRAMADOS_PARA_1997",#N/A,FALSE,"flujo";#N/A,#N/A,FALSE,"comparat";#N/A,#N/A,FALSE,"costos";#N/A,#N/A,FALSE,"proyctrol"}</definedName>
    <definedName function="false" hidden="false" localSheetId="3" name="ree" vbProcedure="false">{#N/A,#N/A,FALSE,"masez (10)";#N/A,#N/A,FALSE,"masez (7)";#N/A,#N/A,FALSE,"masez (6)";#N/A,#N/A,FALSE,"masez (5)";#N/A,#N/A,FALSE,"masez (4)";#N/A,#N/A,FALSE,"masez (3)";#N/A,#N/A,FALSE,"masez (2)";#N/A,#N/A,FALSE,"GME";#N/A,#N/A,FALSE,"masez"}</definedName>
    <definedName function="false" hidden="false" localSheetId="3" name="rer" vbProcedure="false">{"DETALLE_1996",#N/A,FALSE,"flujo";"DETALLE_1997",#N/A,FALSE,"flujo";"GASTOS_INCURRIDOS_1996",#N/A,FALSE,"flujo";"GASTOS_PROGRAMADOS_PARA_1997",#N/A,FALSE,"flujo";#N/A,#N/A,FALSE,"comparat";#N/A,#N/A,FALSE,"costos";#N/A,#N/A,FALSE,"proyctrol"}</definedName>
    <definedName function="false" hidden="false" localSheetId="3" name="rft" vbProcedure="false">{#N/A,#N/A,TRUE,"RESUMEN ECON.";#N/A,#N/A,TRUE,"Costos de R.H.";#N/A,#N/A,TRUE,"COSTO HW";#N/A,#N/A,TRUE,"CUADROS";#N/A,#N/A,TRUE,"SCADA´s";#N/A,#N/A,TRUE,"PRECIOS EQUIPOS"}</definedName>
    <definedName function="false" hidden="false" localSheetId="3" name="RG" vbProcedure="false">{"cuadro1",#N/A,FALSE,"Camara buz ffcc Opción 5";"cuadro2",#N/A,FALSE,"Camara buz ffcc Opción 5";"cuadro3",#N/A,FALSE,"Camara buz ffcc Opción 5";"cuadro4",#N/A,FALSE,"Camara buz ffcc Opción 5"}</definedName>
    <definedName function="false" hidden="false" localSheetId="3" name="RIGO2" vbProcedure="false">{"cuadro1",#N/A,FALSE,"Buzon Camion Opción 3";"cuadro2",#N/A,FALSE,"Buzon Camion Opción 3";"cuadro3",#N/A,FALSE,"Buzon Camion Opción 3";"cuadro4",#N/A,FALSE,"Buzon Camion Opción 3"}</definedName>
    <definedName function="false" hidden="false" localSheetId="3" name="RO" vbProcedure="false">#REF!</definedName>
    <definedName function="false" hidden="false" localSheetId="3" name="rtapia" vbProcedure="false">#REF!</definedName>
    <definedName function="false" hidden="false" localSheetId="3" name="rtu" vbProcedure="false">{#N/A,#N/A,TRUE,"RESUMEN ECON.";#N/A,#N/A,TRUE,"Costos de R.H.";#N/A,#N/A,TRUE,"COSTO HW";#N/A,#N/A,TRUE,"CUADROS";#N/A,#N/A,TRUE,"SCADA´s";#N/A,#N/A,TRUE,"PRECIOS EQUIPOS"}</definedName>
    <definedName function="false" hidden="false" localSheetId="3" name="rty" vbProcedure="false">{#N/A,#N/A,FALSE,"masez (10)";#N/A,#N/A,FALSE,"masez (7)";#N/A,#N/A,FALSE,"masez (6)";#N/A,#N/A,FALSE,"masez (5)";#N/A,#N/A,FALSE,"masez (4)";#N/A,#N/A,FALSE,"masez (3)";#N/A,#N/A,FALSE,"masez (2)";#N/A,#N/A,FALSE,"GME";#N/A,#N/A,FALSE,"masez"}</definedName>
    <definedName function="false" hidden="false" localSheetId="3" name="s" vbProcedure="false">{#N/A,#N/A,FALSE,"masez (10)";#N/A,#N/A,FALSE,"masez (7)";#N/A,#N/A,FALSE,"masez (6)";#N/A,#N/A,FALSE,"masez (5)";#N/A,#N/A,FALSE,"masez (4)";#N/A,#N/A,FALSE,"masez (3)";#N/A,#N/A,FALSE,"masez (2)";#N/A,#N/A,FALSE,"GME";#N/A,#N/A,FALSE,"masez"}</definedName>
    <definedName function="false" hidden="false" localSheetId="3" name="SDA" vbProcedure="false">{#N/A,#N/A,FALSE,"masez (10)";#N/A,#N/A,FALSE,"masez (7)";#N/A,#N/A,FALSE,"masez (6)";#N/A,#N/A,FALSE,"masez (5)";#N/A,#N/A,FALSE,"masez (4)";#N/A,#N/A,FALSE,"masez (3)";#N/A,#N/A,FALSE,"masez (2)";#N/A,#N/A,FALSE,"GME";#N/A,#N/A,FALSE,"masez"}</definedName>
    <definedName function="false" hidden="false" localSheetId="3" name="sdass" vbProcedure="false">{#N/A,#N/A,FALSE,"masez (10)";#N/A,#N/A,FALSE,"masez (7)";#N/A,#N/A,FALSE,"masez (6)";#N/A,#N/A,FALSE,"masez (5)";#N/A,#N/A,FALSE,"masez (4)";#N/A,#N/A,FALSE,"masez (3)";#N/A,#N/A,FALSE,"masez (2)";#N/A,#N/A,FALSE,"GME";#N/A,#N/A,FALSE,"masez"}</definedName>
    <definedName function="false" hidden="false" localSheetId="3" name="sdht" vbProcedure="false">{"'resumen REV 3'!$B$1:$Q$69"}</definedName>
    <definedName function="false" hidden="false" localSheetId="3" name="SENGOAEÑHAER" vbProcedure="false">{#N/A,#N/A,FALSE,"masez (10)";#N/A,#N/A,FALSE,"masez (7)";#N/A,#N/A,FALSE,"masez (6)";#N/A,#N/A,FALSE,"masez (5)";#N/A,#N/A,FALSE,"masez (4)";#N/A,#N/A,FALSE,"masez (3)";#N/A,#N/A,FALSE,"masez (2)";#N/A,#N/A,FALSE,"GME";#N/A,#N/A,FALSE,"masez"}</definedName>
    <definedName function="false" hidden="false" localSheetId="3" name="SFGAST5" vbProcedure="false">{#N/A,#N/A,FALSE,"IC_Global";#N/A,#N/A,FALSE,"IC_Global (98-f)";#N/A,#N/A,FALSE,"Inc";#N/A,#N/A,FALSE,"CAMBIOS (2)";#N/A,#N/A,FALSE,"EXPL Inc.";#N/A,#N/A,FALSE,"HITOS98";#N/A,#N/A,FALSE,"CURVA ""S"" GLOBAL ";#N/A,#N/A,FALSE,"CURVA ""S"" 1998 "}</definedName>
    <definedName function="false" hidden="false" localSheetId="3" name="SFINTOTAL" vbProcedure="false">{"DETALLE_1996",#N/A,FALSE,"flujo";"DETALLE_1997",#N/A,FALSE,"flujo";"GASTOS_INCURRIDOS_1996",#N/A,FALSE,"flujo";"GASTOS_PROGRAMADOS_PARA_1997",#N/A,FALSE,"flujo";#N/A,#N/A,FALSE,"comparat";#N/A,#N/A,FALSE,"costos";#N/A,#N/A,FALSE,"proyctrol"}</definedName>
    <definedName function="false" hidden="false" localSheetId="3" name="SFSTRT" vbProcedure="false">{#N/A,#N/A,FALSE,"masez (10)";#N/A,#N/A,FALSE,"masez (7)";#N/A,#N/A,FALSE,"masez (6)";#N/A,#N/A,FALSE,"masez (5)";#N/A,#N/A,FALSE,"masez (4)";#N/A,#N/A,FALSE,"masez (3)";#N/A,#N/A,FALSE,"masez (2)";#N/A,#N/A,FALSE,"GME";#N/A,#N/A,FALSE,"masez"}</definedName>
    <definedName function="false" hidden="false" localSheetId="3" name="Simple" vbProcedure="false">{#N/A,#N/A,FALSE,"RESUMEN ECON.";#N/A,#N/A,FALSE,"Costos de R.H.";#N/A,#N/A,FALSE,"COSTO HW";#N/A,#N/A,FALSE,"CUADROS";#N/A,#N/A,FALSE,"SCADA´s";#N/A,#N/A,FALSE,"PRECIOS EQUIPOS"}</definedName>
    <definedName function="false" hidden="false" localSheetId="3" name="Simple2" vbProcedure="false">{#N/A,#N/A,FALSE,"RESUMEN ECON.";#N/A,#N/A,FALSE,"Costos de R.H.";#N/A,#N/A,FALSE,"COSTO HW";#N/A,#N/A,FALSE,"CUADROS";#N/A,#N/A,FALSE,"SCADA´s";#N/A,#N/A,FALSE,"PRECIOS EQUIPOS"}</definedName>
    <definedName function="false" hidden="false" localSheetId="3" name="ss" vbProcedure="false">{#N/A,#N/A,FALSE,"masez (10)";#N/A,#N/A,FALSE,"masez (7)";#N/A,#N/A,FALSE,"masez (6)";#N/A,#N/A,FALSE,"masez (5)";#N/A,#N/A,FALSE,"masez (4)";#N/A,#N/A,FALSE,"masez (3)";#N/A,#N/A,FALSE,"masez (2)";#N/A,#N/A,FALSE,"GME";#N/A,#N/A,FALSE,"masez"}</definedName>
    <definedName function="false" hidden="false" localSheetId="3" name="sss" vbProcedure="false">{#N/A,#N/A,FALSE,"Graficos"}</definedName>
    <definedName function="false" hidden="false" localSheetId="3" name="ssss" vbProcedure="false">{#N/A,#N/A,FALSE,"IC_Global";#N/A,#N/A,FALSE,"IC_Global (98-f)";#N/A,#N/A,FALSE,"Inc";#N/A,#N/A,FALSE,"CAMBIOS (2)";#N/A,#N/A,FALSE,"EXPL Inc.";#N/A,#N/A,FALSE,"HITOS98";#N/A,#N/A,FALSE,"CURVA ""S"" GLOBAL ";#N/A,#N/A,FALSE,"CURVA ""S"" 1998 "}</definedName>
    <definedName function="false" hidden="false" localSheetId="3" name="sssss" vbProcedure="false">{#N/A,#N/A,FALSE,"masez (10)";#N/A,#N/A,FALSE,"masez (7)";#N/A,#N/A,FALSE,"masez (6)";#N/A,#N/A,FALSE,"masez (5)";#N/A,#N/A,FALSE,"masez (4)";#N/A,#N/A,FALSE,"masez (3)";#N/A,#N/A,FALSE,"masez (2)";#N/A,#N/A,FALSE,"GME";#N/A,#N/A,FALSE,"masez"}</definedName>
    <definedName function="false" hidden="false" localSheetId="3" name="Suggested_List_Price_Label" vbProcedure="false">#REF!</definedName>
    <definedName function="false" hidden="false" localSheetId="3" name="testito" vbProcedure="false">{"Sens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function="false" hidden="false" localSheetId="3" name="tetas" vbProcedure="false">{#N/A,#N/A,FALSE,"RESUMEN ECON.";#N/A,#N/A,FALSE,"Costos de R.H.";#N/A,#N/A,FALSE,"COSTO HW";#N/A,#N/A,FALSE,"CUADROS";#N/A,#N/A,FALSE,"SCADA´s";#N/A,#N/A,FALSE,"PRECIOS EQUIPOS"}</definedName>
    <definedName function="false" hidden="false" localSheetId="3" name="tetas2" vbProcedure="false">{#N/A,#N/A,FALSE,"RESUMEN ECON.";#N/A,#N/A,FALSE,"Costos de R.H.";#N/A,#N/A,FALSE,"COSTO HW";#N/A,#N/A,FALSE,"CUADROS";#N/A,#N/A,FALSE,"SCADA´s";#N/A,#N/A,FALSE,"PRECIOS EQUIPOS"}</definedName>
    <definedName function="false" hidden="false" localSheetId="3" name="TIPO_DE_INSTRUMENTO" vbProcedure="false">#REF!</definedName>
    <definedName function="false" hidden="false" localSheetId="3" name="Toquepala" vbProcedure="false">{#N/A,#N/A,FALSE,"Matrix";#N/A,#N/A,FALSE,"Executive";#N/A,#N/A,FALSE,"Summary"}</definedName>
    <definedName function="false" hidden="false" localSheetId="3" name="TPREVMC" vbProcedure="false">#REF!</definedName>
    <definedName function="false" hidden="false" localSheetId="3" name="TPREVTC" vbProcedure="false">#REF!</definedName>
    <definedName function="false" hidden="false" localSheetId="3" name="TPREVTG" vbProcedure="false">#REF!</definedName>
    <definedName function="false" hidden="false" localSheetId="3" name="trj" vbProcedure="false">{"DETALLE_1996",#N/A,FALSE,"flujo";"DETALLE_1997",#N/A,FALSE,"flujo";"GASTOS_INCURRIDOS_1996",#N/A,FALSE,"flujo";"GASTOS_PROGRAMADOS_PARA_1997",#N/A,FALSE,"flujo";#N/A,#N/A,FALSE,"comparat";#N/A,#N/A,FALSE,"costos";#N/A,#N/A,FALSE,"proyctrol"}</definedName>
    <definedName function="false" hidden="false" localSheetId="3" name="ttt" vbProcedure="false">{"Informe 2_Consolidado",#N/A,FALSE,"Cons.";"Informe 2_Tunel",#N/A,FALSE,"Cons.";"Informe 2_Melip",#N/A,FALSE,"Cons.";"Informe 2_Guall",#N/A,FALSE,"Cons.";"Informe 2_Sara L",#N/A,FALSE,"Cons.";"Informe 2_Quellon",#N/A,FALSE,"Cons.";"Informe 2_Biolix",#N/A,FALSE,"Cons.";"Informe 2_Oficina",#N/A,FALSE,"Cons.";"Informe 2_Consorcio",#N/A,FALSE,"Cons."}</definedName>
    <definedName function="false" hidden="false" localSheetId="3" name="tuut" vbProcedure="false">{#N/A,#N/A,FALSE,"masez (10)";#N/A,#N/A,FALSE,"masez (7)";#N/A,#N/A,FALSE,"masez (6)";#N/A,#N/A,FALSE,"masez (5)";#N/A,#N/A,FALSE,"masez (4)";#N/A,#N/A,FALSE,"masez (3)";#N/A,#N/A,FALSE,"masez (2)";#N/A,#N/A,FALSE,"GME";#N/A,#N/A,FALSE,"masez"}</definedName>
    <definedName function="false" hidden="false" localSheetId="3" name="v" vbProcedure="false">{#N/A,#N/A,TRUE,"RESUMEN ECON.";#N/A,#N/A,TRUE,"Costos de R.H.";#N/A,#N/A,TRUE,"COSTO HW";#N/A,#N/A,TRUE,"CUADROS";#N/A,#N/A,TRUE,"SCADA´s";#N/A,#N/A,TRUE,"PRECIOS EQUIPOS"}</definedName>
    <definedName function="false" hidden="false" localSheetId="3" name="VCXNVJHKKLYJ" vbProcedure="false">{#N/A,#N/A,FALSE,"masez (10)";#N/A,#N/A,FALSE,"masez (7)";#N/A,#N/A,FALSE,"masez (6)";#N/A,#N/A,FALSE,"masez (5)";#N/A,#N/A,FALSE,"masez (4)";#N/A,#N/A,FALSE,"masez (3)";#N/A,#N/A,FALSE,"masez (2)";#N/A,#N/A,FALSE,"GME";#N/A,#N/A,FALSE,"masez"}</definedName>
    <definedName function="false" hidden="false" localSheetId="3" name="vero" vbProcedure="false">{"Sens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function="false" hidden="false" localSheetId="3" name="viajes" vbProcedure="false">{#N/A,#N/A,TRUE,"RESUMEN ECON.";#N/A,#N/A,TRUE,"Costos de R.H.";#N/A,#N/A,TRUE,"COSTO HW";#N/A,#N/A,TRUE,"CUADROS";#N/A,#N/A,TRUE,"SCADA´s";#N/A,#N/A,TRUE,"PRECIOS EQUIPOS"}</definedName>
    <definedName function="false" hidden="false" localSheetId="3" name="viajes2" vbProcedure="false">{#N/A,#N/A,TRUE,"RESUMEN ECON.";#N/A,#N/A,TRUE,"Costos de R.H.";#N/A,#N/A,TRUE,"COSTO HW";#N/A,#N/A,TRUE,"CUADROS";#N/A,#N/A,TRUE,"SCADA´s";#N/A,#N/A,TRUE,"PRECIOS EQUIPOS"}</definedName>
    <definedName function="false" hidden="false" localSheetId="3" name="viajes22" vbProcedure="false">{#N/A,#N/A,TRUE,"RESUMEN ECON.";#N/A,#N/A,TRUE,"Costos de R.H.";#N/A,#N/A,TRUE,"COSTO HW";#N/A,#N/A,TRUE,"CUADROS";#N/A,#N/A,TRUE,"SCADA´s";#N/A,#N/A,TRUE,"PRECIOS EQUIPOS"}</definedName>
    <definedName function="false" hidden="false" localSheetId="3" name="viajes_2" vbProcedure="false">{#N/A,#N/A,TRUE,"RESUMEN ECON.";#N/A,#N/A,TRUE,"Costos de R.H.";#N/A,#N/A,TRUE,"COSTO HW";#N/A,#N/A,TRUE,"CUADROS";#N/A,#N/A,TRUE,"SCADA´s";#N/A,#N/A,TRUE,"PRECIOS EQUIPOS"}</definedName>
    <definedName function="false" hidden="false" localSheetId="3" name="viio" vbProcedure="false">{#N/A,#N/A,FALSE,"masez (10)";#N/A,#N/A,FALSE,"masez (7)";#N/A,#N/A,FALSE,"masez (6)";#N/A,#N/A,FALSE,"masez (5)";#N/A,#N/A,FALSE,"masez (4)";#N/A,#N/A,FALSE,"masez (3)";#N/A,#N/A,FALSE,"masez (2)";#N/A,#N/A,FALSE,"GME";#N/A,#N/A,FALSE,"masez"}</definedName>
    <definedName function="false" hidden="false" localSheetId="3" name="VVGHJ" vbProcedure="false">{#N/A,#N/A,FALSE,"Graficos"}</definedName>
    <definedName function="false" hidden="false" localSheetId="3" name="VVGVHJ" vbProcedure="false">{#N/A,#N/A,FALSE,"Graficos"}</definedName>
    <definedName function="false" hidden="false" localSheetId="3" name="WERT" vbProcedure="false">{#N/A,#N/A,FALSE,"masez (10)";#N/A,#N/A,FALSE,"masez (7)";#N/A,#N/A,FALSE,"masez (6)";#N/A,#N/A,FALSE,"masez (5)";#N/A,#N/A,FALSE,"masez (4)";#N/A,#N/A,FALSE,"masez (3)";#N/A,#N/A,FALSE,"masez (2)";#N/A,#N/A,FALSE,"GME";#N/A,#N/A,FALSE,"masez"}</definedName>
    <definedName function="false" hidden="false" localSheetId="3" name="WIC_List_Factor" vbProcedure="false">#REF!</definedName>
    <definedName function="false" hidden="false" localSheetId="3" name="wrn.A." vbProcedure="false">{#N/A,#N/A,FALSE,"A (4)"}</definedName>
    <definedName function="false" hidden="false" localSheetId="3" name="wrn.ARA." vbProcedure="false">{"ARA1",#N/A,FALSE,"ENG-ARA";"ARAhours",#N/A,FALSE,"ENG-ARA";"ARA$",#N/A,FALSE,"ENG-ARA"}</definedName>
    <definedName function="false" hidden="false" localSheetId="3" name="wrn.Barbara._.Modular._.Indirects." vbProcedure="false">{#N/A,#N/A,FALSE,"COVER";#N/A,#N/A,FALSE,"RECAP";#N/A,#N/A,FALSE,"SANTA BARBARA NONMANUAL";#N/A,#N/A,FALSE,"CEQUIP";#N/A,#N/A,FALSE,"WRATE";#N/A,#N/A,FALSE,"INDIRECT";#N/A,#N/A,FALSE,"TRAIN";#N/A,#N/A,FALSE,"MANLOADED SCHEDULE"}</definedName>
    <definedName function="false" hidden="false" localSheetId="3" name="wrn.bechtel._.hours." vbProcedure="false">{"bechtel1",#N/A,TRUE,"BECHTEL";"bechtelhours",#N/A,TRUE,"BECHTEL";"bechtel$",#N/A,TRUE,"BECHTEL"}</definedName>
    <definedName function="false" hidden="false" localSheetId="3" name="wrn.CIGG." vbProcedure="false">{"CI+GG(BASE)",#N/A,FALSE,"CI+GG(BASE)";"GG",#N/A,FALSE,"CI+GG(BASE)";"CI",#N/A,FALSE,"CI+GG(BASE)"}</definedName>
    <definedName function="false" hidden="false" localSheetId="3" name="wrn.compa." vbProcedure="false">{"cuadro1",#N/A,FALSE,"periodos entre Opciones";"cuadro2",#N/A,FALSE,"periodos entre Opciones"}</definedName>
    <definedName function="false" hidden="false" localSheetId="3" name="wrn.CONTROL._.ARCHIVO." vbProcedure="false">{"Control_Consolidado",#N/A,FALSE,"Cons.";"Control_Tunel",#N/A,FALSE,"Cons.";"Control_Melip",#N/A,FALSE,"Cons.";"Control_Gualleco",#N/A,FALSE,"Cons.";"Control_Sara L",#N/A,FALSE,"Cons.";"Control_Quellon",#N/A,FALSE,"Cons.";"Control_Biolix",#N/A,FALSE,"Cons.";"Control_Oficina",#N/A,FALSE,"Cons.";"Control_Consorcio",#N/A,FALSE,"Cons."}</definedName>
    <definedName function="false" hidden="false" localSheetId="3" name="wrn.Cost._.Data." vbProcedure="false">{"Cost_Curve_Data",#N/A,FALSE,"Indonesia"}</definedName>
    <definedName function="false" hidden="false" localSheetId="3" name="wrn.Costs." vbProcedure="false">{"p1",#N/A,FALSE,"Indonesia";"p2",#N/A,FALSE,"Indonesia";"p3",#N/A,FALSE,"Indonesia";"p4",#N/A,FALSE,"Indonesia"}</definedName>
    <definedName function="false" hidden="false" localSheetId="3" name="wrn.CV._.Capex." vbProcedure="false">{"CV Capex",#N/A,FALSE,"CV Capex"}</definedName>
    <definedName function="false" hidden="false" localSheetId="3" name="wrn.Detail." vbProcedure="false">{#N/A,#N/A,FALSE,"Matrix";#N/A,#N/A,FALSE,"Executive";#N/A,#N/A,FALSE,"Summary";#N/A,#N/A,FALSE,"Office1";#N/A,#N/A,FALSE,"Office2";#N/A,#N/A,FALSE,"Office3";#N/A,#N/A,FALSE,"Office4";#N/A,#N/A,FALSE,"Office5";#N/A,#N/A,FALSE,"Office6";#N/A,#N/A,FALSE,"Office7";#N/A,#N/A,FALSE,"Labor"}</definedName>
    <definedName function="false" hidden="false" localSheetId="3" name="wrn.Día._.API." vbProcedure="false">{#N/A,#N/A,FALSE,"IC_Global";#N/A,#N/A,FALSE,"IC_Global (98-f)";#N/A,#N/A,FALSE,"Inc";#N/A,#N/A,FALSE,"CAMBIOS (2)";#N/A,#N/A,FALSE,"EXPL Inc.";#N/A,#N/A,FALSE,"HITOS98";#N/A,#N/A,FALSE,"CURVA ""S"" GLOBAL ";#N/A,#N/A,FALSE,"CURVA ""S"" 1998 "}</definedName>
    <definedName function="false" hidden="false" localSheetId="3" name="wrn.El._.Indio._.Production._.Summary." vbProcedure="false">{#N/A,#N/A,FALSE,"summary";#N/A,#N/A,FALSE,"SumGraph"}</definedName>
    <definedName function="false" hidden="false" localSheetId="3" name="wrn.ep10." vbProcedure="false">{#N/A,#N/A,FALSE,"masez (10)";#N/A,#N/A,FALSE,"masez (7)";#N/A,#N/A,FALSE,"masez (6)";#N/A,#N/A,FALSE,"masez (5)";#N/A,#N/A,FALSE,"masez (4)";#N/A,#N/A,FALSE,"masez (3)";#N/A,#N/A,FALSE,"masez (2)";#N/A,#N/A,FALSE,"GME";#N/A,#N/A,FALSE,"masez"}</definedName>
    <definedName function="false" hidden="false" localSheetId="3" name="wrn.Forms." vbProcedure="false">{#N/A,#N/A,FALSE,"E-1";#N/A,#N/A,FALSE,"E-2";#N/A,#N/A,FALSE,"F-1";#N/A,#N/A,FALSE,"F-2";#N/A,#N/A,FALSE,"F-3";#N/A,#N/A,FALSE,"F-4";#N/A,#N/A,FALSE,"F-5";#N/A,#N/A,FALSE,"F-6";#N/A,#N/A,FALSE,"Matrix"}</definedName>
    <definedName function="false" hidden="false" localSheetId="3" name="wrn.GERAL." vbProcedure="false">{#N/A,#N/A,FALSE,"ET-CAPA";#N/A,#N/A,FALSE,"ET-PAG1";#N/A,#N/A,FALSE,"ET-PAG2";#N/A,#N/A,FALSE,"ET-PAG3";#N/A,#N/A,FALSE,"ET-PAG4";#N/A,#N/A,FALSE,"ET-PAG5"}</definedName>
    <definedName function="false" hidden="false" localSheetId="3" name="wrn.Graficos." vbProcedure="false">{"Graf_Carga Trab",#N/A,FALSE,"Grafi_Carga Trab";"Graf_Venta Flujo",#N/A,FALSE,"Grafi_Carga Trab"}</definedName>
    <definedName function="false" hidden="false" localSheetId="3" name="wrn.IncomeStatement." vbProcedure="false">{"IncomeStatement",#N/A,FALSE,"Sheet1"}</definedName>
    <definedName function="false" hidden="false" localSheetId="3" name="wrn.Informe._.1." vbProcedure="false">{"Informe 1_Consolidado",#N/A,FALSE,"Cons.";"Informe 1_Tunel",#N/A,FALSE,"Cons.";"Informe 1_Melip",#N/A,FALSE,"Cons.";"Informe 1_Guall",#N/A,FALSE,"Cons.";"Informe 1_Sara L",#N/A,FALSE,"Cons.";"Informe 1_Quellon",#N/A,FALSE,"Cons.";"Informe 1_Biolix",#N/A,FALSE,"Cons.";"Informe 1_Oficina",#N/A,FALSE,"Cons.";"Informe 1_Consorcio",#N/A,FALSE,"Cons."}</definedName>
    <definedName function="false" hidden="false" localSheetId="3" name="wrn.Informe._.2." vbProcedure="false">{"Informe 2_Consolidado",#N/A,FALSE,"Cons.";"Informe 2_Tunel",#N/A,FALSE,"Cons.";"Informe 2_Melip",#N/A,FALSE,"Cons.";"Informe 2_Guall",#N/A,FALSE,"Cons.";"Informe 2_Sara L",#N/A,FALSE,"Cons.";"Informe 2_Quellon",#N/A,FALSE,"Cons.";"Informe 2_Biolix",#N/A,FALSE,"Cons.";"Informe 2_Oficina",#N/A,FALSE,"Cons.";"Informe 2_Consorcio",#N/A,FALSE,"Cons."}</definedName>
    <definedName function="false" hidden="false" localSheetId="3" name="wrn.INFORMETEC." vbProcedure="false">{#N/A,#N/A,FALSE,"TEC-01";#N/A,#N/A,FALSE,"TEC - 02";#N/A,#N/A,FALSE,"TEC - 03";#N/A,#N/A,FALSE,"TEC - 04";#N/A,#N/A,FALSE,"TEC-07";#N/A,#N/A,FALSE,"TEC-08";#N/A,#N/A,FALSE,"TEC - 09A";#N/A,#N/A,FALSE,"TEC - 09B";#N/A,#N/A,FALSE,"TEC - 09C";#N/A,#N/A,FALSE,"TEC - 10";#N/A,#N/A,FALSE,"TEC-11"}</definedName>
    <definedName function="false" hidden="false" localSheetId="3" name="wrn.INFORME_XPAND." vbProcedure="false">{"DETALLE_1996",#N/A,FALSE,"flujo";"DETALLE_1997",#N/A,FALSE,"flujo";"GASTOS_INCURRIDOS_1996",#N/A,FALSE,"flujo";"GASTOS_PROGRAMADOS_PARA_1997",#N/A,FALSE,"flujo";#N/A,#N/A,FALSE,"comparat";#N/A,#N/A,FALSE,"costos";#N/A,#N/A,FALSE,"proyctrol"}</definedName>
    <definedName function="false" hidden="false" localSheetId="3" name="wrn.LISTADO." vbProcedure="false">{"Práctica","Práctica",FALSE,"Práctica"}</definedName>
    <definedName function="false" hidden="false" localSheetId="3" name="wrn.Loading._.Rates." vbProcedure="false">{"Loading_Rates",#N/A,FALSE,"Shipping Requirements"}</definedName>
    <definedName function="false" hidden="false" localSheetId="3" name="wrn.MILLARES." vbProcedure="false">{#N/A,#N/A,TRUE,"RESUMEN ECON.";#N/A,#N/A,TRUE,"Costos de R.H.";#N/A,#N/A,TRUE,"COSTO HW";#N/A,#N/A,TRUE,"CUADROS";#N/A,#N/A,TRUE,"SCADA´s";#N/A,#N/A,TRUE,"PRECIOS EQUIPOS"}</definedName>
    <definedName function="false" hidden="false" localSheetId="3" name="wrn.MILLARES.2" vbProcedure="false">{#N/A,#N/A,TRUE,"RESUMEN ECON.";#N/A,#N/A,TRUE,"Costos de R.H.";#N/A,#N/A,TRUE,"COSTO HW";#N/A,#N/A,TRUE,"CUADROS";#N/A,#N/A,TRUE,"SCADA´s";#N/A,#N/A,TRUE,"PRECIOS EQUIPOS"}</definedName>
    <definedName function="false" hidden="false" localSheetId="3" name="wrn.MO." vbProcedure="false">{"MO(BASE)",#N/A,FALSE,"MO(BASE)";"MO(BASE)1",#N/A,FALSE,"MO(BASE)";"MO(BASE)2",#N/A,FALSE,"MO(BASE)"}</definedName>
    <definedName function="false" hidden="false" localSheetId="3" name="wrn.Nelson._.Summary." vbProcedure="false">{#N/A,#N/A,FALSE,"subcontract"}</definedName>
    <definedName function="false" hidden="false" localSheetId="3" name="wrn.op1." vbProcedure="false">{"cuadro1",#N/A,FALSE,"Cam buz camión Opción 1";"cuadro2",#N/A,FALSE,"Cam buz camión Opción 1";"cuadro3",#N/A,FALSE,"Cam buz camión Opción 1";"cuadro4",#N/A,FALSE,"Cam buz camión Opción 1";"cuadro5",#N/A,FALSE,"Cam buz camión Opción 1"}</definedName>
    <definedName function="false" hidden="false" localSheetId="3" name="wrn.op2" vbProcedure="false">{"cuadro1",#N/A,FALSE,"Buzon Camion Opción 3";"cuadro2",#N/A,FALSE,"Buzon Camion Opción 3";"cuadro3",#N/A,FALSE,"Buzon Camion Opción 3";"cuadro4",#N/A,FALSE,"Buzon Camion Opción 3"}</definedName>
    <definedName function="false" hidden="false" localSheetId="3" name="wrn.op2." vbProcedure="false">{"cuadro1",#N/A,FALSE,"LHD CAMION Opción 2";"cuadro2",#N/A,FALSE,"LHD CAMION Opción 2";"cuadro3",#N/A,FALSE,"LHD CAMION Opción 2";"cuadro4",#N/A,FALSE,"LHD CAMION Opción 2"}</definedName>
    <definedName function="false" hidden="false" localSheetId="3" name="wrn.op3." vbProcedure="false">{"cuadro1",#N/A,FALSE,"Buzon Camion Opción 3";"cuadro2",#N/A,FALSE,"Buzon Camion Opción 3";"cuadro3",#N/A,FALSE,"Buzon Camion Opción 3";"cuadro4",#N/A,FALSE,"Buzon Camion Opción 3"}</definedName>
    <definedName function="false" hidden="false" localSheetId="3" name="wrn.op4." vbProcedure="false">{"cuadro1",#N/A,FALSE,"Buzon FFCC Opción 4";"cuadro2",#N/A,FALSE,"Buzon FFCC Opción 4";"cuadro3",#N/A,FALSE,"Buzon FFCC Opción 4";"cuadro4",#N/A,FALSE,"Buzon FFCC Opción 4"}</definedName>
    <definedName function="false" hidden="false" localSheetId="3" name="wrn.op5." vbProcedure="false">{"cuadro1",#N/A,FALSE,"Camara buz ffcc Opción 5";"cuadro2",#N/A,FALSE,"Camara buz ffcc Opción 5";"cuadro3",#N/A,FALSE,"Camara buz ffcc Opción 5";"cuadro4",#N/A,FALSE,"Camara buz ffcc Opción 5"}</definedName>
    <definedName function="false" hidden="false" localSheetId="3" name="wrn.P3_Sched." vbProcedure="false">{"CV_sched",#N/A,FALSE,"CV MinePlan - Phase 3 BaseCase"}</definedName>
    <definedName function="false" hidden="false" localSheetId="3" name="wrn.pendientes." vbProcedure="false">{#N/A,#N/A,FALSE,"PEND INC";#N/A,#N/A,FALSE,"PEND MINM"}</definedName>
    <definedName function="false" hidden="false" localSheetId="3" name="wrn.plan._.inicial." vbProcedure="false">{#N/A,#N/A,FALSE,"Planificación"}</definedName>
    <definedName function="false" hidden="false" localSheetId="3" name="wrn.price._.data." vbProcedure="false">{"price_data",#N/A,FALSE,"Trade Balance"}</definedName>
    <definedName function="false" hidden="false" localSheetId="3" name="wrn.Print._.Base._.Case._.Statements." vbProcedure="false">{"Sens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function="false" hidden="false" localSheetId="3" name="wrn.print1." vbProcedure="false">{#N/A,#N/A,TRUE,"Est. de Fact.";#N/A,#N/A,TRUE,"Capitulo 19";#N/A,#N/A,TRUE,"Proyecto P855"}</definedName>
    <definedName function="false" hidden="false" localSheetId="3" name="wrn.PRINTBAS." vbProcedure="false">{#N/A,#N/A,FALSE,"Total_OC015";#N/A,#N/A,FALSE,"ADMIN";#N/A,#N/A,FALSE,"PROCES";#N/A,#N/A,FALSE,"mecan";#N/A,#N/A,FALSE,"civil";#N/A,#N/A,FALSE,"CAÑER";#N/A,#N/A,FALSE,"ELEC";#N/A,#N/A,FALSE,"INSTR"}</definedName>
    <definedName function="false" hidden="false" localSheetId="3" name="wrn.PRINTEPRS." vbProcedure="false">{#N/A,#N/A,FALSE,"minas";#N/A,#N/A,FALSE,"Total_OC015";#N/A,#N/A,FALSE,"ADMIN";#N/A,#N/A,FALSE,"PROCES";#N/A,#N/A,FALSE,"civil";#N/A,#N/A,FALSE,"CAÑER";#N/A,#N/A,FALSE,"ELEC";#N/A,#N/A,FALSE,"INSTR";#N/A,#N/A,FALSE,"PDS";#N/A,#N/A,FALSE,"mecan"}</definedName>
    <definedName function="false" hidden="false" localSheetId="3" name="wrn.PROCART." vbProcedure="false">{#N/A,#N/A,FALSE,"MAQUINA"}</definedName>
    <definedName function="false" hidden="false" localSheetId="3" name="wrn.Ricobayo._.I." vbProcedure="false">{#N/A,#N/A,FALSE,"RESUMEN ECON.";#N/A,#N/A,FALSE,"Costos de R.H.";#N/A,#N/A,FALSE,"COSTO HW";#N/A,#N/A,FALSE,"CUADROS";#N/A,#N/A,FALSE,"SCADA´s";#N/A,#N/A,FALSE,"PRECIOS EQUIPOS"}</definedName>
    <definedName function="false" hidden="false" localSheetId="3" name="wrn.Ricobayo._.I.2" vbProcedure="false">{#N/A,#N/A,FALSE,"RESUMEN ECON.";#N/A,#N/A,FALSE,"Costos de R.H.";#N/A,#N/A,FALSE,"COSTO HW";#N/A,#N/A,FALSE,"CUADROS";#N/A,#N/A,FALSE,"SCADA´s";#N/A,#N/A,FALSE,"PRECIOS EQUIPOS"}</definedName>
    <definedName function="false" hidden="false" localSheetId="3" name="wrn.Ship_Reqs." vbProcedure="false">{"Ship_Reqs",#N/A,FALSE,"Shipping Requirements"}</definedName>
    <definedName function="false" hidden="false" localSheetId="3" name="wrn.Summary." vbProcedure="false">{#N/A,#N/A,FALSE,"Matrix";#N/A,#N/A,FALSE,"Executive";#N/A,#N/A,FALSE,"Summary"}</definedName>
    <definedName function="false" hidden="false" localSheetId="3" name="wrn.temp." vbProcedure="false">{"Capex_Check",#N/A,FALSE,"Capex Schedule"}</definedName>
    <definedName function="false" hidden="false" localSheetId="3" name="wrn.UG_Capex." vbProcedure="false">{"UX_p1",#N/A,FALSE,"UG Capex";"UX_p2",#N/A,FALSE,"UG Capex";"UX_p3",#N/A,FALSE,"UG Capex";"UX_p4",#N/A,FALSE,"UG Capex";"UX_p5",#N/A,FALSE,"UG Capex"}</definedName>
    <definedName function="false" hidden="false" localSheetId="3" name="wrn.UG_Costs." vbProcedure="false">{"UG_p1",#N/A,FALSE,"UG Mine Costs";"UG_p2",#N/A,FALSE,"UG Mine Costs";"UG_p3",#N/A,FALSE,"UG Mine Costs";"UG_p4",#N/A,FALSE,"UG Mine Costs";"UG_p5",#N/A,FALSE,"UG Mine Costs";"UG_p6",#N/A,FALSE,"UG Mine Costs"}</definedName>
    <definedName function="false" hidden="false" localSheetId="3" name="wrn.unidades." vbProcedure="false">{#N/A,#N/A,FALSE,"RESUMEN";#N/A,#N/A,FALSE,"GG-GI";#N/A,#N/A,FALSE,"AMB";#N/A,#N/A,FALSE,"EyR";#N/A,#N/A,FALSE,"UCP";#N/A,#N/A,FALSE,"IND";#N/A,#N/A,FALSE,"LR";#N/A,#N/A,FALSE,"PRV";#N/A,#N/A,FALSE,"TÚNELES";#N/A,#N/A,FALSE,"IDT";#N/A,#N/A,FALSE,"ING"}</definedName>
    <definedName function="false" hidden="false" localSheetId="3" name="wrn.WProd." vbProcedure="false">{"wprod",#N/A,FALSE,"World Production"}</definedName>
    <definedName function="false" hidden="false" localSheetId="3" name="ww" vbProcedure="false">{#N/A,#N/A,FALSE,"IC_Global";#N/A,#N/A,FALSE,"IC_Global (98-f)";#N/A,#N/A,FALSE,"Inc";#N/A,#N/A,FALSE,"CAMBIOS (2)";#N/A,#N/A,FALSE,"EXPL Inc.";#N/A,#N/A,FALSE,"HITOS98";#N/A,#N/A,FALSE,"CURVA ""S"" GLOBAL ";#N/A,#N/A,FALSE,"CURVA ""S"" 1998 "}</definedName>
    <definedName function="false" hidden="false" localSheetId="3" name="wwewrt" vbProcedure="false">{#N/A,#N/A,FALSE,"RESUMEN ECON.";#N/A,#N/A,FALSE,"Costos de R.H.";#N/A,#N/A,FALSE,"COSTO HW";#N/A,#N/A,FALSE,"CUADROS";#N/A,#N/A,FALSE,"SCADA´s";#N/A,#N/A,FALSE,"PRECIOS EQUIPOS"}</definedName>
    <definedName function="false" hidden="false" localSheetId="3" name="wwewrt2" vbProcedure="false">{#N/A,#N/A,FALSE,"RESUMEN ECON.";#N/A,#N/A,FALSE,"Costos de R.H.";#N/A,#N/A,FALSE,"COSTO HW";#N/A,#N/A,FALSE,"CUADROS";#N/A,#N/A,FALSE,"SCADA´s";#N/A,#N/A,FALSE,"PRECIOS EQUIPOS"}</definedName>
    <definedName function="false" hidden="false" localSheetId="3" name="www" vbProcedure="false">{#N/A,#N/A,FALSE,"masez (10)";#N/A,#N/A,FALSE,"masez (7)";#N/A,#N/A,FALSE,"masez (6)";#N/A,#N/A,FALSE,"masez (5)";#N/A,#N/A,FALSE,"masez (4)";#N/A,#N/A,FALSE,"masez (3)";#N/A,#N/A,FALSE,"masez (2)";#N/A,#N/A,FALSE,"GME";#N/A,#N/A,FALSE,"masez"}</definedName>
    <definedName function="false" hidden="false" localSheetId="3" name="X" vbProcedure="false">{"Informe 2_Consolidado",#N/A,FALSE,"Cons.";"Informe 2_Tunel",#N/A,FALSE,"Cons.";"Informe 2_Melip",#N/A,FALSE,"Cons.";"Informe 2_Guall",#N/A,FALSE,"Cons.";"Informe 2_Sara L",#N/A,FALSE,"Cons.";"Informe 2_Quellon",#N/A,FALSE,"Cons.";"Informe 2_Biolix",#N/A,FALSE,"Cons.";"Informe 2_Oficina",#N/A,FALSE,"Cons.";"Informe 2_Consorcio",#N/A,FALSE,"Cons."}</definedName>
    <definedName function="false" hidden="false" localSheetId="3" name="XDRTHR" vbProcedure="false">{"DETALLE_1996",#N/A,FALSE,"flujo";"DETALLE_1997",#N/A,FALSE,"flujo";"GASTOS_INCURRIDOS_1996",#N/A,FALSE,"flujo";"GASTOS_PROGRAMADOS_PARA_1997",#N/A,FALSE,"flujo";#N/A,#N/A,FALSE,"comparat";#N/A,#N/A,FALSE,"costos";#N/A,#N/A,FALSE,"proyctrol"}</definedName>
    <definedName function="false" hidden="false" localSheetId="3" name="xx" vbProcedure="false">{#N/A,#N/A,FALSE,"COVER";#N/A,#N/A,FALSE,"RECAP";#N/A,#N/A,FALSE,"SANTA BARBARA NONMANUAL";#N/A,#N/A,FALSE,"CEQUIP";#N/A,#N/A,FALSE,"WRATE";#N/A,#N/A,FALSE,"INDIRECT";#N/A,#N/A,FALSE,"TRAIN";#N/A,#N/A,FALSE,"MANLOADED SCHEDULE"}</definedName>
    <definedName function="false" hidden="false" localSheetId="3" name="xxx" vbProcedure="false">{#N/A,#N/A,FALSE,"Matrix";#N/A,#N/A,FALSE,"Executive";#N/A,#N/A,FALSE,"Summary";#N/A,#N/A,FALSE,"Office1";#N/A,#N/A,FALSE,"Office2";#N/A,#N/A,FALSE,"Office3";#N/A,#N/A,FALSE,"Office4";#N/A,#N/A,FALSE,"Office5";#N/A,#N/A,FALSE,"Office6";#N/A,#N/A,FALSE,"Office7";#N/A,#N/A,FALSE,"Labor"}</definedName>
    <definedName function="false" hidden="false" localSheetId="3" name="XXXX" vbProcedure="false">{"DETALLE_1996",#N/A,FALSE,"flujo";"DETALLE_1997",#N/A,FALSE,"flujo";"GASTOS_INCURRIDOS_1996",#N/A,FALSE,"flujo";"GASTOS_PROGRAMADOS_PARA_1997",#N/A,FALSE,"flujo";#N/A,#N/A,FALSE,"comparat";#N/A,#N/A,FALSE,"costos";#N/A,#N/A,FALSE,"proyctrol"}</definedName>
    <definedName function="false" hidden="false" localSheetId="3" name="xxxxx" vbProcedure="false">{#N/A,#N/A,FALSE,"masez (10)";#N/A,#N/A,FALSE,"masez (7)";#N/A,#N/A,FALSE,"masez (6)";#N/A,#N/A,FALSE,"masez (5)";#N/A,#N/A,FALSE,"masez (4)";#N/A,#N/A,FALSE,"masez (3)";#N/A,#N/A,FALSE,"masez (2)";#N/A,#N/A,FALSE,"GME";#N/A,#N/A,FALSE,"masez"}</definedName>
    <definedName function="false" hidden="false" localSheetId="3" name="YY" vbProcedure="false">{"Informe 2_Consolidado",#N/A,FALSE,"Cons.";"Informe 2_Tunel",#N/A,FALSE,"Cons.";"Informe 2_Melip",#N/A,FALSE,"Cons.";"Informe 2_Guall",#N/A,FALSE,"Cons.";"Informe 2_Sara L",#N/A,FALSE,"Cons.";"Informe 2_Quellon",#N/A,FALSE,"Cons.";"Informe 2_Biolix",#N/A,FALSE,"Cons.";"Informe 2_Oficina",#N/A,FALSE,"Cons.";"Informe 2_Consorcio",#N/A,FALSE,"Cons."}</definedName>
    <definedName function="false" hidden="false" localSheetId="3" name="yyy" vbProcedure="false">{"DETALLE_1996",#N/A,FALSE,"flujo";"DETALLE_1997",#N/A,FALSE,"flujo";"GASTOS_INCURRIDOS_1996",#N/A,FALSE,"flujo";"GASTOS_PROGRAMADOS_PARA_1997",#N/A,FALSE,"flujo";#N/A,#N/A,FALSE,"comparat";#N/A,#N/A,FALSE,"costos";#N/A,#N/A,FALSE,"proyctrol"}</definedName>
    <definedName function="false" hidden="false" localSheetId="3" name="z" vbProcedure="false">{#N/A,#N/A,TRUE,"RESUMEN ECON.";#N/A,#N/A,TRUE,"Costos de R.H.";#N/A,#N/A,TRUE,"COSTO HW";#N/A,#N/A,TRUE,"CUADROS";#N/A,#N/A,TRUE,"SCADA´s";#N/A,#N/A,TRUE,"PRECIOS EQUIPOS"}</definedName>
    <definedName function="false" hidden="false" localSheetId="3" name="zz" vbProcedure="false">{#N/A,#N/A,FALSE,"COVER";#N/A,#N/A,FALSE,"RECAP";#N/A,#N/A,FALSE,"SANTA BARBARA NONMANUAL";#N/A,#N/A,FALSE,"CEQUIP";#N/A,#N/A,FALSE,"WRATE";#N/A,#N/A,FALSE,"INDIRECT";#N/A,#N/A,FALSE,"TRAIN";#N/A,#N/A,FALSE,"MANLOADED SCHEDULE"}</definedName>
    <definedName function="false" hidden="false" localSheetId="3" name="zzz" vbProcedure="false">{#N/A,#N/A,FALSE,"masez (10)";#N/A,#N/A,FALSE,"masez (7)";#N/A,#N/A,FALSE,"masez (6)";#N/A,#N/A,FALSE,"masez (5)";#N/A,#N/A,FALSE,"masez (4)";#N/A,#N/A,FALSE,"masez (3)";#N/A,#N/A,FALSE,"masez (2)";#N/A,#N/A,FALSE,"GME";#N/A,#N/A,FALSE,"masez"}</definedName>
    <definedName function="false" hidden="false" localSheetId="3" name="_1__123Graph_A__200__BPF" vbProcedure="false">#REF!</definedName>
    <definedName function="false" hidden="false" localSheetId="3" name="_a2" vbProcedure="false">{#N/A,#N/A,TRUE,"RESUMEN ECON.";#N/A,#N/A,TRUE,"Costos de R.H.";#N/A,#N/A,TRUE,"COSTO HW";#N/A,#N/A,TRUE,"CUADROS";#N/A,#N/A,TRUE,"SCADA´s";#N/A,#N/A,TRUE,"PRECIOS EQUIPOS"}</definedName>
    <definedName function="false" hidden="false" localSheetId="3" name="_aaa2" vbProcedure="false">{#N/A,#N/A,TRUE,"RESUMEN ECON.";#N/A,#N/A,TRUE,"Costos de R.H.";#N/A,#N/A,TRUE,"COSTO HW";#N/A,#N/A,TRUE,"CUADROS";#N/A,#N/A,TRUE,"SCADA´s";#N/A,#N/A,TRUE,"PRECIOS EQUIPOS"}</definedName>
    <definedName function="false" hidden="false" localSheetId="3" name="_b2" vbProcedure="false">{#N/A,#N/A,FALSE,"RESUMEN ECON.";#N/A,#N/A,FALSE,"Costos de R.H.";#N/A,#N/A,FALSE,"COSTO HW";#N/A,#N/A,FALSE,"CUADROS";#N/A,#N/A,FALSE,"SCADA´s";#N/A,#N/A,FALSE,"PRECIOS EQUIPOS"}</definedName>
    <definedName function="false" hidden="false" localSheetId="3" name="_bbb1" vbProcedure="false">{#N/A,#N/A,TRUE,"RESUMEN ECON.";#N/A,#N/A,TRUE,"Costos de R.H.";#N/A,#N/A,TRUE,"COSTO HW";#N/A,#N/A,TRUE,"CUADROS";#N/A,#N/A,TRUE,"SCADA´s";#N/A,#N/A,TRUE,"PRECIOS EQUIPOS"}</definedName>
    <definedName function="false" hidden="false" localSheetId="3" name="_bbb2" vbProcedure="false">{#N/A,#N/A,TRUE,"RESUMEN ECON.";#N/A,#N/A,TRUE,"Costos de R.H.";#N/A,#N/A,TRUE,"COSTO HW";#N/A,#N/A,TRUE,"CUADROS";#N/A,#N/A,TRUE,"SCADA´s";#N/A,#N/A,TRUE,"PRECIOS EQUIPOS"}</definedName>
    <definedName function="false" hidden="false" localSheetId="3" name="_cc1" vbProcedure="false">{"DETALLE_1996",#N/A,FALSE,"flujo";"DETALLE_1997",#N/A,FALSE,"flujo";"GASTOS_INCURRIDOS_1996",#N/A,FALSE,"flujo";"GASTOS_PROGRAMADOS_PARA_1997",#N/A,FALSE,"flujo";#N/A,#N/A,FALSE,"comparat";#N/A,#N/A,FALSE,"costos";#N/A,#N/A,FALSE,"proyctrol"}</definedName>
    <definedName function="false" hidden="false" localSheetId="3" name="_ccc2" vbProcedure="false">{#N/A,#N/A,FALSE,"RESUMEN ECON.";#N/A,#N/A,FALSE,"Costos de R.H.";#N/A,#N/A,FALSE,"COSTO HW";#N/A,#N/A,FALSE,"CUADROS";#N/A,#N/A,FALSE,"SCADA´s";#N/A,#N/A,FALSE,"PRECIOS EQUIPOS"}</definedName>
    <definedName function="false" hidden="false" localSheetId="3" name="_d2" vbProcedure="false">{#N/A,#N/A,TRUE,"RESUMEN ECON.";#N/A,#N/A,TRUE,"Costos de R.H.";#N/A,#N/A,TRUE,"COSTO HW";#N/A,#N/A,TRUE,"CUADROS";#N/A,#N/A,TRUE,"SCADA´s";#N/A,#N/A,TRUE,"PRECIOS EQUIPOS"}</definedName>
    <definedName function="false" hidden="false" localSheetId="3" name="_ddd2" vbProcedure="false">{#N/A,#N/A,TRUE,"RESUMEN ECON.";#N/A,#N/A,TRUE,"Costos de R.H.";#N/A,#N/A,TRUE,"COSTO HW";#N/A,#N/A,TRUE,"CUADROS";#N/A,#N/A,TRUE,"SCADA´s";#N/A,#N/A,TRUE,"PRECIOS EQUIPOS"}</definedName>
    <definedName function="false" hidden="false" localSheetId="3" name="_EPC2" vbProcedure="false">{#N/A,#N/A,FALSE,"RESUMEN ECON.";#N/A,#N/A,FALSE,"Costos de R.H.";#N/A,#N/A,FALSE,"COSTO HW";#N/A,#N/A,FALSE,"CUADROS";#N/A,#N/A,FALSE,"SCADA´s";#N/A,#N/A,FALSE,"PRECIOS EQUIPOS"}</definedName>
    <definedName function="false" hidden="false" localSheetId="3" name="_ETI2" vbProcedure="false">{"'Sheet1'!$A$1:$G$85"}</definedName>
    <definedName function="false" hidden="false" localSheetId="3" name="_FC" vbProcedure="false">{"DETALLE_1996",#N/A,FALSE,"flujo";"DETALLE_1997",#N/A,FALSE,"flujo";"GASTOS_INCURRIDOS_1996",#N/A,FALSE,"flujo";"GASTOS_PROGRAMADOS_PARA_1997",#N/A,FALSE,"flujo";#N/A,#N/A,FALSE,"comparat";#N/A,#N/A,FALSE,"costos";#N/A,#N/A,FALSE,"proyctrol"}</definedName>
    <definedName function="false" hidden="false" localSheetId="3" name="_FHE7" vbProcedure="false">{#N/A,#N/A,FALSE,"masez (10)";#N/A,#N/A,FALSE,"masez (7)";#N/A,#N/A,FALSE,"masez (6)";#N/A,#N/A,FALSE,"masez (5)";#N/A,#N/A,FALSE,"masez (4)";#N/A,#N/A,FALSE,"masez (3)";#N/A,#N/A,FALSE,"masez (2)";#N/A,#N/A,FALSE,"GME";#N/A,#N/A,FALSE,"masez"}</definedName>
    <definedName function="false" hidden="false" localSheetId="3" name="_Fill" vbProcedure="false">#REF!</definedName>
    <definedName function="false" hidden="false" localSheetId="3" name="_Fill_1" vbProcedure="false">#REF!</definedName>
    <definedName function="false" hidden="false" localSheetId="3" name="_gg2" vbProcedure="false">{#N/A,#N/A,FALSE,"RESUMEN ECON.";#N/A,#N/A,FALSE,"Costos de R.H.";#N/A,#N/A,FALSE,"COSTO HW";#N/A,#N/A,FALSE,"CUADROS";#N/A,#N/A,FALSE,"SCADA´s";#N/A,#N/A,FALSE,"PRECIOS EQUIPOS"}</definedName>
    <definedName function="false" hidden="false" localSheetId="3" name="_ggg2" vbProcedure="false">{#N/A,#N/A,TRUE,"RESUMEN ECON.";#N/A,#N/A,TRUE,"Costos de R.H.";#N/A,#N/A,TRUE,"COSTO HW";#N/A,#N/A,TRUE,"CUADROS";#N/A,#N/A,TRUE,"SCADA´s";#N/A,#N/A,TRUE,"PRECIOS EQUIPOS"}</definedName>
    <definedName function="false" hidden="false" localSheetId="3" name="_jy5" vbProcedure="false">{#N/A,#N/A,FALSE,"masez (10)";#N/A,#N/A,FALSE,"masez (7)";#N/A,#N/A,FALSE,"masez (6)";#N/A,#N/A,FALSE,"masez (5)";#N/A,#N/A,FALSE,"masez (4)";#N/A,#N/A,FALSE,"masez (3)";#N/A,#N/A,FALSE,"masez (2)";#N/A,#N/A,FALSE,"GME";#N/A,#N/A,FALSE,"masez"}</definedName>
    <definedName function="false" hidden="false" localSheetId="3" name="_Key1" vbProcedure="false">#REF!</definedName>
    <definedName function="false" hidden="false" localSheetId="3" name="_Key2" vbProcedure="false">#REF!</definedName>
    <definedName function="false" hidden="false" localSheetId="3" name="_ooo2" vbProcedure="false">{#N/A,#N/A,FALSE,"RESUMEN ECON.";#N/A,#N/A,FALSE,"Costos de R.H.";#N/A,#N/A,FALSE,"COSTO HW";#N/A,#N/A,FALSE,"CUADROS";#N/A,#N/A,FALSE,"SCADA´s";#N/A,#N/A,FALSE,"PRECIOS EQUIPOS"}</definedName>
    <definedName function="false" hidden="false" localSheetId="3" name="_PL1" vbProcedure="false">{"'Sheet1'!$A$1:$G$85"}</definedName>
    <definedName function="false" hidden="false" localSheetId="3" name="_ptg2" vbProcedure="false">{#N/A,#N/A,TRUE,"RESUMEN ECON.";#N/A,#N/A,TRUE,"Costos de R.H.";#N/A,#N/A,TRUE,"COSTO HW";#N/A,#N/A,TRUE,"CUADROS";#N/A,#N/A,TRUE,"SCADA´s";#N/A,#N/A,TRUE,"PRECIOS EQUIPOS"}</definedName>
    <definedName function="false" hidden="false" localSheetId="3" name="_qg2" vbProcedure="false">{#N/A,#N/A,FALSE,"RESUMEN ECON.";#N/A,#N/A,FALSE,"Costos de R.H.";#N/A,#N/A,FALSE,"COSTO HW";#N/A,#N/A,FALSE,"CUADROS";#N/A,#N/A,FALSE,"SCADA´s";#N/A,#N/A,FALSE,"PRECIOS EQUIPOS"}</definedName>
    <definedName function="false" hidden="false" localSheetId="3" name="_Regression_Out" vbProcedure="false">#REF!</definedName>
    <definedName function="false" hidden="false" localSheetId="3" name="_Regression_X" vbProcedure="false">#REF!</definedName>
    <definedName function="false" hidden="false" localSheetId="3" name="_Regression_Y" vbProcedure="false">#REF!</definedName>
    <definedName function="false" hidden="false" localSheetId="3" name="_REV1" vbProcedure="false">{"Graf_Carga Trab",#N/A,FALSE,"Grafi_Carga Trab";"Graf_Venta Flujo",#N/A,FALSE,"Grafi_Carga Trab"}</definedName>
    <definedName function="false" hidden="false" localSheetId="3" name="_REV11" vbProcedure="false">{"Graf_Carga Trab",#N/A,FALSE,"Grafi_Carga Trab";"Graf_Venta Flujo",#N/A,FALSE,"Grafi_Carga Trab"}</definedName>
    <definedName function="false" hidden="false" localSheetId="3" name="_rft2" vbProcedure="false">{#N/A,#N/A,TRUE,"RESUMEN ECON.";#N/A,#N/A,TRUE,"Costos de R.H.";#N/A,#N/A,TRUE,"COSTO HW";#N/A,#N/A,TRUE,"CUADROS";#N/A,#N/A,TRUE,"SCADA´s";#N/A,#N/A,TRUE,"PRECIOS EQUIPOS"}</definedName>
    <definedName function="false" hidden="false" localSheetId="3" name="_rtu2" vbProcedure="false">{#N/A,#N/A,TRUE,"RESUMEN ECON.";#N/A,#N/A,TRUE,"Costos de R.H.";#N/A,#N/A,TRUE,"COSTO HW";#N/A,#N/A,TRUE,"CUADROS";#N/A,#N/A,TRUE,"SCADA´s";#N/A,#N/A,TRUE,"PRECIOS EQUIPOS"}</definedName>
    <definedName function="false" hidden="false" localSheetId="3" name="_Sort" vbProcedure="false">#REF!</definedName>
    <definedName function="false" hidden="false" localSheetId="3" name="_STN2" vbProcedure="false">{"'Sheet1'!$A$1:$G$85"}</definedName>
    <definedName function="false" hidden="false" localSheetId="3" name="_tyl2" vbProcedure="false">{#N/A,#N/A,FALSE,"masez (10)";#N/A,#N/A,FALSE,"masez (7)";#N/A,#N/A,FALSE,"masez (6)";#N/A,#N/A,FALSE,"masez (5)";#N/A,#N/A,FALSE,"masez (4)";#N/A,#N/A,FALSE,"masez (3)";#N/A,#N/A,FALSE,"masez (2)";#N/A,#N/A,FALSE,"GME";#N/A,#N/A,FALSE,"masez"}</definedName>
    <definedName function="false" hidden="false" localSheetId="3" name="_ww2" vbProcedure="false">{#N/A,#N/A,TRUE,"RESUMEN ECON.";#N/A,#N/A,TRUE,"Costos de R.H.";#N/A,#N/A,TRUE,"COSTO HW";#N/A,#N/A,TRUE,"CUADROS";#N/A,#N/A,TRUE,"SCADA´s";#N/A,#N/A,TRUE,"PRECIOS EQUIPOS"}</definedName>
    <definedName function="false" hidden="false" localSheetId="3" name="_zx2" vbProcedure="false">{#N/A,#N/A,FALSE,"masez (10)";#N/A,#N/A,FALSE,"masez (7)";#N/A,#N/A,FALSE,"masez (6)";#N/A,#N/A,FALSE,"masez (5)";#N/A,#N/A,FALSE,"masez (4)";#N/A,#N/A,FALSE,"masez (3)";#N/A,#N/A,FALSE,"masez (2)";#N/A,#N/A,FALSE,"GME";#N/A,#N/A,FALSE,"masez"}</definedName>
    <definedName function="false" hidden="false" localSheetId="3" name="__123Graph_A" vbProcedure="false">#REF!</definedName>
    <definedName function="false" hidden="false" localSheetId="3" name="__123Graph_B" vbProcedure="false">#REF!</definedName>
    <definedName function="false" hidden="false" localSheetId="3" name="__a2" vbProcedure="false">{#N/A,#N/A,TRUE,"RESUMEN ECON.";#N/A,#N/A,TRUE,"Costos de R.H.";#N/A,#N/A,TRUE,"COSTO HW";#N/A,#N/A,TRUE,"CUADROS";#N/A,#N/A,TRUE,"SCADA´s";#N/A,#N/A,TRUE,"PRECIOS EQUIPOS"}</definedName>
    <definedName function="false" hidden="false" localSheetId="3" name="__aaa2" vbProcedure="false">{#N/A,#N/A,TRUE,"RESUMEN ECON.";#N/A,#N/A,TRUE,"Costos de R.H.";#N/A,#N/A,TRUE,"COSTO HW";#N/A,#N/A,TRUE,"CUADROS";#N/A,#N/A,TRUE,"SCADA´s";#N/A,#N/A,TRUE,"PRECIOS EQUIPOS"}</definedName>
    <definedName function="false" hidden="false" localSheetId="3" name="__b2" vbProcedure="false">{#N/A,#N/A,FALSE,"RESUMEN ECON.";#N/A,#N/A,FALSE,"Costos de R.H.";#N/A,#N/A,FALSE,"COSTO HW";#N/A,#N/A,FALSE,"CUADROS";#N/A,#N/A,FALSE,"SCADA´s";#N/A,#N/A,FALSE,"PRECIOS EQUIPOS"}</definedName>
    <definedName function="false" hidden="false" localSheetId="3" name="__bbb1" vbProcedure="false">{#N/A,#N/A,TRUE,"RESUMEN ECON.";#N/A,#N/A,TRUE,"Costos de R.H.";#N/A,#N/A,TRUE,"COSTO HW";#N/A,#N/A,TRUE,"CUADROS";#N/A,#N/A,TRUE,"SCADA´s";#N/A,#N/A,TRUE,"PRECIOS EQUIPOS"}</definedName>
    <definedName function="false" hidden="false" localSheetId="3" name="__bbb2" vbProcedure="false">{#N/A,#N/A,TRUE,"RESUMEN ECON.";#N/A,#N/A,TRUE,"Costos de R.H.";#N/A,#N/A,TRUE,"COSTO HW";#N/A,#N/A,TRUE,"CUADROS";#N/A,#N/A,TRUE,"SCADA´s";#N/A,#N/A,TRUE,"PRECIOS EQUIPOS"}</definedName>
    <definedName function="false" hidden="false" localSheetId="3" name="__ccc2" vbProcedure="false">{#N/A,#N/A,FALSE,"RESUMEN ECON.";#N/A,#N/A,FALSE,"Costos de R.H.";#N/A,#N/A,FALSE,"COSTO HW";#N/A,#N/A,FALSE,"CUADROS";#N/A,#N/A,FALSE,"SCADA´s";#N/A,#N/A,FALSE,"PRECIOS EQUIPOS"}</definedName>
    <definedName function="false" hidden="false" localSheetId="3" name="__d2" vbProcedure="false">{#N/A,#N/A,TRUE,"RESUMEN ECON.";#N/A,#N/A,TRUE,"Costos de R.H.";#N/A,#N/A,TRUE,"COSTO HW";#N/A,#N/A,TRUE,"CUADROS";#N/A,#N/A,TRUE,"SCADA´s";#N/A,#N/A,TRUE,"PRECIOS EQUIPOS"}</definedName>
    <definedName function="false" hidden="false" localSheetId="3" name="__ddd2" vbProcedure="false">{#N/A,#N/A,TRUE,"RESUMEN ECON.";#N/A,#N/A,TRUE,"Costos de R.H.";#N/A,#N/A,TRUE,"COSTO HW";#N/A,#N/A,TRUE,"CUADROS";#N/A,#N/A,TRUE,"SCADA´s";#N/A,#N/A,TRUE,"PRECIOS EQUIPOS"}</definedName>
    <definedName function="false" hidden="false" localSheetId="3" name="__EPC2" vbProcedure="false">{#N/A,#N/A,FALSE,"RESUMEN ECON.";#N/A,#N/A,FALSE,"Costos de R.H.";#N/A,#N/A,FALSE,"COSTO HW";#N/A,#N/A,FALSE,"CUADROS";#N/A,#N/A,FALSE,"SCADA´s";#N/A,#N/A,FALSE,"PRECIOS EQUIPOS"}</definedName>
    <definedName function="false" hidden="false" localSheetId="3" name="__gg2" vbProcedure="false">{#N/A,#N/A,FALSE,"RESUMEN ECON.";#N/A,#N/A,FALSE,"Costos de R.H.";#N/A,#N/A,FALSE,"COSTO HW";#N/A,#N/A,FALSE,"CUADROS";#N/A,#N/A,FALSE,"SCADA´s";#N/A,#N/A,FALSE,"PRECIOS EQUIPOS"}</definedName>
    <definedName function="false" hidden="false" localSheetId="3" name="__ggg2" vbProcedure="false">{#N/A,#N/A,TRUE,"RESUMEN ECON.";#N/A,#N/A,TRUE,"Costos de R.H.";#N/A,#N/A,TRUE,"COSTO HW";#N/A,#N/A,TRUE,"CUADROS";#N/A,#N/A,TRUE,"SCADA´s";#N/A,#N/A,TRUE,"PRECIOS EQUIPOS"}</definedName>
    <definedName function="false" hidden="false" localSheetId="3" name="__ooo2" vbProcedure="false">{#N/A,#N/A,FALSE,"RESUMEN ECON.";#N/A,#N/A,FALSE,"Costos de R.H.";#N/A,#N/A,FALSE,"COSTO HW";#N/A,#N/A,FALSE,"CUADROS";#N/A,#N/A,FALSE,"SCADA´s";#N/A,#N/A,FALSE,"PRECIOS EQUIPOS"}</definedName>
    <definedName function="false" hidden="false" localSheetId="3" name="__ptg2" vbProcedure="false">{#N/A,#N/A,TRUE,"RESUMEN ECON.";#N/A,#N/A,TRUE,"Costos de R.H.";#N/A,#N/A,TRUE,"COSTO HW";#N/A,#N/A,TRUE,"CUADROS";#N/A,#N/A,TRUE,"SCADA´s";#N/A,#N/A,TRUE,"PRECIOS EQUIPOS"}</definedName>
    <definedName function="false" hidden="false" localSheetId="3" name="__qg2" vbProcedure="false">{#N/A,#N/A,FALSE,"RESUMEN ECON.";#N/A,#N/A,FALSE,"Costos de R.H.";#N/A,#N/A,FALSE,"COSTO HW";#N/A,#N/A,FALSE,"CUADROS";#N/A,#N/A,FALSE,"SCADA´s";#N/A,#N/A,FALSE,"PRECIOS EQUIPOS"}</definedName>
    <definedName function="false" hidden="false" localSheetId="3" name="__rft2" vbProcedure="false">{#N/A,#N/A,TRUE,"RESUMEN ECON.";#N/A,#N/A,TRUE,"Costos de R.H.";#N/A,#N/A,TRUE,"COSTO HW";#N/A,#N/A,TRUE,"CUADROS";#N/A,#N/A,TRUE,"SCADA´s";#N/A,#N/A,TRUE,"PRECIOS EQUIPOS"}</definedName>
    <definedName function="false" hidden="false" localSheetId="3" name="__rtu2" vbProcedure="false">{#N/A,#N/A,TRUE,"RESUMEN ECON.";#N/A,#N/A,TRUE,"Costos de R.H.";#N/A,#N/A,TRUE,"COSTO HW";#N/A,#N/A,TRUE,"CUADROS";#N/A,#N/A,TRUE,"SCADA´s";#N/A,#N/A,TRUE,"PRECIOS EQUIPOS"}</definedName>
    <definedName function="false" hidden="false" localSheetId="3" name="__ww2" vbProcedure="false">{#N/A,#N/A,TRUE,"RESUMEN ECON.";#N/A,#N/A,TRUE,"Costos de R.H.";#N/A,#N/A,TRUE,"COSTO HW";#N/A,#N/A,TRUE,"CUADROS";#N/A,#N/A,TRUE,"SCADA´s";#N/A,#N/A,TRUE,"PRECIOS EQUIPOS"}</definedName>
    <definedName function="false" hidden="false" localSheetId="3" name="___a2" vbProcedure="false">{#N/A,#N/A,TRUE,"RESUMEN ECON.";#N/A,#N/A,TRUE,"Costos de R.H.";#N/A,#N/A,TRUE,"COSTO HW";#N/A,#N/A,TRUE,"CUADROS";#N/A,#N/A,TRUE,"SCADA´s";#N/A,#N/A,TRUE,"PRECIOS EQUIPOS"}</definedName>
    <definedName function="false" hidden="false" localSheetId="3" name="___aaa2" vbProcedure="false">{#N/A,#N/A,TRUE,"RESUMEN ECON.";#N/A,#N/A,TRUE,"Costos de R.H.";#N/A,#N/A,TRUE,"COSTO HW";#N/A,#N/A,TRUE,"CUADROS";#N/A,#N/A,TRUE,"SCADA´s";#N/A,#N/A,TRUE,"PRECIOS EQUIPOS"}</definedName>
    <definedName function="false" hidden="false" localSheetId="3" name="___b2" vbProcedure="false">{#N/A,#N/A,FALSE,"RESUMEN ECON.";#N/A,#N/A,FALSE,"Costos de R.H.";#N/A,#N/A,FALSE,"COSTO HW";#N/A,#N/A,FALSE,"CUADROS";#N/A,#N/A,FALSE,"SCADA´s";#N/A,#N/A,FALSE,"PRECIOS EQUIPOS"}</definedName>
    <definedName function="false" hidden="false" localSheetId="3" name="___bbb1" vbProcedure="false">{#N/A,#N/A,TRUE,"RESUMEN ECON.";#N/A,#N/A,TRUE,"Costos de R.H.";#N/A,#N/A,TRUE,"COSTO HW";#N/A,#N/A,TRUE,"CUADROS";#N/A,#N/A,TRUE,"SCADA´s";#N/A,#N/A,TRUE,"PRECIOS EQUIPOS"}</definedName>
    <definedName function="false" hidden="false" localSheetId="3" name="___bbb2" vbProcedure="false">{#N/A,#N/A,TRUE,"RESUMEN ECON.";#N/A,#N/A,TRUE,"Costos de R.H.";#N/A,#N/A,TRUE,"COSTO HW";#N/A,#N/A,TRUE,"CUADROS";#N/A,#N/A,TRUE,"SCADA´s";#N/A,#N/A,TRUE,"PRECIOS EQUIPOS"}</definedName>
    <definedName function="false" hidden="false" localSheetId="3" name="___ccc2" vbProcedure="false">{#N/A,#N/A,FALSE,"RESUMEN ECON.";#N/A,#N/A,FALSE,"Costos de R.H.";#N/A,#N/A,FALSE,"COSTO HW";#N/A,#N/A,FALSE,"CUADROS";#N/A,#N/A,FALSE,"SCADA´s";#N/A,#N/A,FALSE,"PRECIOS EQUIPOS"}</definedName>
    <definedName function="false" hidden="false" localSheetId="3" name="___d2" vbProcedure="false">{#N/A,#N/A,TRUE,"RESUMEN ECON.";#N/A,#N/A,TRUE,"Costos de R.H.";#N/A,#N/A,TRUE,"COSTO HW";#N/A,#N/A,TRUE,"CUADROS";#N/A,#N/A,TRUE,"SCADA´s";#N/A,#N/A,TRUE,"PRECIOS EQUIPOS"}</definedName>
    <definedName function="false" hidden="false" localSheetId="3" name="___ddd2" vbProcedure="false">{#N/A,#N/A,TRUE,"RESUMEN ECON.";#N/A,#N/A,TRUE,"Costos de R.H.";#N/A,#N/A,TRUE,"COSTO HW";#N/A,#N/A,TRUE,"CUADROS";#N/A,#N/A,TRUE,"SCADA´s";#N/A,#N/A,TRUE,"PRECIOS EQUIPOS"}</definedName>
    <definedName function="false" hidden="false" localSheetId="3" name="___EPC2" vbProcedure="false">{#N/A,#N/A,FALSE,"RESUMEN ECON.";#N/A,#N/A,FALSE,"Costos de R.H.";#N/A,#N/A,FALSE,"COSTO HW";#N/A,#N/A,FALSE,"CUADROS";#N/A,#N/A,FALSE,"SCADA´s";#N/A,#N/A,FALSE,"PRECIOS EQUIPOS"}</definedName>
    <definedName function="false" hidden="false" localSheetId="3" name="___gg2" vbProcedure="false">{#N/A,#N/A,FALSE,"RESUMEN ECON.";#N/A,#N/A,FALSE,"Costos de R.H.";#N/A,#N/A,FALSE,"COSTO HW";#N/A,#N/A,FALSE,"CUADROS";#N/A,#N/A,FALSE,"SCADA´s";#N/A,#N/A,FALSE,"PRECIOS EQUIPOS"}</definedName>
    <definedName function="false" hidden="false" localSheetId="3" name="___ggg2" vbProcedure="false">{#N/A,#N/A,TRUE,"RESUMEN ECON.";#N/A,#N/A,TRUE,"Costos de R.H.";#N/A,#N/A,TRUE,"COSTO HW";#N/A,#N/A,TRUE,"CUADROS";#N/A,#N/A,TRUE,"SCADA´s";#N/A,#N/A,TRUE,"PRECIOS EQUIPOS"}</definedName>
    <definedName function="false" hidden="false" localSheetId="3" name="___ooo2" vbProcedure="false">{#N/A,#N/A,FALSE,"RESUMEN ECON.";#N/A,#N/A,FALSE,"Costos de R.H.";#N/A,#N/A,FALSE,"COSTO HW";#N/A,#N/A,FALSE,"CUADROS";#N/A,#N/A,FALSE,"SCADA´s";#N/A,#N/A,FALSE,"PRECIOS EQUIPOS"}</definedName>
    <definedName function="false" hidden="false" localSheetId="3" name="___ptg2" vbProcedure="false">{#N/A,#N/A,TRUE,"RESUMEN ECON.";#N/A,#N/A,TRUE,"Costos de R.H.";#N/A,#N/A,TRUE,"COSTO HW";#N/A,#N/A,TRUE,"CUADROS";#N/A,#N/A,TRUE,"SCADA´s";#N/A,#N/A,TRUE,"PRECIOS EQUIPOS"}</definedName>
    <definedName function="false" hidden="false" localSheetId="3" name="___qg2" vbProcedure="false">{#N/A,#N/A,FALSE,"RESUMEN ECON.";#N/A,#N/A,FALSE,"Costos de R.H.";#N/A,#N/A,FALSE,"COSTO HW";#N/A,#N/A,FALSE,"CUADROS";#N/A,#N/A,FALSE,"SCADA´s";#N/A,#N/A,FALSE,"PRECIOS EQUIPOS"}</definedName>
    <definedName function="false" hidden="false" localSheetId="3" name="___rft2" vbProcedure="false">{#N/A,#N/A,TRUE,"RESUMEN ECON.";#N/A,#N/A,TRUE,"Costos de R.H.";#N/A,#N/A,TRUE,"COSTO HW";#N/A,#N/A,TRUE,"CUADROS";#N/A,#N/A,TRUE,"SCADA´s";#N/A,#N/A,TRUE,"PRECIOS EQUIPOS"}</definedName>
    <definedName function="false" hidden="false" localSheetId="3" name="___rtu2" vbProcedure="false">{#N/A,#N/A,TRUE,"RESUMEN ECON.";#N/A,#N/A,TRUE,"Costos de R.H.";#N/A,#N/A,TRUE,"COSTO HW";#N/A,#N/A,TRUE,"CUADROS";#N/A,#N/A,TRUE,"SCADA´s";#N/A,#N/A,TRUE,"PRECIOS EQUIPOS"}</definedName>
    <definedName function="false" hidden="false" localSheetId="3" name="___ww2" vbProcedure="false">{#N/A,#N/A,TRUE,"RESUMEN ECON.";#N/A,#N/A,TRUE,"Costos de R.H.";#N/A,#N/A,TRUE,"COSTO HW";#N/A,#N/A,TRUE,"CUADROS";#N/A,#N/A,TRUE,"SCADA´s";#N/A,#N/A,TRUE,"PRECIOS EQUIPOS"}</definedName>
    <definedName function="false" hidden="false" localSheetId="3" name="____bbb1" vbProcedure="false">{#N/A,#N/A,TRUE,"RESUMEN ECON.";#N/A,#N/A,TRUE,"Costos de R.H.";#N/A,#N/A,TRUE,"COSTO HW";#N/A,#N/A,TRUE,"CUADROS";#N/A,#N/A,TRUE,"SCADA´s";#N/A,#N/A,TRUE,"PRECIOS EQUIPOS"}</definedName>
    <definedName function="false" hidden="false" localSheetId="3" name="_____a2" vbProcedure="false">{#N/A,#N/A,TRUE,"RESUMEN ECON.";#N/A,#N/A,TRUE,"Costos de R.H.";#N/A,#N/A,TRUE,"COSTO HW";#N/A,#N/A,TRUE,"CUADROS";#N/A,#N/A,TRUE,"SCADA´s";#N/A,#N/A,TRUE,"PRECIOS EQUIPOS"}</definedName>
    <definedName function="false" hidden="false" localSheetId="3" name="_____aaa2" vbProcedure="false">{#N/A,#N/A,TRUE,"RESUMEN ECON.";#N/A,#N/A,TRUE,"Costos de R.H.";#N/A,#N/A,TRUE,"COSTO HW";#N/A,#N/A,TRUE,"CUADROS";#N/A,#N/A,TRUE,"SCADA´s";#N/A,#N/A,TRUE,"PRECIOS EQUIPOS"}</definedName>
    <definedName function="false" hidden="false" localSheetId="3" name="_____b2" vbProcedure="false">{#N/A,#N/A,FALSE,"RESUMEN ECON.";#N/A,#N/A,FALSE,"Costos de R.H.";#N/A,#N/A,FALSE,"COSTO HW";#N/A,#N/A,FALSE,"CUADROS";#N/A,#N/A,FALSE,"SCADA´s";#N/A,#N/A,FALSE,"PRECIOS EQUIPOS"}</definedName>
    <definedName function="false" hidden="false" localSheetId="3" name="_____bbb2" vbProcedure="false">{#N/A,#N/A,TRUE,"RESUMEN ECON.";#N/A,#N/A,TRUE,"Costos de R.H.";#N/A,#N/A,TRUE,"COSTO HW";#N/A,#N/A,TRUE,"CUADROS";#N/A,#N/A,TRUE,"SCADA´s";#N/A,#N/A,TRUE,"PRECIOS EQUIPOS"}</definedName>
    <definedName function="false" hidden="false" localSheetId="3" name="_____ccc2" vbProcedure="false">{#N/A,#N/A,FALSE,"RESUMEN ECON.";#N/A,#N/A,FALSE,"Costos de R.H.";#N/A,#N/A,FALSE,"COSTO HW";#N/A,#N/A,FALSE,"CUADROS";#N/A,#N/A,FALSE,"SCADA´s";#N/A,#N/A,FALSE,"PRECIOS EQUIPOS"}</definedName>
    <definedName function="false" hidden="false" localSheetId="3" name="_____d2" vbProcedure="false">{#N/A,#N/A,TRUE,"RESUMEN ECON.";#N/A,#N/A,TRUE,"Costos de R.H.";#N/A,#N/A,TRUE,"COSTO HW";#N/A,#N/A,TRUE,"CUADROS";#N/A,#N/A,TRUE,"SCADA´s";#N/A,#N/A,TRUE,"PRECIOS EQUIPOS"}</definedName>
    <definedName function="false" hidden="false" localSheetId="3" name="_____ddd2" vbProcedure="false">{#N/A,#N/A,TRUE,"RESUMEN ECON.";#N/A,#N/A,TRUE,"Costos de R.H.";#N/A,#N/A,TRUE,"COSTO HW";#N/A,#N/A,TRUE,"CUADROS";#N/A,#N/A,TRUE,"SCADA´s";#N/A,#N/A,TRUE,"PRECIOS EQUIPOS"}</definedName>
    <definedName function="false" hidden="false" localSheetId="3" name="_____EPC2" vbProcedure="false">{#N/A,#N/A,FALSE,"RESUMEN ECON.";#N/A,#N/A,FALSE,"Costos de R.H.";#N/A,#N/A,FALSE,"COSTO HW";#N/A,#N/A,FALSE,"CUADROS";#N/A,#N/A,FALSE,"SCADA´s";#N/A,#N/A,FALSE,"PRECIOS EQUIPOS"}</definedName>
    <definedName function="false" hidden="false" localSheetId="3" name="_____gg2" vbProcedure="false">{#N/A,#N/A,FALSE,"RESUMEN ECON.";#N/A,#N/A,FALSE,"Costos de R.H.";#N/A,#N/A,FALSE,"COSTO HW";#N/A,#N/A,FALSE,"CUADROS";#N/A,#N/A,FALSE,"SCADA´s";#N/A,#N/A,FALSE,"PRECIOS EQUIPOS"}</definedName>
    <definedName function="false" hidden="false" localSheetId="3" name="_____ggg2" vbProcedure="false">{#N/A,#N/A,TRUE,"RESUMEN ECON.";#N/A,#N/A,TRUE,"Costos de R.H.";#N/A,#N/A,TRUE,"COSTO HW";#N/A,#N/A,TRUE,"CUADROS";#N/A,#N/A,TRUE,"SCADA´s";#N/A,#N/A,TRUE,"PRECIOS EQUIPOS"}</definedName>
    <definedName function="false" hidden="false" localSheetId="3" name="_____ooo2" vbProcedure="false">{#N/A,#N/A,FALSE,"RESUMEN ECON.";#N/A,#N/A,FALSE,"Costos de R.H.";#N/A,#N/A,FALSE,"COSTO HW";#N/A,#N/A,FALSE,"CUADROS";#N/A,#N/A,FALSE,"SCADA´s";#N/A,#N/A,FALSE,"PRECIOS EQUIPOS"}</definedName>
    <definedName function="false" hidden="false" localSheetId="3" name="_____ptg2" vbProcedure="false">{#N/A,#N/A,TRUE,"RESUMEN ECON.";#N/A,#N/A,TRUE,"Costos de R.H.";#N/A,#N/A,TRUE,"COSTO HW";#N/A,#N/A,TRUE,"CUADROS";#N/A,#N/A,TRUE,"SCADA´s";#N/A,#N/A,TRUE,"PRECIOS EQUIPOS"}</definedName>
    <definedName function="false" hidden="false" localSheetId="3" name="_____qg2" vbProcedure="false">{#N/A,#N/A,FALSE,"RESUMEN ECON.";#N/A,#N/A,FALSE,"Costos de R.H.";#N/A,#N/A,FALSE,"COSTO HW";#N/A,#N/A,FALSE,"CUADROS";#N/A,#N/A,FALSE,"SCADA´s";#N/A,#N/A,FALSE,"PRECIOS EQUIPOS"}</definedName>
    <definedName function="false" hidden="false" localSheetId="3" name="_____rft2" vbProcedure="false">{#N/A,#N/A,TRUE,"RESUMEN ECON.";#N/A,#N/A,TRUE,"Costos de R.H.";#N/A,#N/A,TRUE,"COSTO HW";#N/A,#N/A,TRUE,"CUADROS";#N/A,#N/A,TRUE,"SCADA´s";#N/A,#N/A,TRUE,"PRECIOS EQUIPOS"}</definedName>
    <definedName function="false" hidden="false" localSheetId="3" name="_____rtu2" vbProcedure="false">{#N/A,#N/A,TRUE,"RESUMEN ECON.";#N/A,#N/A,TRUE,"Costos de R.H.";#N/A,#N/A,TRUE,"COSTO HW";#N/A,#N/A,TRUE,"CUADROS";#N/A,#N/A,TRUE,"SCADA´s";#N/A,#N/A,TRUE,"PRECIOS EQUIPOS"}</definedName>
    <definedName function="false" hidden="false" localSheetId="3" name="_____ww2" vbProcedure="false">{#N/A,#N/A,TRUE,"RESUMEN ECON.";#N/A,#N/A,TRUE,"Costos de R.H.";#N/A,#N/A,TRUE,"COSTO HW";#N/A,#N/A,TRUE,"CUADROS";#N/A,#N/A,TRUE,"SCADA´s";#N/A,#N/A,TRUE,"PRECIOS EQUIPOS"}</definedName>
    <definedName function="false" hidden="false" localSheetId="3" name="______bbb1" vbProcedure="false">{#N/A,#N/A,TRUE,"RESUMEN ECON.";#N/A,#N/A,TRUE,"Costos de R.H.";#N/A,#N/A,TRUE,"COSTO HW";#N/A,#N/A,TRUE,"CUADROS";#N/A,#N/A,TRUE,"SCADA´s";#N/A,#N/A,TRUE,"PRECIOS EQUIPOS"}</definedName>
    <definedName function="false" hidden="false" localSheetId="5" name="A" vbProcedure="false">{#N/A,#N/A,FALSE,"masez (10)";#N/A,#N/A,FALSE,"masez (7)";#N/A,#N/A,FALSE,"masez (6)";#N/A,#N/A,FALSE,"masez (5)";#N/A,#N/A,FALSE,"masez (4)";#N/A,#N/A,FALSE,"masez (3)";#N/A,#N/A,FALSE,"masez (2)";#N/A,#N/A,FALSE,"GME";#N/A,#N/A,FALSE,"masez"}</definedName>
    <definedName function="false" hidden="false" localSheetId="5" name="A02M310" vbProcedure="false">{"DETALLE_1996",#N/A,FALSE,"flujo";"DETALLE_1997",#N/A,FALSE,"flujo";"GASTOS_INCURRIDOS_1996",#N/A,FALSE,"flujo";"GASTOS_PROGRAMADOS_PARA_1997",#N/A,FALSE,"flujo";#N/A,#N/A,FALSE,"comparat";#N/A,#N/A,FALSE,"costos";#N/A,#N/A,FALSE,"proyctrol"}</definedName>
    <definedName function="false" hidden="false" localSheetId="5" name="aa" vbProcedure="false">{#N/A,#N/A,FALSE,"masez (10)";#N/A,#N/A,FALSE,"masez (7)";#N/A,#N/A,FALSE,"masez (6)";#N/A,#N/A,FALSE,"masez (5)";#N/A,#N/A,FALSE,"masez (4)";#N/A,#N/A,FALSE,"masez (3)";#N/A,#N/A,FALSE,"masez (2)";#N/A,#N/A,FALSE,"GME";#N/A,#N/A,FALSE,"masez"}</definedName>
    <definedName function="false" hidden="false" localSheetId="5" name="aaa" vbProcedure="false">{#N/A,#N/A,TRUE,"RESUMEN ECON.";#N/A,#N/A,TRUE,"Costos de R.H.";#N/A,#N/A,TRUE,"COSTO HW";#N/A,#N/A,TRUE,"CUADROS";#N/A,#N/A,TRUE,"SCADA´s";#N/A,#N/A,TRUE,"PRECIOS EQUIPOS"}</definedName>
    <definedName function="false" hidden="false" localSheetId="5" name="aaaa" vbProcedure="false">{"Informe 1_Consolidado",#N/A,FALSE,"Cons.";"Informe 1_Tunel",#N/A,FALSE,"Cons.";"Informe 1_Melip",#N/A,FALSE,"Cons.";"Informe 1_Guall",#N/A,FALSE,"Cons.";"Informe 1_Sara L",#N/A,FALSE,"Cons.";"Informe 1_Quellon",#N/A,FALSE,"Cons.";"Informe 1_Biolix",#N/A,FALSE,"Cons.";"Informe 1_Oficina",#N/A,FALSE,"Cons.";"Informe 1_Consorcio",#N/A,FALSE,"Cons."}</definedName>
    <definedName function="false" hidden="false" localSheetId="5" name="aaaaa" vbProcedure="false">{#N/A,#N/A,FALSE,"masez (10)";#N/A,#N/A,FALSE,"masez (7)";#N/A,#N/A,FALSE,"masez (6)";#N/A,#N/A,FALSE,"masez (5)";#N/A,#N/A,FALSE,"masez (4)";#N/A,#N/A,FALSE,"masez (3)";#N/A,#N/A,FALSE,"masez (2)";#N/A,#N/A,FALSE,"GME";#N/A,#N/A,FALSE,"masez"}</definedName>
    <definedName function="false" hidden="false" localSheetId="5" name="AAAAAA" vbProcedure="false">{"DETALLE_1996",#N/A,FALSE,"flujo";"DETALLE_1997",#N/A,FALSE,"flujo";"GASTOS_INCURRIDOS_1996",#N/A,FALSE,"flujo";"GASTOS_PROGRAMADOS_PARA_1997",#N/A,FALSE,"flujo";#N/A,#N/A,FALSE,"comparat";#N/A,#N/A,FALSE,"costos";#N/A,#N/A,FALSE,"proyctrol"}</definedName>
    <definedName function="false" hidden="false" localSheetId="5" name="ab" vbProcedure="false">{#N/A,#N/A,FALSE,"masez (10)";#N/A,#N/A,FALSE,"masez (7)";#N/A,#N/A,FALSE,"masez (6)";#N/A,#N/A,FALSE,"masez (5)";#N/A,#N/A,FALSE,"masez (4)";#N/A,#N/A,FALSE,"masez (3)";#N/A,#N/A,FALSE,"masez (2)";#N/A,#N/A,FALSE,"GME";#N/A,#N/A,FALSE,"masez"}</definedName>
    <definedName function="false" hidden="false" localSheetId="5" name="ad" vbProcedure="false">{"Sens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function="false" hidden="false" localSheetId="5" name="adsda" vbProcedure="false">{#N/A,#N/A,FALSE,"masez (10)";#N/A,#N/A,FALSE,"masez (7)";#N/A,#N/A,FALSE,"masez (6)";#N/A,#N/A,FALSE,"masez (5)";#N/A,#N/A,FALSE,"masez (4)";#N/A,#N/A,FALSE,"masez (3)";#N/A,#N/A,FALSE,"masez (2)";#N/A,#N/A,FALSE,"GME";#N/A,#N/A,FALSE,"masez"}</definedName>
    <definedName function="false" hidden="false" localSheetId="5" name="aec" vbProcedure="false">{#N/A,#N/A,FALSE,"summary";#N/A,#N/A,FALSE,"SumGraph"}</definedName>
    <definedName function="false" hidden="false" localSheetId="5" name="ag" vbProcedure="false">{#N/A,#N/A,FALSE,"PXP-TOTAL Modif";"vis2",#N/A,FALSE,"PXP-AÑO";"Vis1",#N/A,FALSE,"PXP-AÑO"}</definedName>
    <definedName function="false" hidden="false" localSheetId="5" name="agua" vbProcedure="false">{"Sens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function="false" hidden="false" localSheetId="5" name="alex" vbProcedure="false">{"Sens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function="false" hidden="false" localSheetId="5" name="Alt.2" vbProcedure="false">{#N/A,#N/A,FALSE,"masez (10)";#N/A,#N/A,FALSE,"masez (7)";#N/A,#N/A,FALSE,"masez (6)";#N/A,#N/A,FALSE,"masez (5)";#N/A,#N/A,FALSE,"masez (4)";#N/A,#N/A,FALSE,"masez (3)";#N/A,#N/A,FALSE,"masez (2)";#N/A,#N/A,FALSE,"GME";#N/A,#N/A,FALSE,"masez"}</definedName>
    <definedName function="false" hidden="false" localSheetId="5" name="asa" vbProcedure="false">{"Sens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function="false" hidden="false" localSheetId="5" name="AVANCE" vbProcedure="false">'log de transmisión '!#ref!</definedName>
    <definedName function="false" hidden="false" localSheetId="5" name="b" vbProcedure="false">{#N/A,#N/A,FALSE,"RESUMEN ECON.";#N/A,#N/A,FALSE,"Costos de R.H.";#N/A,#N/A,FALSE,"COSTO HW";#N/A,#N/A,FALSE,"CUADROS";#N/A,#N/A,FALSE,"SCADA´s";#N/A,#N/A,FALSE,"PRECIOS EQUIPOS"}</definedName>
    <definedName function="false" hidden="false" localSheetId="5" name="barrera" vbProcedure="false">{#N/A,#N/A,FALSE,"RESUMEN ECON.";#N/A,#N/A,FALSE,"Costos de R.H.";#N/A,#N/A,FALSE,"COSTO HW";#N/A,#N/A,FALSE,"CUADROS";#N/A,#N/A,FALSE,"SCADA´s";#N/A,#N/A,FALSE,"PRECIOS EQUIPOS"}</definedName>
    <definedName function="false" hidden="false" localSheetId="5" name="barrera1" vbProcedure="false">{#N/A,#N/A,FALSE,"RESUMEN ECON.";#N/A,#N/A,FALSE,"Costos de R.H.";#N/A,#N/A,FALSE,"COSTO HW";#N/A,#N/A,FALSE,"CUADROS";#N/A,#N/A,FALSE,"SCADA´s";#N/A,#N/A,FALSE,"PRECIOS EQUIPOS"}</definedName>
    <definedName function="false" hidden="false" localSheetId="5" name="barrera2" vbProcedure="false">{#N/A,#N/A,FALSE,"RESUMEN ECON.";#N/A,#N/A,FALSE,"Costos de R.H.";#N/A,#N/A,FALSE,"COSTO HW";#N/A,#N/A,FALSE,"CUADROS";#N/A,#N/A,FALSE,"SCADA´s";#N/A,#N/A,FALSE,"PRECIOS EQUIPOS"}</definedName>
    <definedName function="false" hidden="false" localSheetId="5" name="BBB" vbProcedure="false">{"Informe 1_Consolidado",#N/A,FALSE,"Cons.";"Informe 1_Tunel",#N/A,FALSE,"Cons.";"Informe 1_Melip",#N/A,FALSE,"Cons.";"Informe 1_Guall",#N/A,FALSE,"Cons.";"Informe 1_Sara L",#N/A,FALSE,"Cons.";"Informe 1_Quellon",#N/A,FALSE,"Cons.";"Informe 1_Biolix",#N/A,FALSE,"Cons.";"Informe 1_Oficina",#N/A,FALSE,"Cons.";"Informe 1_Consorcio",#N/A,FALSE,"Cons."}</definedName>
    <definedName function="false" hidden="false" localSheetId="5" name="BBBB" vbProcedure="false">{"Informe 1_Consolidado",#N/A,FALSE,"Cons.";"Informe 1_Tunel",#N/A,FALSE,"Cons.";"Informe 1_Melip",#N/A,FALSE,"Cons.";"Informe 1_Guall",#N/A,FALSE,"Cons.";"Informe 1_Sara L",#N/A,FALSE,"Cons.";"Informe 1_Quellon",#N/A,FALSE,"Cons.";"Informe 1_Biolix",#N/A,FALSE,"Cons.";"Informe 1_Oficina",#N/A,FALSE,"Cons.";"Informe 1_Consorcio",#N/A,FALSE,"Cons."}</definedName>
    <definedName function="false" hidden="false" localSheetId="5" name="bghh" vbProcedure="false">{"Informe 1_Consolidado",#N/A,FALSE,"Cons.";"Informe 1_Tunel",#N/A,FALSE,"Cons.";"Informe 1_Melip",#N/A,FALSE,"Cons.";"Informe 1_Guall",#N/A,FALSE,"Cons.";"Informe 1_Sara L",#N/A,FALSE,"Cons.";"Informe 1_Quellon",#N/A,FALSE,"Cons.";"Informe 1_Biolix",#N/A,FALSE,"Cons.";"Informe 1_Oficina",#N/A,FALSE,"Cons.";"Informe 1_Consorcio",#N/A,FALSE,"Cons."}</definedName>
    <definedName function="false" hidden="false" localSheetId="5" name="Boolean_Type" vbProcedure="false">'log de transmisión '!#ref!</definedName>
    <definedName function="false" hidden="false" localSheetId="5" name="Capital" vbProcedure="false">{"CR1",#N/A,TRUE,"Cost &amp; Revenue";"CR2",#N/A,TRUE,"Cost &amp; Revenue";"CR3",#N/A,TRUE,"Cost &amp; Revenue"}</definedName>
    <definedName function="false" hidden="false" localSheetId="5" name="carta" vbProcedure="false">{"DETALLE_1996",#N/A,FALSE,"flujo";"DETALLE_1997",#N/A,FALSE,"flujo";"GASTOS_INCURRIDOS_1996",#N/A,FALSE,"flujo";"GASTOS_PROGRAMADOS_PARA_1997",#N/A,FALSE,"flujo";#N/A,#N/A,FALSE,"comparat";#N/A,#N/A,FALSE,"costos";#N/A,#N/A,FALSE,"proyctrol"}</definedName>
    <definedName function="false" hidden="false" localSheetId="5" name="cartas" vbProcedure="false">{"DETALLE_1996",#N/A,FALSE,"flujo";"DETALLE_1997",#N/A,FALSE,"flujo";"GASTOS_INCURRIDOS_1996",#N/A,FALSE,"flujo";"GASTOS_PROGRAMADOS_PARA_1997",#N/A,FALSE,"flujo";#N/A,#N/A,FALSE,"comparat";#N/A,#N/A,FALSE,"costos";#N/A,#N/A,FALSE,"proyctrol"}</definedName>
    <definedName function="false" hidden="false" localSheetId="5" name="casa" vbProcedure="false">{#N/A,#N/A,FALSE,"masez (10)";#N/A,#N/A,FALSE,"masez (7)";#N/A,#N/A,FALSE,"masez (6)";#N/A,#N/A,FALSE,"masez (5)";#N/A,#N/A,FALSE,"masez (4)";#N/A,#N/A,FALSE,"masez (3)";#N/A,#N/A,FALSE,"masez (2)";#N/A,#N/A,FALSE,"GME";#N/A,#N/A,FALSE,"masez"}</definedName>
    <definedName function="false" hidden="false" localSheetId="5" name="casa1" vbProcedure="false">{#N/A,#N/A,FALSE,"masez (10)";#N/A,#N/A,FALSE,"masez (7)";#N/A,#N/A,FALSE,"masez (6)";#N/A,#N/A,FALSE,"masez (5)";#N/A,#N/A,FALSE,"masez (4)";#N/A,#N/A,FALSE,"masez (3)";#N/A,#N/A,FALSE,"masez (2)";#N/A,#N/A,FALSE,"GME";#N/A,#N/A,FALSE,"masez"}</definedName>
    <definedName function="false" hidden="false" localSheetId="5" name="Category_Column" vbProcedure="false">'log de transmisión '!#ref!</definedName>
    <definedName function="false" hidden="false" localSheetId="5" name="ccc" vbProcedure="false">{#N/A,#N/A,FALSE,"masez (10)";#N/A,#N/A,FALSE,"masez (7)";#N/A,#N/A,FALSE,"masez (6)";#N/A,#N/A,FALSE,"masez (5)";#N/A,#N/A,FALSE,"masez (4)";#N/A,#N/A,FALSE,"masez (3)";#N/A,#N/A,FALSE,"masez (2)";#N/A,#N/A,FALSE,"GME";#N/A,#N/A,FALSE,"masez"}</definedName>
    <definedName function="false" hidden="false" localSheetId="5" name="Changed_Column" vbProcedure="false">'log de transmisión '!#ref!</definedName>
    <definedName function="false" hidden="false" localSheetId="5" name="CHSFH" vbProcedure="false">{#N/A,#N/A,FALSE,"masez (10)";#N/A,#N/A,FALSE,"masez (7)";#N/A,#N/A,FALSE,"masez (6)";#N/A,#N/A,FALSE,"masez (5)";#N/A,#N/A,FALSE,"masez (4)";#N/A,#N/A,FALSE,"masez (3)";#N/A,#N/A,FALSE,"masez (2)";#N/A,#N/A,FALSE,"GME";#N/A,#N/A,FALSE,"masez"}</definedName>
    <definedName function="false" hidden="false" localSheetId="5" name="COASIN" vbProcedure="false">{#N/A,#N/A,FALSE,"Graficos"}</definedName>
    <definedName function="false" hidden="false" localSheetId="5" name="confmc" vbProcedure="false">'log de transmisión '!#ref!</definedName>
    <definedName function="false" hidden="false" localSheetId="5" name="CONSTRUCCION" vbProcedure="false">{#N/A,#N/A,FALSE,"masez (10)";#N/A,#N/A,FALSE,"masez (7)";#N/A,#N/A,FALSE,"masez (6)";#N/A,#N/A,FALSE,"masez (5)";#N/A,#N/A,FALSE,"masez (4)";#N/A,#N/A,FALSE,"masez (3)";#N/A,#N/A,FALSE,"masez (2)";#N/A,#N/A,FALSE,"GME";#N/A,#N/A,FALSE,"masez"}</definedName>
    <definedName function="false" hidden="false" localSheetId="5" name="control" vbProcedure="false">{#N/A,#N/A,FALSE,"Graficos"}</definedName>
    <definedName function="false" hidden="false" localSheetId="5" name="copin" vbProcedure="false">{#N/A,#N/A,TRUE,"RESUMEN ECON.";#N/A,#N/A,TRUE,"Costos de R.H.";#N/A,#N/A,TRUE,"COSTO HW";#N/A,#N/A,TRUE,"CUADROS";#N/A,#N/A,TRUE,"SCADA´s";#N/A,#N/A,TRUE,"PRECIOS EQUIPOS"}</definedName>
    <definedName function="false" hidden="false" localSheetId="5" name="copin2" vbProcedure="false">{#N/A,#N/A,TRUE,"RESUMEN ECON.";#N/A,#N/A,TRUE,"Costos de R.H.";#N/A,#N/A,TRUE,"COSTO HW";#N/A,#N/A,TRUE,"CUADROS";#N/A,#N/A,TRUE,"SCADA´s";#N/A,#N/A,TRUE,"PRECIOS EQUIPOS"}</definedName>
    <definedName function="false" hidden="false" localSheetId="5" name="copon" vbProcedure="false">{#N/A,#N/A,FALSE,"RESUMEN ECON.";#N/A,#N/A,FALSE,"Costos de R.H.";#N/A,#N/A,FALSE,"COSTO HW";#N/A,#N/A,FALSE,"CUADROS";#N/A,#N/A,FALSE,"SCADA´s";#N/A,#N/A,FALSE,"PRECIOS EQUIPOS"}</definedName>
    <definedName function="false" hidden="false" localSheetId="5" name="copon2" vbProcedure="false">{#N/A,#N/A,FALSE,"RESUMEN ECON.";#N/A,#N/A,FALSE,"Costos de R.H.";#N/A,#N/A,FALSE,"COSTO HW";#N/A,#N/A,FALSE,"CUADROS";#N/A,#N/A,FALSE,"SCADA´s";#N/A,#N/A,FALSE,"PRECIOS EQUIPOS"}</definedName>
    <definedName function="false" hidden="false" localSheetId="5" name="cosots" vbProcedure="false">{"Graf_Carga Trab",#N/A,FALSE,"Grafi_Carga Trab";"Graf_Venta Flujo",#N/A,FALSE,"Grafi_Carga Trab"}</definedName>
    <definedName function="false" hidden="false" localSheetId="5" name="Costes" vbProcedure="false">{#N/A,#N/A,TRUE,"RESUMEN ECON.";#N/A,#N/A,TRUE,"Costos de R.H.";#N/A,#N/A,TRUE,"COSTO HW";#N/A,#N/A,TRUE,"CUADROS";#N/A,#N/A,TRUE,"SCADA´s";#N/A,#N/A,TRUE,"PRECIOS EQUIPOS"}</definedName>
    <definedName function="false" hidden="false" localSheetId="5" name="Costes2" vbProcedure="false">{#N/A,#N/A,TRUE,"RESUMEN ECON.";#N/A,#N/A,TRUE,"Costos de R.H.";#N/A,#N/A,TRUE,"COSTO HW";#N/A,#N/A,TRUE,"CUADROS";#N/A,#N/A,TRUE,"SCADA´s";#N/A,#N/A,TRUE,"PRECIOS EQUIPOS"}</definedName>
    <definedName function="false" hidden="false" localSheetId="5" name="costos1" vbProcedure="false">{"DETALLE_1996",#N/A,FALSE,"flujo";"DETALLE_1997",#N/A,FALSE,"flujo";"GASTOS_INCURRIDOS_1996",#N/A,FALSE,"flujo";"GASTOS_PROGRAMADOS_PARA_1997",#N/A,FALSE,"flujo";#N/A,#N/A,FALSE,"comparat";#N/A,#N/A,FALSE,"costos";#N/A,#N/A,FALSE,"proyctrol"}</definedName>
    <definedName function="false" hidden="false" localSheetId="5" name="costos2" vbProcedure="false">{"DETALLE_1996",#N/A,FALSE,"flujo";"DETALLE_1997",#N/A,FALSE,"flujo";"GASTOS_INCURRIDOS_1996",#N/A,FALSE,"flujo";"GASTOS_PROGRAMADOS_PARA_1997",#N/A,FALSE,"flujo";#N/A,#N/A,FALSE,"comparat";#N/A,#N/A,FALSE,"costos";#N/A,#N/A,FALSE,"proyctrol"}</definedName>
    <definedName function="false" hidden="false" localSheetId="5" name="Cuantía_E" vbProcedure="false">'log de transmisión '!#ref!</definedName>
    <definedName function="false" hidden="false" localSheetId="5" name="cub" vbProcedure="false">{#N/A,#N/A,FALSE,"RESUMEN";#N/A,#N/A,FALSE,"GG-GI";#N/A,#N/A,FALSE,"AMB";#N/A,#N/A,FALSE,"EyR";#N/A,#N/A,FALSE,"UCP";#N/A,#N/A,FALSE,"IND";#N/A,#N/A,FALSE,"LR";#N/A,#N/A,FALSE,"PRV";#N/A,#N/A,FALSE,"TÚNELES";#N/A,#N/A,FALSE,"IDT";#N/A,#N/A,FALSE,"ING"}</definedName>
    <definedName function="false" hidden="false" localSheetId="5" name="Currency_Ceiling" vbProcedure="false">'log de transmisión '!#ref!</definedName>
    <definedName function="false" hidden="false" localSheetId="5" name="d" vbProcedure="false">{"Informe 2_Consolidado",#N/A,FALSE,"Cons.";"Informe 2_Tunel",#N/A,FALSE,"Cons.";"Informe 2_Melip",#N/A,FALSE,"Cons.";"Informe 2_Guall",#N/A,FALSE,"Cons.";"Informe 2_Sara L",#N/A,FALSE,"Cons.";"Informe 2_Quellon",#N/A,FALSE,"Cons.";"Informe 2_Biolix",#N/A,FALSE,"Cons.";"Informe 2_Oficina",#N/A,FALSE,"Cons.";"Informe 2_Consorcio",#N/A,FALSE,"Cons."}</definedName>
    <definedName function="false" hidden="false" localSheetId="5" name="dad" vbProcedure="false">{#N/A,#N/A,FALSE,"Total_OC015";#N/A,#N/A,FALSE,"ADMIN";#N/A,#N/A,FALSE,"PROCES";#N/A,#N/A,FALSE,"mecan";#N/A,#N/A,FALSE,"civil";#N/A,#N/A,FALSE,"CAÑER";#N/A,#N/A,FALSE,"ELEC";#N/A,#N/A,FALSE,"INSTR"}</definedName>
    <definedName function="false" hidden="false" localSheetId="5" name="dani" vbProcedure="false">{#N/A,#N/A,FALSE,"RESUMEN ECON.";#N/A,#N/A,FALSE,"Costos de R.H.";#N/A,#N/A,FALSE,"COSTO HW";#N/A,#N/A,FALSE,"CUADROS";#N/A,#N/A,FALSE,"SCADA´s";#N/A,#N/A,FALSE,"PRECIOS EQUIPOS"}</definedName>
    <definedName function="false" hidden="false" localSheetId="5" name="DD" vbProcedure="false">{"Informe 2_Consolidado",#N/A,FALSE,"Cons.";"Informe 2_Tunel",#N/A,FALSE,"Cons.";"Informe 2_Melip",#N/A,FALSE,"Cons.";"Informe 2_Guall",#N/A,FALSE,"Cons.";"Informe 2_Sara L",#N/A,FALSE,"Cons.";"Informe 2_Quellon",#N/A,FALSE,"Cons.";"Informe 2_Biolix",#N/A,FALSE,"Cons.";"Informe 2_Oficina",#N/A,FALSE,"Cons.";"Informe 2_Consorcio",#N/A,FALSE,"Cons."}</definedName>
    <definedName function="false" hidden="false" localSheetId="5" name="DDD" vbProcedure="false">{#N/A,#N/A,FALSE,"summary";#N/A,#N/A,FALSE,"SumGraph"}</definedName>
    <definedName function="false" hidden="false" localSheetId="5" name="ddddd" vbProcedure="false">{"Informe 1_Consolidado",#N/A,FALSE,"Cons.";"Informe 1_Tunel",#N/A,FALSE,"Cons.";"Informe 1_Melip",#N/A,FALSE,"Cons.";"Informe 1_Guall",#N/A,FALSE,"Cons.";"Informe 1_Sara L",#N/A,FALSE,"Cons.";"Informe 1_Quellon",#N/A,FALSE,"Cons.";"Informe 1_Biolix",#N/A,FALSE,"Cons.";"Informe 1_Oficina",#N/A,FALSE,"Cons.";"Informe 1_Consorcio",#N/A,FALSE,"Cons."}</definedName>
    <definedName function="false" hidden="false" localSheetId="5" name="Depr." vbProcedure="false">{"CR1",#N/A,TRUE,"Cost &amp; Revenue";"CR2",#N/A,TRUE,"Cost &amp; Revenue";"CR3",#N/A,TRUE,"Cost &amp; Revenue"}</definedName>
    <definedName function="false" hidden="false" localSheetId="5" name="des" vbProcedure="false">{"DETALLE_1996",#N/A,FALSE,"flujo";"DETALLE_1997",#N/A,FALSE,"flujo";"GASTOS_INCURRIDOS_1996",#N/A,FALSE,"flujo";"GASTOS_PROGRAMADOS_PARA_1997",#N/A,FALSE,"flujo";#N/A,#N/A,FALSE,"comparat";#N/A,#N/A,FALSE,"costos";#N/A,#N/A,FALSE,"proyctrol"}</definedName>
    <definedName function="false" hidden="false" localSheetId="5" name="DESARROLLOSRIODELMEDIO" vbProcedure="false">{#N/A,#N/A,FALSE,"summary";#N/A,#N/A,FALSE,"SumGraph"}</definedName>
    <definedName function="false" hidden="false" localSheetId="5" name="Description_Column" vbProcedure="false">'log de transmisión '!#ref!</definedName>
    <definedName function="false" hidden="false" localSheetId="5" name="dffg" vbProcedure="false">{#N/A,#N/A,TRUE,"RESUMEN ECON.";#N/A,#N/A,TRUE,"Costos de R.H.";#N/A,#N/A,TRUE,"COSTO HW";#N/A,#N/A,TRUE,"CUADROS";#N/A,#N/A,TRUE,"SCADA´s";#N/A,#N/A,TRUE,"PRECIOS EQUIPOS"}</definedName>
    <definedName function="false" hidden="false" localSheetId="5" name="dispmc" vbProcedure="false">'log de transmisión '!#ref!</definedName>
    <definedName function="false" hidden="false" localSheetId="5" name="ds" vbProcedure="false">{#N/A,#N/A,FALSE,"masez (10)";#N/A,#N/A,FALSE,"masez (7)";#N/A,#N/A,FALSE,"masez (6)";#N/A,#N/A,FALSE,"masez (5)";#N/A,#N/A,FALSE,"masez (4)";#N/A,#N/A,FALSE,"masez (3)";#N/A,#N/A,FALSE,"masez (2)";#N/A,#N/A,FALSE,"GME";#N/A,#N/A,FALSE,"masez"}</definedName>
    <definedName function="false" hidden="false" localSheetId="5" name="ed" vbProcedure="false">{"DETALLE_1996",#N/A,FALSE,"flujo";"DETALLE_1997",#N/A,FALSE,"flujo";"GASTOS_INCURRIDOS_1996",#N/A,FALSE,"flujo";"GASTOS_PROGRAMADOS_PARA_1997",#N/A,FALSE,"flujo";#N/A,#N/A,FALSE,"comparat";#N/A,#N/A,FALSE,"costos";#N/A,#N/A,FALSE,"proyctrol"}</definedName>
    <definedName function="false" hidden="false" localSheetId="5" name="edr" vbProcedure="false">{"DETALLE_1996",#N/A,FALSE,"flujo";"DETALLE_1997",#N/A,FALSE,"flujo";"GASTOS_INCURRIDOS_1996",#N/A,FALSE,"flujo";"GASTOS_PROGRAMADOS_PARA_1997",#N/A,FALSE,"flujo";#N/A,#N/A,FALSE,"comparat";#N/A,#N/A,FALSE,"costos";#N/A,#N/A,FALSE,"proyctrol"}</definedName>
    <definedName function="false" hidden="false" localSheetId="5" name="ee" vbProcedure="false">{"Graf_Carga Trab",#N/A,FALSE,"Grafi_Carga Trab";"Graf_Venta Flujo",#N/A,FALSE,"Grafi_Carga Trab"}</definedName>
    <definedName function="false" hidden="false" localSheetId="5" name="eea" vbProcedure="false">{#N/A,#N/A,FALSE,"masez (10)";#N/A,#N/A,FALSE,"masez (7)";#N/A,#N/A,FALSE,"masez (6)";#N/A,#N/A,FALSE,"masez (5)";#N/A,#N/A,FALSE,"masez (4)";#N/A,#N/A,FALSE,"masez (3)";#N/A,#N/A,FALSE,"masez (2)";#N/A,#N/A,FALSE,"GME";#N/A,#N/A,FALSE,"masez"}</definedName>
    <definedName function="false" hidden="false" localSheetId="5" name="eee" vbProcedure="false">{#N/A,#N/A,FALSE,"masez (10)";#N/A,#N/A,FALSE,"masez (7)";#N/A,#N/A,FALSE,"masez (6)";#N/A,#N/A,FALSE,"masez (5)";#N/A,#N/A,FALSE,"masez (4)";#N/A,#N/A,FALSE,"masez (3)";#N/A,#N/A,FALSE,"masez (2)";#N/A,#N/A,FALSE,"GME";#N/A,#N/A,FALSE,"masez"}</definedName>
    <definedName function="false" hidden="false" localSheetId="5" name="eeee" vbProcedure="false">{#N/A,#N/A,FALSE,"masez (10)";#N/A,#N/A,FALSE,"masez (7)";#N/A,#N/A,FALSE,"masez (6)";#N/A,#N/A,FALSE,"masez (5)";#N/A,#N/A,FALSE,"masez (4)";#N/A,#N/A,FALSE,"masez (3)";#N/A,#N/A,FALSE,"masez (2)";#N/A,#N/A,FALSE,"GME";#N/A,#N/A,FALSE,"masez"}</definedName>
    <definedName function="false" hidden="false" localSheetId="5" name="eeeeeeeeeeeeee" vbProcedure="false">{#N/A,#N/A,FALSE,"RESUMEN ECON.";#N/A,#N/A,FALSE,"Costos de R.H.";#N/A,#N/A,FALSE,"COSTO HW";#N/A,#N/A,FALSE,"CUADROS";#N/A,#N/A,FALSE,"SCADA´s";#N/A,#N/A,FALSE,"PRECIOS EQUIPOS"}</definedName>
    <definedName function="false" hidden="false" localSheetId="5" name="ees" vbProcedure="false">{#N/A,#N/A,FALSE,"masez (10)";#N/A,#N/A,FALSE,"masez (7)";#N/A,#N/A,FALSE,"masez (6)";#N/A,#N/A,FALSE,"masez (5)";#N/A,#N/A,FALSE,"masez (4)";#N/A,#N/A,FALSE,"masez (3)";#N/A,#N/A,FALSE,"masez (2)";#N/A,#N/A,FALSE,"GME";#N/A,#N/A,FALSE,"masez"}</definedName>
    <definedName function="false" hidden="false" localSheetId="5" name="Effective_Date" vbProcedure="false">'log de transmisión '!#ref!</definedName>
    <definedName function="false" hidden="false" localSheetId="5" name="efwerf" vbProcedure="false">{#N/A,#N/A,FALSE,"Graficos"}</definedName>
    <definedName function="false" hidden="false" localSheetId="5" name="efy" vbProcedure="false">{"DETALLE_1996",#N/A,FALSE,"flujo";"DETALLE_1997",#N/A,FALSE,"flujo";"GASTOS_INCURRIDOS_1996",#N/A,FALSE,"flujo";"GASTOS_PROGRAMADOS_PARA_1997",#N/A,FALSE,"flujo";#N/A,#N/A,FALSE,"comparat";#N/A,#N/A,FALSE,"costos";#N/A,#N/A,FALSE,"proyctrol"}</definedName>
    <definedName function="false" hidden="false" localSheetId="5" name="EPC" vbProcedure="false">{#N/A,#N/A,FALSE,"RESUMEN ECON.";#N/A,#N/A,FALSE,"Costos de R.H.";#N/A,#N/A,FALSE,"COSTO HW";#N/A,#N/A,FALSE,"CUADROS";#N/A,#N/A,FALSE,"SCADA´s";#N/A,#N/A,FALSE,"PRECIOS EQUIPOS"}</definedName>
    <definedName function="false" hidden="false" localSheetId="5" name="EQ" vbProcedure="false">'log de transmisión '!#ref!</definedName>
    <definedName function="false" hidden="false" localSheetId="5" name="EQUI" vbProcedure="false">{"'INDICE'!$A$1:$K$78"}</definedName>
    <definedName function="false" hidden="false" localSheetId="5" name="er" vbProcedure="false">{#N/A,#N/A,FALSE,"masez (10)";#N/A,#N/A,FALSE,"masez (7)";#N/A,#N/A,FALSE,"masez (6)";#N/A,#N/A,FALSE,"masez (5)";#N/A,#N/A,FALSE,"masez (4)";#N/A,#N/A,FALSE,"masez (3)";#N/A,#N/A,FALSE,"masez (2)";#N/A,#N/A,FALSE,"GME";#N/A,#N/A,FALSE,"masez"}</definedName>
    <definedName function="false" hidden="false" localSheetId="5" name="erd" vbProcedure="false">{#N/A,#N/A,FALSE,"IC_Global";#N/A,#N/A,FALSE,"IC_Global (98-f)";#N/A,#N/A,FALSE,"Inc";#N/A,#N/A,FALSE,"CAMBIOS (2)";#N/A,#N/A,FALSE,"EXPL Inc.";#N/A,#N/A,FALSE,"HITOS98";#N/A,#N/A,FALSE,"CURVA ""S"" GLOBAL ";#N/A,#N/A,FALSE,"CURVA ""S"" 1998 "}</definedName>
    <definedName function="false" hidden="false" localSheetId="5" name="españa" vbProcedure="false">'log de transmisión '!#ref!</definedName>
    <definedName function="false" hidden="false" localSheetId="5" name="EXPFIS" vbProcedure="false">{"DETALLE_1996",#N/A,FALSE,"flujo";"DETALLE_1997",#N/A,FALSE,"flujo";"GASTOS_INCURRIDOS_1996",#N/A,FALSE,"flujo";"GASTOS_PROGRAMADOS_PARA_1997",#N/A,FALSE,"flujo";#N/A,#N/A,FALSE,"comparat";#N/A,#N/A,FALSE,"costos";#N/A,#N/A,FALSE,"proyctrol"}</definedName>
    <definedName function="false" hidden="false" localSheetId="5" name="FACY" vbProcedure="false">{#N/A,#N/A,FALSE,"masez (10)";#N/A,#N/A,FALSE,"masez (7)";#N/A,#N/A,FALSE,"masez (6)";#N/A,#N/A,FALSE,"masez (5)";#N/A,#N/A,FALSE,"masez (4)";#N/A,#N/A,FALSE,"masez (3)";#N/A,#N/A,FALSE,"masez (2)";#N/A,#N/A,FALSE,"GME";#N/A,#N/A,FALSE,"masez"}</definedName>
    <definedName function="false" hidden="false" localSheetId="5" name="fanculo" vbProcedure="false">'log de transmisión '!#ref!,'log de transmisión '!#ref!</definedName>
    <definedName function="false" hidden="false" localSheetId="5" name="fdfjgd" vbProcedure="false">{"Informe 2_Consolidado",#N/A,FALSE,"Cons.";"Informe 2_Tunel",#N/A,FALSE,"Cons.";"Informe 2_Melip",#N/A,FALSE,"Cons.";"Informe 2_Guall",#N/A,FALSE,"Cons.";"Informe 2_Sara L",#N/A,FALSE,"Cons.";"Informe 2_Quellon",#N/A,FALSE,"Cons.";"Informe 2_Biolix",#N/A,FALSE,"Cons.";"Informe 2_Oficina",#N/A,FALSE,"Cons.";"Informe 2_Consorcio",#N/A,FALSE,"Cons."}</definedName>
    <definedName function="false" hidden="false" localSheetId="5" name="fdsfsdfdsfsd" vbProcedure="false">{"DETALLE_1996",#N/A,FALSE,"flujo";"DETALLE_1997",#N/A,FALSE,"flujo";"GASTOS_INCURRIDOS_1996",#N/A,FALSE,"flujo";"GASTOS_PROGRAMADOS_PARA_1997",#N/A,FALSE,"flujo";#N/A,#N/A,FALSE,"comparat";#N/A,#N/A,FALSE,"costos";#N/A,#N/A,FALSE,"proyctrol"}</definedName>
    <definedName function="false" hidden="false" localSheetId="5" name="fdshfg" vbProcedure="false">{#N/A,#N/A,FALSE,"masez (10)";#N/A,#N/A,FALSE,"masez (7)";#N/A,#N/A,FALSE,"masez (6)";#N/A,#N/A,FALSE,"masez (5)";#N/A,#N/A,FALSE,"masez (4)";#N/A,#N/A,FALSE,"masez (3)";#N/A,#N/A,FALSE,"masez (2)";#N/A,#N/A,FALSE,"GME";#N/A,#N/A,FALSE,"masez"}</definedName>
    <definedName function="false" hidden="false" localSheetId="5" name="Fernando" vbProcedure="false">{"cuadro1",#N/A,FALSE,"Cam buz camión Opción 1";"cuadro2",#N/A,FALSE,"Cam buz camión Opción 1";"cuadro3",#N/A,FALSE,"Cam buz camión Opción 1";"cuadro4",#N/A,FALSE,"Cam buz camión Opción 1";"cuadro5",#N/A,FALSE,"Cam buz camión Opción 1"}</definedName>
    <definedName function="false" hidden="false" localSheetId="5" name="ff" vbProcedure="false">{"Informe 2_Consolidado",#N/A,FALSE,"Cons.";"Informe 2_Tunel",#N/A,FALSE,"Cons.";"Informe 2_Melip",#N/A,FALSE,"Cons.";"Informe 2_Guall",#N/A,FALSE,"Cons.";"Informe 2_Sara L",#N/A,FALSE,"Cons.";"Informe 2_Quellon",#N/A,FALSE,"Cons.";"Informe 2_Biolix",#N/A,FALSE,"Cons.";"Informe 2_Oficina",#N/A,FALSE,"Cons.";"Informe 2_Consorcio",#N/A,FALSE,"Cons."}</definedName>
    <definedName function="false" hidden="false" localSheetId="5" name="FFF" vbProcedure="false">{"Graf_Carga Trab",#N/A,FALSE,"Grafi_Carga Trab";"Graf_Venta Flujo",#N/A,FALSE,"Grafi_Carga Trab"}</definedName>
    <definedName function="false" hidden="false" localSheetId="5" name="fgch" vbProcedure="false">{#N/A,#N/A,FALSE,"masez (10)";#N/A,#N/A,FALSE,"masez (7)";#N/A,#N/A,FALSE,"masez (6)";#N/A,#N/A,FALSE,"masez (5)";#N/A,#N/A,FALSE,"masez (4)";#N/A,#N/A,FALSE,"masez (3)";#N/A,#N/A,FALSE,"masez (2)";#N/A,#N/A,FALSE,"GME";#N/A,#N/A,FALSE,"masez"}</definedName>
    <definedName function="false" hidden="false" localSheetId="5" name="fgr" vbProcedure="false">{#N/A,#N/A,FALSE,"Total_OC015";#N/A,#N/A,FALSE,"ADMIN";#N/A,#N/A,FALSE,"PROCES";#N/A,#N/A,FALSE,"mecan";#N/A,#N/A,FALSE,"civil";#N/A,#N/A,FALSE,"CAÑER";#N/A,#N/A,FALSE,"ELEC";#N/A,#N/A,FALSE,"INSTR"}</definedName>
    <definedName function="false" hidden="false" localSheetId="5" name="FHSFJKSG" vbProcedure="false">{#N/A,#N/A,FALSE,"RESUMEN";#N/A,#N/A,FALSE,"GG-GI";#N/A,#N/A,FALSE,"AMB";#N/A,#N/A,FALSE,"EyR";#N/A,#N/A,FALSE,"UCP";#N/A,#N/A,FALSE,"IND";#N/A,#N/A,FALSE,"LR";#N/A,#N/A,FALSE,"PRV";#N/A,#N/A,FALSE,"TÚNELES";#N/A,#N/A,FALSE,"IDT";#N/A,#N/A,FALSE,"ING"}</definedName>
    <definedName function="false" hidden="false" localSheetId="5" name="ficha" vbProcedure="false">{#N/A,#N/A,FALSE,"RESUMEN ECON.";#N/A,#N/A,FALSE,"Costos de R.H.";#N/A,#N/A,FALSE,"COSTO HW";#N/A,#N/A,FALSE,"CUADROS";#N/A,#N/A,FALSE,"SCADA´s";#N/A,#N/A,FALSE,"PRECIOS EQUIPOS"}</definedName>
    <definedName function="false" hidden="false" localSheetId="5" name="ficha2" vbProcedure="false">{#N/A,#N/A,FALSE,"RESUMEN ECON.";#N/A,#N/A,FALSE,"Costos de R.H.";#N/A,#N/A,FALSE,"COSTO HW";#N/A,#N/A,FALSE,"CUADROS";#N/A,#N/A,FALSE,"SCADA´s";#N/A,#N/A,FALSE,"PRECIOS EQUIPOS"}</definedName>
    <definedName function="false" hidden="false" localSheetId="5" name="Fluidos" vbProcedure="false">'log de transmisión '!#ref!</definedName>
    <definedName function="false" hidden="false" localSheetId="5" name="Flujos" vbProcedure="false">{#N/A,#N/A,FALSE,"Graficos"}</definedName>
    <definedName function="false" hidden="false" localSheetId="5" name="FRDEASASa" vbProcedure="false">{"DETALLE_1996",#N/A,FALSE,"flujo";"DETALLE_1997",#N/A,FALSE,"flujo";"GASTOS_INCURRIDOS_1996",#N/A,FALSE,"flujo";"GASTOS_PROGRAMADOS_PARA_1997",#N/A,FALSE,"flujo";#N/A,#N/A,FALSE,"comparat";#N/A,#N/A,FALSE,"costos";#N/A,#N/A,FALSE,"proyctrol"}</definedName>
    <definedName function="false" hidden="false" localSheetId="5" name="FSF" vbProcedure="false">{#N/A,#N/A,FALSE,"masez (10)";#N/A,#N/A,FALSE,"masez (7)";#N/A,#N/A,FALSE,"masez (6)";#N/A,#N/A,FALSE,"masez (5)";#N/A,#N/A,FALSE,"masez (4)";#N/A,#N/A,FALSE,"masez (3)";#N/A,#N/A,FALSE,"masez (2)";#N/A,#N/A,FALSE,"GME";#N/A,#N/A,FALSE,"masez"}</definedName>
    <definedName function="false" hidden="false" localSheetId="5" name="fsfs" vbProcedure="false">{#N/A,#N/A,FALSE,"masez (10)";#N/A,#N/A,FALSE,"masez (7)";#N/A,#N/A,FALSE,"masez (6)";#N/A,#N/A,FALSE,"masez (5)";#N/A,#N/A,FALSE,"masez (4)";#N/A,#N/A,FALSE,"masez (3)";#N/A,#N/A,FALSE,"masez (2)";#N/A,#N/A,FALSE,"GME";#N/A,#N/A,FALSE,"masez"}</definedName>
    <definedName function="false" hidden="false" localSheetId="5" name="fsfsd" vbProcedure="false">{#N/A,#N/A,TRUE,"RESUMEN ECON.";#N/A,#N/A,TRUE,"Costos de R.H.";#N/A,#N/A,TRUE,"COSTO HW";#N/A,#N/A,TRUE,"CUADROS";#N/A,#N/A,TRUE,"SCADA´s";#N/A,#N/A,TRUE,"PRECIOS EQUIPOS"}</definedName>
    <definedName function="false" hidden="false" localSheetId="5" name="fsfsd2" vbProcedure="false">{#N/A,#N/A,TRUE,"RESUMEN ECON.";#N/A,#N/A,TRUE,"Costos de R.H.";#N/A,#N/A,TRUE,"COSTO HW";#N/A,#N/A,TRUE,"CUADROS";#N/A,#N/A,TRUE,"SCADA´s";#N/A,#N/A,TRUE,"PRECIOS EQUIPOS"}</definedName>
    <definedName function="false" hidden="false" localSheetId="5" name="g" vbProcedure="false">{#N/A,#N/A,FALSE,"Graficos"}</definedName>
    <definedName function="false" hidden="false" localSheetId="5" name="gar" vbProcedure="false">'log de transmisión '!#ref!</definedName>
    <definedName function="false" hidden="false" localSheetId="5" name="Gastón" vbProcedure="false">{"CI+GG(BASE)",#N/A,FALSE,"CI+GG(BASE)";"GG",#N/A,FALSE,"CI+GG(BASE)";"CI",#N/A,FALSE,"CI+GG(BASE)"}</definedName>
    <definedName function="false" hidden="false" localSheetId="5" name="GDG" vbProcedure="false">{#N/A,#N/A,FALSE,"masez (10)";#N/A,#N/A,FALSE,"masez (7)";#N/A,#N/A,FALSE,"masez (6)";#N/A,#N/A,FALSE,"masez (5)";#N/A,#N/A,FALSE,"masez (4)";#N/A,#N/A,FALSE,"masez (3)";#N/A,#N/A,FALSE,"masez (2)";#N/A,#N/A,FALSE,"GME";#N/A,#N/A,FALSE,"masez"}</definedName>
    <definedName function="false" hidden="false" localSheetId="5" name="GFGFGGG" vbProcedure="false">{"Control_Consolidado",#N/A,FALSE,"Cons.";"Control_Tunel",#N/A,FALSE,"Cons.";"Control_Melip",#N/A,FALSE,"Cons.";"Control_Gualleco",#N/A,FALSE,"Cons.";"Control_Sara L",#N/A,FALSE,"Cons.";"Control_Quellon",#N/A,FALSE,"Cons.";"Control_Biolix",#N/A,FALSE,"Cons.";"Control_Oficina",#N/A,FALSE,"Cons.";"Control_Consorcio",#N/A,FALSE,"Cons."}</definedName>
    <definedName function="false" hidden="false" localSheetId="5" name="gg" vbProcedure="false">{"Graf_Carga Trab",#N/A,FALSE,"Grafi_Carga Trab";"Graf_Venta Flujo",#N/A,FALSE,"Grafi_Carga Trab"}</definedName>
    <definedName function="false" hidden="false" localSheetId="5" name="GGdirconPosv" vbProcedure="false">'log de transmisión '!#ref!</definedName>
    <definedName function="false" hidden="false" localSheetId="5" name="ggg" vbProcedure="false">{#N/A,#N/A,TRUE,"RESUMEN ECON.";#N/A,#N/A,TRUE,"Costos de R.H.";#N/A,#N/A,TRUE,"COSTO HW";#N/A,#N/A,TRUE,"CUADROS";#N/A,#N/A,TRUE,"SCADA´s";#N/A,#N/A,TRUE,"PRECIOS EQUIPOS"}</definedName>
    <definedName function="false" hidden="false" localSheetId="5" name="ghgijuu" vbProcedure="false">{#N/A,#N/A,FALSE,"COVER";#N/A,#N/A,FALSE,"RECAP";#N/A,#N/A,FALSE,"SANTA BARBARA NONMANUAL";#N/A,#N/A,FALSE,"CEQUIP";#N/A,#N/A,FALSE,"WRATE";#N/A,#N/A,FALSE,"INDIRECT";#N/A,#N/A,FALSE,"TRAIN";#N/A,#N/A,FALSE,"MANLOADED SCHEDULE"}</definedName>
    <definedName function="false" hidden="false" localSheetId="5" name="gigi" vbProcedure="false">{#N/A,#N/A,FALSE,"summary";#N/A,#N/A,FALSE,"SumGraph"}</definedName>
    <definedName function="false" hidden="false" localSheetId="5" name="GJ" vbProcedure="false">'log de transmisión '!#ref!</definedName>
    <definedName function="false" hidden="false" localSheetId="5" name="GJLHÑÑGHK" vbProcedure="false">{#N/A,#N/A,FALSE,"masez (10)";#N/A,#N/A,FALSE,"masez (7)";#N/A,#N/A,FALSE,"masez (6)";#N/A,#N/A,FALSE,"masez (5)";#N/A,#N/A,FALSE,"masez (4)";#N/A,#N/A,FALSE,"masez (3)";#N/A,#N/A,FALSE,"masez (2)";#N/A,#N/A,FALSE,"GME";#N/A,#N/A,FALSE,"masez"}</definedName>
    <definedName function="false" hidden="false" localSheetId="5" name="gmd" vbProcedure="false">{#N/A,#N/A,FALSE,"Matrix";#N/A,#N/A,FALSE,"Executive";#N/A,#N/A,FALSE,"Summary"}</definedName>
    <definedName function="false" hidden="false" localSheetId="5" name="HG" vbProcedure="false">{"Informe 2_Consolidado",#N/A,FALSE,"Cons.";"Informe 2_Tunel",#N/A,FALSE,"Cons.";"Informe 2_Melip",#N/A,FALSE,"Cons.";"Informe 2_Guall",#N/A,FALSE,"Cons.";"Informe 2_Sara L",#N/A,FALSE,"Cons.";"Informe 2_Quellon",#N/A,FALSE,"Cons.";"Informe 2_Biolix",#N/A,FALSE,"Cons.";"Informe 2_Oficina",#N/A,FALSE,"Cons.";"Informe 2_Consorcio",#N/A,FALSE,"Cons."}</definedName>
    <definedName function="false" hidden="false" localSheetId="5" name="HGH" vbProcedure="false">{#N/A,#N/A,FALSE,"summary";#N/A,#N/A,FALSE,"SumGraph"}</definedName>
    <definedName function="false" hidden="false" localSheetId="5" name="HHGH" vbProcedure="false">{"Control_Consolidado",#N/A,FALSE,"Cons.";"Control_Tunel",#N/A,FALSE,"Cons.";"Control_Melip",#N/A,FALSE,"Cons.";"Control_Gualleco",#N/A,FALSE,"Cons.";"Control_Sara L",#N/A,FALSE,"Cons.";"Control_Quellon",#N/A,FALSE,"Cons.";"Control_Biolix",#N/A,FALSE,"Cons.";"Control_Oficina",#N/A,FALSE,"Cons.";"Control_Consorcio",#N/A,FALSE,"Cons."}</definedName>
    <definedName function="false" hidden="false" localSheetId="5" name="hhhhh" vbProcedure="false">{"Informe 2_Consolidado",#N/A,FALSE,"Cons.";"Informe 2_Tunel",#N/A,FALSE,"Cons.";"Informe 2_Melip",#N/A,FALSE,"Cons.";"Informe 2_Guall",#N/A,FALSE,"Cons.";"Informe 2_Sara L",#N/A,FALSE,"Cons.";"Informe 2_Quellon",#N/A,FALSE,"Cons.";"Informe 2_Biolix",#N/A,FALSE,"Cons.";"Informe 2_Oficina",#N/A,FALSE,"Cons.";"Informe 2_Consorcio",#N/A,FALSE,"Cons."}</definedName>
    <definedName function="false" hidden="false" localSheetId="5" name="HHHHHH" vbProcedure="false">{"DETALLE_1996",#N/A,FALSE,"flujo";"DETALLE_1997",#N/A,FALSE,"flujo";"GASTOS_INCURRIDOS_1996",#N/A,FALSE,"flujo";"GASTOS_PROGRAMADOS_PARA_1997",#N/A,FALSE,"flujo";#N/A,#N/A,FALSE,"comparat";#N/A,#N/A,FALSE,"costos";#N/A,#N/A,FALSE,"proyctrol"}</definedName>
    <definedName function="false" hidden="false" localSheetId="5" name="HHJK" vbProcedure="false">{"Graf_Carga Trab",#N/A,FALSE,"Grafi_Carga Trab";"Graf_Venta Flujo",#N/A,FALSE,"Grafi_Carga Trab"}</definedName>
    <definedName function="false" hidden="false" localSheetId="5" name="HOJITA" vbProcedure="false">{"cuadro1",#N/A,FALSE,"Buzon Camion Opción 3";"cuadro2",#N/A,FALSE,"Buzon Camion Opción 3";"cuadro3",#N/A,FALSE,"Buzon Camion Opción 3";"cuadro4",#N/A,FALSE,"Buzon Camion Opción 3"}</definedName>
    <definedName function="false" hidden="false" localSheetId="5" name="hojita2" vbProcedure="false">{"cuadro1",#N/A,FALSE,"Buzon Camion Opción 3";"cuadro2",#N/A,FALSE,"Buzon Camion Opción 3";"cuadro3",#N/A,FALSE,"Buzon Camion Opción 3";"cuadro4",#N/A,FALSE,"Buzon Camion Opción 3"}</definedName>
    <definedName function="false" hidden="false" localSheetId="5" name="hola" vbProcedure="false">{#N/A,#N/A,TRUE,"RESUMEN ECON.";#N/A,#N/A,TRUE,"Costos de R.H.";#N/A,#N/A,TRUE,"COSTO HW";#N/A,#N/A,TRUE,"CUADROS";#N/A,#N/A,TRUE,"SCADA´s";#N/A,#N/A,TRUE,"PRECIOS EQUIPOS"}</definedName>
    <definedName function="false" hidden="false" localSheetId="5" name="HTML_Control" vbProcedure="false">{"'resumen REV 3'!$B$1:$Q$69"}</definedName>
    <definedName function="false" hidden="false" localSheetId="5" name="HTML_Control_1" vbProcedure="false">{"'Sheet1'!$A$1:$G$85"}</definedName>
    <definedName function="false" hidden="false" localSheetId="5" name="III" vbProcedure="false">{#N/A,#N/A,FALSE,"summary";#N/A,#N/A,FALSE,"SumGraph"}</definedName>
    <definedName function="false" hidden="false" localSheetId="5" name="Increase_Effective_Date" vbProcedure="false">'log de transmisión '!#ref!</definedName>
    <definedName function="false" hidden="false" localSheetId="5" name="INCU" vbProcedure="false">{"DETALLE_1996",#N/A,FALSE,"flujo";"DETALLE_1997",#N/A,FALSE,"flujo";"GASTOS_INCURRIDOS_1996",#N/A,FALSE,"flujo";"GASTOS_PROGRAMADOS_PARA_1997",#N/A,FALSE,"flujo";#N/A,#N/A,FALSE,"comparat";#N/A,#N/A,FALSE,"costos";#N/A,#N/A,FALSE,"proyctrol"}</definedName>
    <definedName function="false" hidden="false" localSheetId="5" name="incurrido2" vbProcedure="false">{"DETALLE_1996",#N/A,FALSE,"flujo";"DETALLE_1997",#N/A,FALSE,"flujo";"GASTOS_INCURRIDOS_1996",#N/A,FALSE,"flujo";"GASTOS_PROGRAMADOS_PARA_1997",#N/A,FALSE,"flujo";#N/A,#N/A,FALSE,"comparat";#N/A,#N/A,FALSE,"costos";#N/A,#N/A,FALSE,"proyctrol"}</definedName>
    <definedName function="false" hidden="false" localSheetId="5" name="incurrido3" vbProcedure="false">{"DETALLE_1996",#N/A,FALSE,"flujo";"DETALLE_1997",#N/A,FALSE,"flujo";"GASTOS_INCURRIDOS_1996",#N/A,FALSE,"flujo";"GASTOS_PROGRAMADOS_PARA_1997",#N/A,FALSE,"flujo";#N/A,#N/A,FALSE,"comparat";#N/A,#N/A,FALSE,"costos";#N/A,#N/A,FALSE,"proyctrol"}</definedName>
    <definedName function="false" hidden="false" localSheetId="5" name="INSTALADO" vbProcedure="false">'log de transmisión '!#ref!</definedName>
    <definedName function="false" hidden="false" localSheetId="5" name="jhdfghjd" vbProcedure="false">{#N/A,#N/A,FALSE,"RESUMEN ECON.";#N/A,#N/A,FALSE,"Costos de R.H.";#N/A,#N/A,FALSE,"COSTO HW";#N/A,#N/A,FALSE,"CUADROS";#N/A,#N/A,FALSE,"SCADA´s";#N/A,#N/A,FALSE,"PRECIOS EQUIPOS"}</definedName>
    <definedName function="false" hidden="false" localSheetId="5" name="JMBM" vbProcedure="false">{#N/A,#N/A,TRUE,"RESUMEN ECON.";#N/A,#N/A,TRUE,"Costos de R.H.";#N/A,#N/A,TRUE,"COSTO HW";#N/A,#N/A,TRUE,"CUADROS";#N/A,#N/A,TRUE,"SCADA´s";#N/A,#N/A,TRUE,"PRECIOS EQUIPOS"}</definedName>
    <definedName function="false" hidden="false" localSheetId="5" name="JMBM2" vbProcedure="false">{#N/A,#N/A,TRUE,"RESUMEN ECON.";#N/A,#N/A,TRUE,"Costos de R.H.";#N/A,#N/A,TRUE,"COSTO HW";#N/A,#N/A,TRUE,"CUADROS";#N/A,#N/A,TRUE,"SCADA´s";#N/A,#N/A,TRUE,"PRECIOS EQUIPOS"}</definedName>
    <definedName function="false" hidden="false" localSheetId="5" name="JMBMI" vbProcedure="false">{#N/A,#N/A,TRUE,"RESUMEN ECON.";#N/A,#N/A,TRUE,"Costos de R.H.";#N/A,#N/A,TRUE,"COSTO HW";#N/A,#N/A,TRUE,"CUADROS";#N/A,#N/A,TRUE,"SCADA´s";#N/A,#N/A,TRUE,"PRECIOS EQUIPOS"}</definedName>
    <definedName function="false" hidden="false" localSheetId="5" name="JMBMI2" vbProcedure="false">{#N/A,#N/A,TRUE,"RESUMEN ECON.";#N/A,#N/A,TRUE,"Costos de R.H.";#N/A,#N/A,TRUE,"COSTO HW";#N/A,#N/A,TRUE,"CUADROS";#N/A,#N/A,TRUE,"SCADA´s";#N/A,#N/A,TRUE,"PRECIOS EQUIPOS"}</definedName>
    <definedName function="false" hidden="false" localSheetId="5" name="JUAN" vbProcedure="false">{#N/A,#N/A,FALSE,"RESUMEN ECON.";#N/A,#N/A,FALSE,"Costos de R.H.";#N/A,#N/A,FALSE,"COSTO HW";#N/A,#N/A,FALSE,"CUADROS";#N/A,#N/A,FALSE,"SCADA´s";#N/A,#N/A,FALSE,"PRECIOS EQUIPOS"}</definedName>
    <definedName function="false" hidden="false" localSheetId="5" name="JUAN2" vbProcedure="false">{#N/A,#N/A,FALSE,"RESUMEN ECON.";#N/A,#N/A,FALSE,"Costos de R.H.";#N/A,#N/A,FALSE,"COSTO HW";#N/A,#N/A,FALSE,"CUADROS";#N/A,#N/A,FALSE,"SCADA´s";#N/A,#N/A,FALSE,"PRECIOS EQUIPOS"}</definedName>
    <definedName function="false" hidden="false" localSheetId="5" name="JUANITO" vbProcedure="false">{"Sens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function="false" hidden="false" localSheetId="5" name="JUMABA" vbProcedure="false">{#N/A,#N/A,TRUE,"RESUMEN ECON.";#N/A,#N/A,TRUE,"Costos de R.H.";#N/A,#N/A,TRUE,"COSTO HW";#N/A,#N/A,TRUE,"CUADROS";#N/A,#N/A,TRUE,"SCADA´s";#N/A,#N/A,TRUE,"PRECIOS EQUIPOS"}</definedName>
    <definedName function="false" hidden="false" localSheetId="5" name="JUMABA2" vbProcedure="false">{#N/A,#N/A,TRUE,"RESUMEN ECON.";#N/A,#N/A,TRUE,"Costos de R.H.";#N/A,#N/A,TRUE,"COSTO HW";#N/A,#N/A,TRUE,"CUADROS";#N/A,#N/A,TRUE,"SCADA´s";#N/A,#N/A,TRUE,"PRECIOS EQUIPOS"}</definedName>
    <definedName function="false" hidden="false" localSheetId="5" name="JUPOX" vbProcedure="false">{#N/A,#N/A,FALSE,"masez (10)";#N/A,#N/A,FALSE,"masez (7)";#N/A,#N/A,FALSE,"masez (6)";#N/A,#N/A,FALSE,"masez (5)";#N/A,#N/A,FALSE,"masez (4)";#N/A,#N/A,FALSE,"masez (3)";#N/A,#N/A,FALSE,"masez (2)";#N/A,#N/A,FALSE,"GME";#N/A,#N/A,FALSE,"masez"}</definedName>
    <definedName function="false" hidden="false" localSheetId="5" name="k1mc" vbProcedure="false">'log de transmisión '!#ref!</definedName>
    <definedName function="false" hidden="false" localSheetId="5" name="kmjvhfjdvbfdmjvfd" vbProcedure="false">{#N/A,#N/A,TRUE,"RESUMEN ECON.";#N/A,#N/A,TRUE,"Costos de R.H.";#N/A,#N/A,TRUE,"COSTO HW";#N/A,#N/A,TRUE,"CUADROS";#N/A,#N/A,TRUE,"SCADA´s";#N/A,#N/A,TRUE,"PRECIOS EQUIPOS"}</definedName>
    <definedName function="false" hidden="false" localSheetId="5" name="ldldld" vbProcedure="false">{#N/A,#N/A,TRUE,"RESUMEN ECON.";#N/A,#N/A,TRUE,"Costos de R.H.";#N/A,#N/A,TRUE,"COSTO HW";#N/A,#N/A,TRUE,"CUADROS";#N/A,#N/A,TRUE,"SCADA´s";#N/A,#N/A,TRUE,"PRECIOS EQUIPOS"}</definedName>
    <definedName function="false" hidden="false" localSheetId="5" name="ll" vbProcedure="false">{"Sens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function="false" hidden="false" localSheetId="5" name="lll" vbProcedure="false">{#N/A,#N/A,FALSE,"RESUMEN ECON.";#N/A,#N/A,FALSE,"Costos de R.H.";#N/A,#N/A,FALSE,"COSTO HW";#N/A,#N/A,FALSE,"CUADROS";#N/A,#N/A,FALSE,"SCADA´s";#N/A,#N/A,FALSE,"PRECIOS EQUIPOS"}</definedName>
    <definedName function="false" hidden="false" localSheetId="5" name="lllll" vbProcedure="false">{#N/A,#N/A,FALSE,"RESUMEN ECON.";#N/A,#N/A,FALSE,"Costos de R.H.";#N/A,#N/A,FALSE,"COSTO HW";#N/A,#N/A,FALSE,"CUADROS";#N/A,#N/A,FALSE,"SCADA´s";#N/A,#N/A,FALSE,"PRECIOS EQUIPOS"}</definedName>
    <definedName function="false" hidden="false" localSheetId="5" name="llllll2" vbProcedure="false">{#N/A,#N/A,FALSE,"RESUMEN ECON.";#N/A,#N/A,FALSE,"Costos de R.H.";#N/A,#N/A,FALSE,"COSTO HW";#N/A,#N/A,FALSE,"CUADROS";#N/A,#N/A,FALSE,"SCADA´s";#N/A,#N/A,FALSE,"PRECIOS EQUIPOS"}</definedName>
    <definedName function="false" hidden="false" localSheetId="5" name="lo" vbProcedure="false">{#N/A,#N/A,FALSE,"COVER";#N/A,#N/A,FALSE,"RECAP";#N/A,#N/A,FALSE,"SANTA BARBARA NONMANUAL";#N/A,#N/A,FALSE,"CEQUIP";#N/A,#N/A,FALSE,"WRATE";#N/A,#N/A,FALSE,"INDIRECT";#N/A,#N/A,FALSE,"TRAIN";#N/A,#N/A,FALSE,"MANLOADED SCHEDULE"}</definedName>
    <definedName function="false" hidden="false" localSheetId="5" name="loco" vbProcedure="false">{#N/A,#N/A,FALSE,"masez (10)";#N/A,#N/A,FALSE,"masez (7)";#N/A,#N/A,FALSE,"masez (6)";#N/A,#N/A,FALSE,"masez (5)";#N/A,#N/A,FALSE,"masez (4)";#N/A,#N/A,FALSE,"masez (3)";#N/A,#N/A,FALSE,"masez (2)";#N/A,#N/A,FALSE,"GME";#N/A,#N/A,FALSE,"masez"}</definedName>
    <definedName function="false" hidden="false" localSheetId="5" name="lp" vbProcedure="false">{#N/A,#N/A,FALSE,"COVER";#N/A,#N/A,FALSE,"RECAP";#N/A,#N/A,FALSE,"SANTA BARBARA NONMANUAL";#N/A,#N/A,FALSE,"CEQUIP";#N/A,#N/A,FALSE,"WRATE";#N/A,#N/A,FALSE,"INDIRECT";#N/A,#N/A,FALSE,"TRAIN";#N/A,#N/A,FALSE,"MANLOADED SCHEDULE"}</definedName>
    <definedName function="false" hidden="false" localSheetId="5" name="Manual_DB" vbProcedure="false">'log de transmisión '!#ref!</definedName>
    <definedName function="false" hidden="false" localSheetId="5" name="MB" vbProcedure="false">{#N/A,#N/A,FALSE,"PXP-TOTAL Modif";"vis2",#N/A,FALSE,"PXP-AÑO";"Vis1",#N/A,FALSE,"PXP-AÑO"}</definedName>
    <definedName function="false" hidden="false" localSheetId="5" name="mm" vbProcedure="false">{"Sens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function="false" hidden="false" localSheetId="5" name="MmExcelLinker_3702F0E9_8669_445E_90ED_56310F43C40B" vbProcedure="false">'log de transmisión '!#ref!</definedName>
    <definedName function="false" hidden="false" localSheetId="5" name="MO" vbProcedure="false">'log de transmisión '!#ref!</definedName>
    <definedName function="false" hidden="false" localSheetId="5" name="nose1" vbProcedure="false">{#N/A,#N/A,FALSE,"Matrix";#N/A,#N/A,FALSE,"Executive";#N/A,#N/A,FALSE,"Summary";#N/A,#N/A,FALSE,"Office1";#N/A,#N/A,FALSE,"Office2";#N/A,#N/A,FALSE,"Office3";#N/A,#N/A,FALSE,"Office4";#N/A,#N/A,FALSE,"Office5";#N/A,#N/A,FALSE,"Office6";#N/A,#N/A,FALSE,"Office7";#N/A,#N/A,FALSE,"Labor"}</definedName>
    <definedName function="false" hidden="false" localSheetId="5" name="nose2" vbProcedure="false">{#N/A,#N/A,FALSE,"E-1";#N/A,#N/A,FALSE,"E-2";#N/A,#N/A,FALSE,"F-1";#N/A,#N/A,FALSE,"F-2";#N/A,#N/A,FALSE,"F-3";#N/A,#N/A,FALSE,"F-4";#N/A,#N/A,FALSE,"F-5";#N/A,#N/A,FALSE,"F-6";#N/A,#N/A,FALSE,"Matrix"}</definedName>
    <definedName function="false" hidden="false" localSheetId="5" name="nose3" vbProcedure="false">{#N/A,#N/A,FALSE,"Matrix";#N/A,#N/A,FALSE,"Executive";#N/A,#N/A,FALSE,"Summary"}</definedName>
    <definedName function="false" hidden="false" localSheetId="5" name="NVOS" vbProcedure="false">{"'Sheet1'!$A$1:$G$85"}</definedName>
    <definedName function="false" hidden="false" localSheetId="5" name="OLA" vbProcedure="false">{"DETALLE_1996",#N/A,FALSE,"flujo";"DETALLE_1997",#N/A,FALSE,"flujo";"GASTOS_INCURRIDOS_1996",#N/A,FALSE,"flujo";"GASTOS_PROGRAMADOS_PARA_1997",#N/A,FALSE,"flujo";#N/A,#N/A,FALSE,"comparat";#N/A,#N/A,FALSE,"costos";#N/A,#N/A,FALSE,"proyctrol"}</definedName>
    <definedName function="false" hidden="false" localSheetId="5" name="onon" vbProcedure="false">{#N/A,#N/A,TRUE,"RESUMEN ECON.";#N/A,#N/A,TRUE,"Costos de R.H.";#N/A,#N/A,TRUE,"COSTO HW";#N/A,#N/A,TRUE,"CUADROS";#N/A,#N/A,TRUE,"SCADA´s";#N/A,#N/A,TRUE,"PRECIOS EQUIPOS"}</definedName>
    <definedName function="false" hidden="false" localSheetId="5" name="ooo" vbProcedure="false">{#N/A,#N/A,FALSE,"RESUMEN ECON.";#N/A,#N/A,FALSE,"Costos de R.H.";#N/A,#N/A,FALSE,"COSTO HW";#N/A,#N/A,FALSE,"CUADROS";#N/A,#N/A,FALSE,"SCADA´s";#N/A,#N/A,FALSE,"PRECIOS EQUIPOS"}</definedName>
    <definedName function="false" hidden="false" localSheetId="5" name="OSCAR" vbProcedure="false">{"DETALLE_1996",#N/A,FALSE,"flujo";"DETALLE_1997",#N/A,FALSE,"flujo";"GASTOS_INCURRIDOS_1996",#N/A,FALSE,"flujo";"GASTOS_PROGRAMADOS_PARA_1997",#N/A,FALSE,"flujo";#N/A,#N/A,FALSE,"comparat";#N/A,#N/A,FALSE,"costos";#N/A,#N/A,FALSE,"proyctrol"}</definedName>
    <definedName function="false" hidden="false" localSheetId="5" name="p2mpmc2" vbProcedure="false">'log de transmisión '!#ref!</definedName>
    <definedName function="false" hidden="false" localSheetId="5" name="pi" vbProcedure="false">{#N/A,#N/A,FALSE,"masez (10)";#N/A,#N/A,FALSE,"masez (7)";#N/A,#N/A,FALSE,"masez (6)";#N/A,#N/A,FALSE,"masez (5)";#N/A,#N/A,FALSE,"masez (4)";#N/A,#N/A,FALSE,"masez (3)";#N/A,#N/A,FALSE,"masez (2)";#N/A,#N/A,FALSE,"GME";#N/A,#N/A,FALSE,"masez"}</definedName>
    <definedName function="false" hidden="false" localSheetId="5" name="pico" vbProcedure="false">{#N/A,#N/A,FALSE,"masez (10)";#N/A,#N/A,FALSE,"masez (7)";#N/A,#N/A,FALSE,"masez (6)";#N/A,#N/A,FALSE,"masez (5)";#N/A,#N/A,FALSE,"masez (4)";#N/A,#N/A,FALSE,"masez (3)";#N/A,#N/A,FALSE,"masez (2)";#N/A,#N/A,FALSE,"GME";#N/A,#N/A,FALSE,"masez"}</definedName>
    <definedName function="false" hidden="false" localSheetId="5" name="plan" vbProcedure="false">{#N/A,#N/A,FALSE,"masez (10)";#N/A,#N/A,FALSE,"masez (7)";#N/A,#N/A,FALSE,"masez (6)";#N/A,#N/A,FALSE,"masez (5)";#N/A,#N/A,FALSE,"masez (4)";#N/A,#N/A,FALSE,"masez (3)";#N/A,#N/A,FALSE,"masez (2)";#N/A,#N/A,FALSE,"GME";#N/A,#N/A,FALSE,"masez"}</definedName>
    <definedName function="false" hidden="false" localSheetId="5" name="PL_AUX_DATA" vbProcedure="false">'log de transmisión '!#ref!</definedName>
    <definedName function="false" hidden="false" localSheetId="5" name="PL_TIPO_CURVA" vbProcedure="false">'log de transmisión '!#ref!</definedName>
    <definedName function="false" hidden="false" localSheetId="5" name="pp" vbProcedure="false">{"Sens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function="false" hidden="false" localSheetId="5" name="ppspsps" vbProcedure="false">{"Informe 1_Consolidado",#N/A,FALSE,"Cons.";"Informe 1_Tunel",#N/A,FALSE,"Cons.";"Informe 1_Melip",#N/A,FALSE,"Cons.";"Informe 1_Guall",#N/A,FALSE,"Cons.";"Informe 1_Sara L",#N/A,FALSE,"Cons.";"Informe 1_Quellon",#N/A,FALSE,"Cons.";"Informe 1_Biolix",#N/A,FALSE,"Cons.";"Informe 1_Oficina",#N/A,FALSE,"Cons.";"Informe 1_Consorcio",#N/A,FALSE,"Cons."}</definedName>
    <definedName function="false" hidden="false" localSheetId="5" name="PROGINC" vbProcedure="false">{"DETALLE_1996",#N/A,FALSE,"flujo";"DETALLE_1997",#N/A,FALSE,"flujo";"GASTOS_INCURRIDOS_1996",#N/A,FALSE,"flujo";"GASTOS_PROGRAMADOS_PARA_1997",#N/A,FALSE,"flujo";#N/A,#N/A,FALSE,"comparat";#N/A,#N/A,FALSE,"costos";#N/A,#N/A,FALSE,"proyctrol"}</definedName>
    <definedName function="false" hidden="false" localSheetId="5" name="ptg" vbProcedure="false">{#N/A,#N/A,TRUE,"RESUMEN ECON.";#N/A,#N/A,TRUE,"Costos de R.H.";#N/A,#N/A,TRUE,"COSTO HW";#N/A,#N/A,TRUE,"CUADROS";#N/A,#N/A,TRUE,"SCADA´s";#N/A,#N/A,TRUE,"PRECIOS EQUIPOS"}</definedName>
    <definedName function="false" hidden="false" localSheetId="5" name="qaq" vbProcedure="false">{#N/A,#N/A,FALSE,"summary";#N/A,#N/A,FALSE,"SumGraph"}</definedName>
    <definedName function="false" hidden="false" localSheetId="5" name="qg" vbProcedure="false">{#N/A,#N/A,FALSE,"RESUMEN ECON.";#N/A,#N/A,FALSE,"Costos de R.H.";#N/A,#N/A,FALSE,"COSTO HW";#N/A,#N/A,FALSE,"CUADROS";#N/A,#N/A,FALSE,"SCADA´s";#N/A,#N/A,FALSE,"PRECIOS EQUIPOS"}</definedName>
    <definedName function="false" hidden="false" localSheetId="5" name="qq" vbProcedure="false">{#N/A,#N/A,TRUE,"RESUMEN ECON.";#N/A,#N/A,TRUE,"Costos de R.H.";#N/A,#N/A,TRUE,"COSTO HW";#N/A,#N/A,TRUE,"CUADROS";#N/A,#N/A,TRUE,"SCADA´s";#N/A,#N/A,TRUE,"PRECIOS EQUIPOS"}</definedName>
    <definedName function="false" hidden="false" localSheetId="5" name="qw" vbProcedure="false">{"Control_Consolidado",#N/A,FALSE,"Cons.";"Control_Tunel",#N/A,FALSE,"Cons.";"Control_Melip",#N/A,FALSE,"Cons.";"Control_Gualleco",#N/A,FALSE,"Cons.";"Control_Sara L",#N/A,FALSE,"Cons.";"Control_Quellon",#N/A,FALSE,"Cons.";"Control_Biolix",#N/A,FALSE,"Cons.";"Control_Oficina",#N/A,FALSE,"Cons.";"Control_Consorcio",#N/A,FALSE,"Cons."}</definedName>
    <definedName function="false" hidden="false" localSheetId="5" name="qx" vbProcedure="false">{#N/A,#N/A,FALSE,"masez (10)";#N/A,#N/A,FALSE,"masez (7)";#N/A,#N/A,FALSE,"masez (6)";#N/A,#N/A,FALSE,"masez (5)";#N/A,#N/A,FALSE,"masez (4)";#N/A,#N/A,FALSE,"masez (3)";#N/A,#N/A,FALSE,"masez (2)";#N/A,#N/A,FALSE,"GME";#N/A,#N/A,FALSE,"masez"}</definedName>
    <definedName function="false" hidden="false" localSheetId="5" name="RAF" vbProcedure="false">{"Sens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function="false" hidden="false" localSheetId="5" name="RANGO" vbProcedure="false">'log de transmisión '!#ref!</definedName>
    <definedName function="false" hidden="false" localSheetId="5" name="RANKING" vbProcedure="false">{"DETALLE_1996",#N/A,FALSE,"flujo";"DETALLE_1997",#N/A,FALSE,"flujo";"GASTOS_INCURRIDOS_1996",#N/A,FALSE,"flujo";"GASTOS_PROGRAMADOS_PARA_1997",#N/A,FALSE,"flujo";#N/A,#N/A,FALSE,"comparat";#N/A,#N/A,FALSE,"costos";#N/A,#N/A,FALSE,"proyctrol"}</definedName>
    <definedName function="false" hidden="false" localSheetId="5" name="RCBMS" vbProcedure="false">'log de transmisión '!#ref!</definedName>
    <definedName function="false" hidden="false" localSheetId="5" name="red" vbProcedure="false">{"DETALLE_1996",#N/A,FALSE,"flujo";"DETALLE_1997",#N/A,FALSE,"flujo";"GASTOS_INCURRIDOS_1996",#N/A,FALSE,"flujo";"GASTOS_PROGRAMADOS_PARA_1997",#N/A,FALSE,"flujo";#N/A,#N/A,FALSE,"comparat";#N/A,#N/A,FALSE,"costos";#N/A,#N/A,FALSE,"proyctrol"}</definedName>
    <definedName function="false" hidden="false" localSheetId="5" name="ree" vbProcedure="false">{#N/A,#N/A,FALSE,"masez (10)";#N/A,#N/A,FALSE,"masez (7)";#N/A,#N/A,FALSE,"masez (6)";#N/A,#N/A,FALSE,"masez (5)";#N/A,#N/A,FALSE,"masez (4)";#N/A,#N/A,FALSE,"masez (3)";#N/A,#N/A,FALSE,"masez (2)";#N/A,#N/A,FALSE,"GME";#N/A,#N/A,FALSE,"masez"}</definedName>
    <definedName function="false" hidden="false" localSheetId="5" name="rer" vbProcedure="false">{"DETALLE_1996",#N/A,FALSE,"flujo";"DETALLE_1997",#N/A,FALSE,"flujo";"GASTOS_INCURRIDOS_1996",#N/A,FALSE,"flujo";"GASTOS_PROGRAMADOS_PARA_1997",#N/A,FALSE,"flujo";#N/A,#N/A,FALSE,"comparat";#N/A,#N/A,FALSE,"costos";#N/A,#N/A,FALSE,"proyctrol"}</definedName>
    <definedName function="false" hidden="false" localSheetId="5" name="rft" vbProcedure="false">{#N/A,#N/A,TRUE,"RESUMEN ECON.";#N/A,#N/A,TRUE,"Costos de R.H.";#N/A,#N/A,TRUE,"COSTO HW";#N/A,#N/A,TRUE,"CUADROS";#N/A,#N/A,TRUE,"SCADA´s";#N/A,#N/A,TRUE,"PRECIOS EQUIPOS"}</definedName>
    <definedName function="false" hidden="false" localSheetId="5" name="RG" vbProcedure="false">{"cuadro1",#N/A,FALSE,"Camara buz ffcc Opción 5";"cuadro2",#N/A,FALSE,"Camara buz ffcc Opción 5";"cuadro3",#N/A,FALSE,"Camara buz ffcc Opción 5";"cuadro4",#N/A,FALSE,"Camara buz ffcc Opción 5"}</definedName>
    <definedName function="false" hidden="false" localSheetId="5" name="RIGO2" vbProcedure="false">{"cuadro1",#N/A,FALSE,"Buzon Camion Opción 3";"cuadro2",#N/A,FALSE,"Buzon Camion Opción 3";"cuadro3",#N/A,FALSE,"Buzon Camion Opción 3";"cuadro4",#N/A,FALSE,"Buzon Camion Opción 3"}</definedName>
    <definedName function="false" hidden="false" localSheetId="5" name="RO" vbProcedure="false">'log de transmisión '!#ref!</definedName>
    <definedName function="false" hidden="false" localSheetId="5" name="rtu" vbProcedure="false">{#N/A,#N/A,TRUE,"RESUMEN ECON.";#N/A,#N/A,TRUE,"Costos de R.H.";#N/A,#N/A,TRUE,"COSTO HW";#N/A,#N/A,TRUE,"CUADROS";#N/A,#N/A,TRUE,"SCADA´s";#N/A,#N/A,TRUE,"PRECIOS EQUIPOS"}</definedName>
    <definedName function="false" hidden="false" localSheetId="5" name="rty" vbProcedure="false">{#N/A,#N/A,FALSE,"masez (10)";#N/A,#N/A,FALSE,"masez (7)";#N/A,#N/A,FALSE,"masez (6)";#N/A,#N/A,FALSE,"masez (5)";#N/A,#N/A,FALSE,"masez (4)";#N/A,#N/A,FALSE,"masez (3)";#N/A,#N/A,FALSE,"masez (2)";#N/A,#N/A,FALSE,"GME";#N/A,#N/A,FALSE,"masez"}</definedName>
    <definedName function="false" hidden="false" localSheetId="5" name="s" vbProcedure="false">{#N/A,#N/A,FALSE,"masez (10)";#N/A,#N/A,FALSE,"masez (7)";#N/A,#N/A,FALSE,"masez (6)";#N/A,#N/A,FALSE,"masez (5)";#N/A,#N/A,FALSE,"masez (4)";#N/A,#N/A,FALSE,"masez (3)";#N/A,#N/A,FALSE,"masez (2)";#N/A,#N/A,FALSE,"GME";#N/A,#N/A,FALSE,"masez"}</definedName>
    <definedName function="false" hidden="false" localSheetId="5" name="SDA" vbProcedure="false">{#N/A,#N/A,FALSE,"masez (10)";#N/A,#N/A,FALSE,"masez (7)";#N/A,#N/A,FALSE,"masez (6)";#N/A,#N/A,FALSE,"masez (5)";#N/A,#N/A,FALSE,"masez (4)";#N/A,#N/A,FALSE,"masez (3)";#N/A,#N/A,FALSE,"masez (2)";#N/A,#N/A,FALSE,"GME";#N/A,#N/A,FALSE,"masez"}</definedName>
    <definedName function="false" hidden="false" localSheetId="5" name="sdass" vbProcedure="false">{#N/A,#N/A,FALSE,"masez (10)";#N/A,#N/A,FALSE,"masez (7)";#N/A,#N/A,FALSE,"masez (6)";#N/A,#N/A,FALSE,"masez (5)";#N/A,#N/A,FALSE,"masez (4)";#N/A,#N/A,FALSE,"masez (3)";#N/A,#N/A,FALSE,"masez (2)";#N/A,#N/A,FALSE,"GME";#N/A,#N/A,FALSE,"masez"}</definedName>
    <definedName function="false" hidden="false" localSheetId="5" name="sdht" vbProcedure="false">{"'resumen REV 3'!$B$1:$Q$69"}</definedName>
    <definedName function="false" hidden="false" localSheetId="5" name="SENGOAEÑHAER" vbProcedure="false">{#N/A,#N/A,FALSE,"masez (10)";#N/A,#N/A,FALSE,"masez (7)";#N/A,#N/A,FALSE,"masez (6)";#N/A,#N/A,FALSE,"masez (5)";#N/A,#N/A,FALSE,"masez (4)";#N/A,#N/A,FALSE,"masez (3)";#N/A,#N/A,FALSE,"masez (2)";#N/A,#N/A,FALSE,"GME";#N/A,#N/A,FALSE,"masez"}</definedName>
    <definedName function="false" hidden="false" localSheetId="5" name="SFGAST5" vbProcedure="false">{#N/A,#N/A,FALSE,"IC_Global";#N/A,#N/A,FALSE,"IC_Global (98-f)";#N/A,#N/A,FALSE,"Inc";#N/A,#N/A,FALSE,"CAMBIOS (2)";#N/A,#N/A,FALSE,"EXPL Inc.";#N/A,#N/A,FALSE,"HITOS98";#N/A,#N/A,FALSE,"CURVA ""S"" GLOBAL ";#N/A,#N/A,FALSE,"CURVA ""S"" 1998 "}</definedName>
    <definedName function="false" hidden="false" localSheetId="5" name="SFINTOTAL" vbProcedure="false">{"DETALLE_1996",#N/A,FALSE,"flujo";"DETALLE_1997",#N/A,FALSE,"flujo";"GASTOS_INCURRIDOS_1996",#N/A,FALSE,"flujo";"GASTOS_PROGRAMADOS_PARA_1997",#N/A,FALSE,"flujo";#N/A,#N/A,FALSE,"comparat";#N/A,#N/A,FALSE,"costos";#N/A,#N/A,FALSE,"proyctrol"}</definedName>
    <definedName function="false" hidden="false" localSheetId="5" name="SFSTRT" vbProcedure="false">{#N/A,#N/A,FALSE,"masez (10)";#N/A,#N/A,FALSE,"masez (7)";#N/A,#N/A,FALSE,"masez (6)";#N/A,#N/A,FALSE,"masez (5)";#N/A,#N/A,FALSE,"masez (4)";#N/A,#N/A,FALSE,"masez (3)";#N/A,#N/A,FALSE,"masez (2)";#N/A,#N/A,FALSE,"GME";#N/A,#N/A,FALSE,"masez"}</definedName>
    <definedName function="false" hidden="false" localSheetId="5" name="SIGLA" vbProcedure="false">'log de transmisión '!#ref!</definedName>
    <definedName function="false" hidden="false" localSheetId="5" name="Simple" vbProcedure="false">{#N/A,#N/A,FALSE,"RESUMEN ECON.";#N/A,#N/A,FALSE,"Costos de R.H.";#N/A,#N/A,FALSE,"COSTO HW";#N/A,#N/A,FALSE,"CUADROS";#N/A,#N/A,FALSE,"SCADA´s";#N/A,#N/A,FALSE,"PRECIOS EQUIPOS"}</definedName>
    <definedName function="false" hidden="false" localSheetId="5" name="Simple2" vbProcedure="false">{#N/A,#N/A,FALSE,"RESUMEN ECON.";#N/A,#N/A,FALSE,"Costos de R.H.";#N/A,#N/A,FALSE,"COSTO HW";#N/A,#N/A,FALSE,"CUADROS";#N/A,#N/A,FALSE,"SCADA´s";#N/A,#N/A,FALSE,"PRECIOS EQUIPOS"}</definedName>
    <definedName function="false" hidden="false" localSheetId="5" name="ss" vbProcedure="false">{#N/A,#N/A,FALSE,"masez (10)";#N/A,#N/A,FALSE,"masez (7)";#N/A,#N/A,FALSE,"masez (6)";#N/A,#N/A,FALSE,"masez (5)";#N/A,#N/A,FALSE,"masez (4)";#N/A,#N/A,FALSE,"masez (3)";#N/A,#N/A,FALSE,"masez (2)";#N/A,#N/A,FALSE,"GME";#N/A,#N/A,FALSE,"masez"}</definedName>
    <definedName function="false" hidden="false" localSheetId="5" name="sss" vbProcedure="false">{#N/A,#N/A,FALSE,"Graficos"}</definedName>
    <definedName function="false" hidden="false" localSheetId="5" name="ssss" vbProcedure="false">{#N/A,#N/A,FALSE,"IC_Global";#N/A,#N/A,FALSE,"IC_Global (98-f)";#N/A,#N/A,FALSE,"Inc";#N/A,#N/A,FALSE,"CAMBIOS (2)";#N/A,#N/A,FALSE,"EXPL Inc.";#N/A,#N/A,FALSE,"HITOS98";#N/A,#N/A,FALSE,"CURVA ""S"" GLOBAL ";#N/A,#N/A,FALSE,"CURVA ""S"" 1998 "}</definedName>
    <definedName function="false" hidden="false" localSheetId="5" name="sssss" vbProcedure="false">{#N/A,#N/A,FALSE,"masez (10)";#N/A,#N/A,FALSE,"masez (7)";#N/A,#N/A,FALSE,"masez (6)";#N/A,#N/A,FALSE,"masez (5)";#N/A,#N/A,FALSE,"masez (4)";#N/A,#N/A,FALSE,"masez (3)";#N/A,#N/A,FALSE,"masez (2)";#N/A,#N/A,FALSE,"GME";#N/A,#N/A,FALSE,"masez"}</definedName>
    <definedName function="false" hidden="false" localSheetId="5" name="Suggested_List_Price_Label" vbProcedure="false">'log de transmisión '!#ref!</definedName>
    <definedName function="false" hidden="false" localSheetId="5" name="testito" vbProcedure="false">{"Sens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function="false" hidden="false" localSheetId="5" name="tetas" vbProcedure="false">{#N/A,#N/A,FALSE,"RESUMEN ECON.";#N/A,#N/A,FALSE,"Costos de R.H.";#N/A,#N/A,FALSE,"COSTO HW";#N/A,#N/A,FALSE,"CUADROS";#N/A,#N/A,FALSE,"SCADA´s";#N/A,#N/A,FALSE,"PRECIOS EQUIPOS"}</definedName>
    <definedName function="false" hidden="false" localSheetId="5" name="tetas2" vbProcedure="false">{#N/A,#N/A,FALSE,"RESUMEN ECON.";#N/A,#N/A,FALSE,"Costos de R.H.";#N/A,#N/A,FALSE,"COSTO HW";#N/A,#N/A,FALSE,"CUADROS";#N/A,#N/A,FALSE,"SCADA´s";#N/A,#N/A,FALSE,"PRECIOS EQUIPOS"}</definedName>
    <definedName function="false" hidden="false" localSheetId="5" name="TIPO_DE_INSTRUMENTO" vbProcedure="false">'log de transmisión '!#ref!</definedName>
    <definedName function="false" hidden="false" localSheetId="5" name="Toquepala" vbProcedure="false">{#N/A,#N/A,FALSE,"Matrix";#N/A,#N/A,FALSE,"Executive";#N/A,#N/A,FALSE,"Summary"}</definedName>
    <definedName function="false" hidden="false" localSheetId="5" name="TPREVMC" vbProcedure="false">'log de transmisión '!#ref!</definedName>
    <definedName function="false" hidden="false" localSheetId="5" name="trj" vbProcedure="false">{"DETALLE_1996",#N/A,FALSE,"flujo";"DETALLE_1997",#N/A,FALSE,"flujo";"GASTOS_INCURRIDOS_1996",#N/A,FALSE,"flujo";"GASTOS_PROGRAMADOS_PARA_1997",#N/A,FALSE,"flujo";#N/A,#N/A,FALSE,"comparat";#N/A,#N/A,FALSE,"costos";#N/A,#N/A,FALSE,"proyctrol"}</definedName>
    <definedName function="false" hidden="false" localSheetId="5" name="ttt" vbProcedure="false">{"Informe 2_Consolidado",#N/A,FALSE,"Cons.";"Informe 2_Tunel",#N/A,FALSE,"Cons.";"Informe 2_Melip",#N/A,FALSE,"Cons.";"Informe 2_Guall",#N/A,FALSE,"Cons.";"Informe 2_Sara L",#N/A,FALSE,"Cons.";"Informe 2_Quellon",#N/A,FALSE,"Cons.";"Informe 2_Biolix",#N/A,FALSE,"Cons.";"Informe 2_Oficina",#N/A,FALSE,"Cons.";"Informe 2_Consorcio",#N/A,FALSE,"Cons."}</definedName>
    <definedName function="false" hidden="false" localSheetId="5" name="tuut" vbProcedure="false">{#N/A,#N/A,FALSE,"masez (10)";#N/A,#N/A,FALSE,"masez (7)";#N/A,#N/A,FALSE,"masez (6)";#N/A,#N/A,FALSE,"masez (5)";#N/A,#N/A,FALSE,"masez (4)";#N/A,#N/A,FALSE,"masez (3)";#N/A,#N/A,FALSE,"masez (2)";#N/A,#N/A,FALSE,"GME";#N/A,#N/A,FALSE,"masez"}</definedName>
    <definedName function="false" hidden="false" localSheetId="5" name="unidad" vbProcedure="false">'log de transmisión '!#ref!</definedName>
    <definedName function="false" hidden="false" localSheetId="5" name="v" vbProcedure="false">{#N/A,#N/A,TRUE,"RESUMEN ECON.";#N/A,#N/A,TRUE,"Costos de R.H.";#N/A,#N/A,TRUE,"COSTO HW";#N/A,#N/A,TRUE,"CUADROS";#N/A,#N/A,TRUE,"SCADA´s";#N/A,#N/A,TRUE,"PRECIOS EQUIPOS"}</definedName>
    <definedName function="false" hidden="false" localSheetId="5" name="VCXNVJHKKLYJ" vbProcedure="false">{#N/A,#N/A,FALSE,"masez (10)";#N/A,#N/A,FALSE,"masez (7)";#N/A,#N/A,FALSE,"masez (6)";#N/A,#N/A,FALSE,"masez (5)";#N/A,#N/A,FALSE,"masez (4)";#N/A,#N/A,FALSE,"masez (3)";#N/A,#N/A,FALSE,"masez (2)";#N/A,#N/A,FALSE,"GME";#N/A,#N/A,FALSE,"masez"}</definedName>
    <definedName function="false" hidden="false" localSheetId="5" name="vero" vbProcedure="false">{"Sens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function="false" hidden="false" localSheetId="5" name="viajes" vbProcedure="false">{#N/A,#N/A,TRUE,"RESUMEN ECON.";#N/A,#N/A,TRUE,"Costos de R.H.";#N/A,#N/A,TRUE,"COSTO HW";#N/A,#N/A,TRUE,"CUADROS";#N/A,#N/A,TRUE,"SCADA´s";#N/A,#N/A,TRUE,"PRECIOS EQUIPOS"}</definedName>
    <definedName function="false" hidden="false" localSheetId="5" name="viajes2" vbProcedure="false">{#N/A,#N/A,TRUE,"RESUMEN ECON.";#N/A,#N/A,TRUE,"Costos de R.H.";#N/A,#N/A,TRUE,"COSTO HW";#N/A,#N/A,TRUE,"CUADROS";#N/A,#N/A,TRUE,"SCADA´s";#N/A,#N/A,TRUE,"PRECIOS EQUIPOS"}</definedName>
    <definedName function="false" hidden="false" localSheetId="5" name="viajes22" vbProcedure="false">{#N/A,#N/A,TRUE,"RESUMEN ECON.";#N/A,#N/A,TRUE,"Costos de R.H.";#N/A,#N/A,TRUE,"COSTO HW";#N/A,#N/A,TRUE,"CUADROS";#N/A,#N/A,TRUE,"SCADA´s";#N/A,#N/A,TRUE,"PRECIOS EQUIPOS"}</definedName>
    <definedName function="false" hidden="false" localSheetId="5" name="viajes_2" vbProcedure="false">{#N/A,#N/A,TRUE,"RESUMEN ECON.";#N/A,#N/A,TRUE,"Costos de R.H.";#N/A,#N/A,TRUE,"COSTO HW";#N/A,#N/A,TRUE,"CUADROS";#N/A,#N/A,TRUE,"SCADA´s";#N/A,#N/A,TRUE,"PRECIOS EQUIPOS"}</definedName>
    <definedName function="false" hidden="false" localSheetId="5" name="viio" vbProcedure="false">{#N/A,#N/A,FALSE,"masez (10)";#N/A,#N/A,FALSE,"masez (7)";#N/A,#N/A,FALSE,"masez (6)";#N/A,#N/A,FALSE,"masez (5)";#N/A,#N/A,FALSE,"masez (4)";#N/A,#N/A,FALSE,"masez (3)";#N/A,#N/A,FALSE,"masez (2)";#N/A,#N/A,FALSE,"GME";#N/A,#N/A,FALSE,"masez"}</definedName>
    <definedName function="false" hidden="false" localSheetId="5" name="VOLUMEN" vbProcedure="false">'log de transmisión '!#ref!</definedName>
    <definedName function="false" hidden="false" localSheetId="5" name="VVGHJ" vbProcedure="false">{#N/A,#N/A,FALSE,"Graficos"}</definedName>
    <definedName function="false" hidden="false" localSheetId="5" name="VVGVHJ" vbProcedure="false">{#N/A,#N/A,FALSE,"Graficos"}</definedName>
    <definedName function="false" hidden="false" localSheetId="5" name="WERT" vbProcedure="false">{#N/A,#N/A,FALSE,"masez (10)";#N/A,#N/A,FALSE,"masez (7)";#N/A,#N/A,FALSE,"masez (6)";#N/A,#N/A,FALSE,"masez (5)";#N/A,#N/A,FALSE,"masez (4)";#N/A,#N/A,FALSE,"masez (3)";#N/A,#N/A,FALSE,"masez (2)";#N/A,#N/A,FALSE,"GME";#N/A,#N/A,FALSE,"masez"}</definedName>
    <definedName function="false" hidden="false" localSheetId="5" name="WIC_List_Factor" vbProcedure="false">'log de transmisión '!#ref!</definedName>
    <definedName function="false" hidden="false" localSheetId="5" name="wrn.A." vbProcedure="false">{#N/A,#N/A,FALSE,"A (4)"}</definedName>
    <definedName function="false" hidden="false" localSheetId="5" name="wrn.ARA." vbProcedure="false">{"ARA1",#N/A,FALSE,"ENG-ARA";"ARAhours",#N/A,FALSE,"ENG-ARA";"ARA$",#N/A,FALSE,"ENG-ARA"}</definedName>
    <definedName function="false" hidden="false" localSheetId="5" name="wrn.Barbara._.Modular._.Indirects." vbProcedure="false">{#N/A,#N/A,FALSE,"COVER";#N/A,#N/A,FALSE,"RECAP";#N/A,#N/A,FALSE,"SANTA BARBARA NONMANUAL";#N/A,#N/A,FALSE,"CEQUIP";#N/A,#N/A,FALSE,"WRATE";#N/A,#N/A,FALSE,"INDIRECT";#N/A,#N/A,FALSE,"TRAIN";#N/A,#N/A,FALSE,"MANLOADED SCHEDULE"}</definedName>
    <definedName function="false" hidden="false" localSheetId="5" name="wrn.bechtel._.hours." vbProcedure="false">{"bechtel1",#N/A,TRUE,"BECHTEL";"bechtelhours",#N/A,TRUE,"BECHTEL";"bechtel$",#N/A,TRUE,"BECHTEL"}</definedName>
    <definedName function="false" hidden="false" localSheetId="5" name="wrn.CIGG." vbProcedure="false">{"CI+GG(BASE)",#N/A,FALSE,"CI+GG(BASE)";"GG",#N/A,FALSE,"CI+GG(BASE)";"CI",#N/A,FALSE,"CI+GG(BASE)"}</definedName>
    <definedName function="false" hidden="false" localSheetId="5" name="wrn.compa." vbProcedure="false">{"cuadro1",#N/A,FALSE,"periodos entre Opciones";"cuadro2",#N/A,FALSE,"periodos entre Opciones"}</definedName>
    <definedName function="false" hidden="false" localSheetId="5" name="wrn.CONTROL._.ARCHIVO." vbProcedure="false">{"Control_Consolidado",#N/A,FALSE,"Cons.";"Control_Tunel",#N/A,FALSE,"Cons.";"Control_Melip",#N/A,FALSE,"Cons.";"Control_Gualleco",#N/A,FALSE,"Cons.";"Control_Sara L",#N/A,FALSE,"Cons.";"Control_Quellon",#N/A,FALSE,"Cons.";"Control_Biolix",#N/A,FALSE,"Cons.";"Control_Oficina",#N/A,FALSE,"Cons.";"Control_Consorcio",#N/A,FALSE,"Cons."}</definedName>
    <definedName function="false" hidden="false" localSheetId="5" name="wrn.Cost._.Data." vbProcedure="false">{"Cost_Curve_Data",#N/A,FALSE,"Indonesia"}</definedName>
    <definedName function="false" hidden="false" localSheetId="5" name="wrn.Costs." vbProcedure="false">{"p1",#N/A,FALSE,"Indonesia";"p2",#N/A,FALSE,"Indonesia";"p3",#N/A,FALSE,"Indonesia";"p4",#N/A,FALSE,"Indonesia"}</definedName>
    <definedName function="false" hidden="false" localSheetId="5" name="wrn.CV._.Capex." vbProcedure="false">{"CV Capex",#N/A,FALSE,"CV Capex"}</definedName>
    <definedName function="false" hidden="false" localSheetId="5" name="wrn.Detail." vbProcedure="false">{#N/A,#N/A,FALSE,"Matrix";#N/A,#N/A,FALSE,"Executive";#N/A,#N/A,FALSE,"Summary";#N/A,#N/A,FALSE,"Office1";#N/A,#N/A,FALSE,"Office2";#N/A,#N/A,FALSE,"Office3";#N/A,#N/A,FALSE,"Office4";#N/A,#N/A,FALSE,"Office5";#N/A,#N/A,FALSE,"Office6";#N/A,#N/A,FALSE,"Office7";#N/A,#N/A,FALSE,"Labor"}</definedName>
    <definedName function="false" hidden="false" localSheetId="5" name="wrn.Día._.API." vbProcedure="false">{#N/A,#N/A,FALSE,"IC_Global";#N/A,#N/A,FALSE,"IC_Global (98-f)";#N/A,#N/A,FALSE,"Inc";#N/A,#N/A,FALSE,"CAMBIOS (2)";#N/A,#N/A,FALSE,"EXPL Inc.";#N/A,#N/A,FALSE,"HITOS98";#N/A,#N/A,FALSE,"CURVA ""S"" GLOBAL ";#N/A,#N/A,FALSE,"CURVA ""S"" 1998 "}</definedName>
    <definedName function="false" hidden="false" localSheetId="5" name="wrn.El._.Indio._.Production._.Summary." vbProcedure="false">{#N/A,#N/A,FALSE,"summary";#N/A,#N/A,FALSE,"SumGraph"}</definedName>
    <definedName function="false" hidden="false" localSheetId="5" name="wrn.ep10." vbProcedure="false">{#N/A,#N/A,FALSE,"masez (10)";#N/A,#N/A,FALSE,"masez (7)";#N/A,#N/A,FALSE,"masez (6)";#N/A,#N/A,FALSE,"masez (5)";#N/A,#N/A,FALSE,"masez (4)";#N/A,#N/A,FALSE,"masez (3)";#N/A,#N/A,FALSE,"masez (2)";#N/A,#N/A,FALSE,"GME";#N/A,#N/A,FALSE,"masez"}</definedName>
    <definedName function="false" hidden="false" localSheetId="5" name="wrn.Forms." vbProcedure="false">{#N/A,#N/A,FALSE,"E-1";#N/A,#N/A,FALSE,"E-2";#N/A,#N/A,FALSE,"F-1";#N/A,#N/A,FALSE,"F-2";#N/A,#N/A,FALSE,"F-3";#N/A,#N/A,FALSE,"F-4";#N/A,#N/A,FALSE,"F-5";#N/A,#N/A,FALSE,"F-6";#N/A,#N/A,FALSE,"Matrix"}</definedName>
    <definedName function="false" hidden="false" localSheetId="5" name="wrn.GERAL." vbProcedure="false">{#N/A,#N/A,FALSE,"ET-CAPA";#N/A,#N/A,FALSE,"ET-PAG1";#N/A,#N/A,FALSE,"ET-PAG2";#N/A,#N/A,FALSE,"ET-PAG3";#N/A,#N/A,FALSE,"ET-PAG4";#N/A,#N/A,FALSE,"ET-PAG5"}</definedName>
    <definedName function="false" hidden="false" localSheetId="5" name="wrn.Graficos." vbProcedure="false">{"Graf_Carga Trab",#N/A,FALSE,"Grafi_Carga Trab";"Graf_Venta Flujo",#N/A,FALSE,"Grafi_Carga Trab"}</definedName>
    <definedName function="false" hidden="false" localSheetId="5" name="wrn.IncomeStatement." vbProcedure="false">{"IncomeStatement",#N/A,FALSE,"Sheet1"}</definedName>
    <definedName function="false" hidden="false" localSheetId="5" name="wrn.Informe._.1." vbProcedure="false">{"Informe 1_Consolidado",#N/A,FALSE,"Cons.";"Informe 1_Tunel",#N/A,FALSE,"Cons.";"Informe 1_Melip",#N/A,FALSE,"Cons.";"Informe 1_Guall",#N/A,FALSE,"Cons.";"Informe 1_Sara L",#N/A,FALSE,"Cons.";"Informe 1_Quellon",#N/A,FALSE,"Cons.";"Informe 1_Biolix",#N/A,FALSE,"Cons.";"Informe 1_Oficina",#N/A,FALSE,"Cons.";"Informe 1_Consorcio",#N/A,FALSE,"Cons."}</definedName>
    <definedName function="false" hidden="false" localSheetId="5" name="wrn.Informe._.2." vbProcedure="false">{"Informe 2_Consolidado",#N/A,FALSE,"Cons.";"Informe 2_Tunel",#N/A,FALSE,"Cons.";"Informe 2_Melip",#N/A,FALSE,"Cons.";"Informe 2_Guall",#N/A,FALSE,"Cons.";"Informe 2_Sara L",#N/A,FALSE,"Cons.";"Informe 2_Quellon",#N/A,FALSE,"Cons.";"Informe 2_Biolix",#N/A,FALSE,"Cons.";"Informe 2_Oficina",#N/A,FALSE,"Cons.";"Informe 2_Consorcio",#N/A,FALSE,"Cons."}</definedName>
    <definedName function="false" hidden="false" localSheetId="5" name="wrn.INFORMETEC." vbProcedure="false">{#N/A,#N/A,FALSE,"TEC-01";#N/A,#N/A,FALSE,"TEC - 02";#N/A,#N/A,FALSE,"TEC - 03";#N/A,#N/A,FALSE,"TEC - 04";#N/A,#N/A,FALSE,"TEC-07";#N/A,#N/A,FALSE,"TEC-08";#N/A,#N/A,FALSE,"TEC - 09A";#N/A,#N/A,FALSE,"TEC - 09B";#N/A,#N/A,FALSE,"TEC - 09C";#N/A,#N/A,FALSE,"TEC - 10";#N/A,#N/A,FALSE,"TEC-11"}</definedName>
    <definedName function="false" hidden="false" localSheetId="5" name="wrn.INFORME_XPAND." vbProcedure="false">{"DETALLE_1996",#N/A,FALSE,"flujo";"DETALLE_1997",#N/A,FALSE,"flujo";"GASTOS_INCURRIDOS_1996",#N/A,FALSE,"flujo";"GASTOS_PROGRAMADOS_PARA_1997",#N/A,FALSE,"flujo";#N/A,#N/A,FALSE,"comparat";#N/A,#N/A,FALSE,"costos";#N/A,#N/A,FALSE,"proyctrol"}</definedName>
    <definedName function="false" hidden="false" localSheetId="5" name="wrn.LISTADO." vbProcedure="false">{"Práctica","Práctica",FALSE,"Práctica"}</definedName>
    <definedName function="false" hidden="false" localSheetId="5" name="wrn.Loading._.Rates." vbProcedure="false">{"Loading_Rates",#N/A,FALSE,"Shipping Requirements"}</definedName>
    <definedName function="false" hidden="false" localSheetId="5" name="wrn.MILLARES." vbProcedure="false">{#N/A,#N/A,TRUE,"RESUMEN ECON.";#N/A,#N/A,TRUE,"Costos de R.H.";#N/A,#N/A,TRUE,"COSTO HW";#N/A,#N/A,TRUE,"CUADROS";#N/A,#N/A,TRUE,"SCADA´s";#N/A,#N/A,TRUE,"PRECIOS EQUIPOS"}</definedName>
    <definedName function="false" hidden="false" localSheetId="5" name="wrn.MILLARES.2" vbProcedure="false">{#N/A,#N/A,TRUE,"RESUMEN ECON.";#N/A,#N/A,TRUE,"Costos de R.H.";#N/A,#N/A,TRUE,"COSTO HW";#N/A,#N/A,TRUE,"CUADROS";#N/A,#N/A,TRUE,"SCADA´s";#N/A,#N/A,TRUE,"PRECIOS EQUIPOS"}</definedName>
    <definedName function="false" hidden="false" localSheetId="5" name="wrn.MO." vbProcedure="false">{"MO(BASE)",#N/A,FALSE,"MO(BASE)";"MO(BASE)1",#N/A,FALSE,"MO(BASE)";"MO(BASE)2",#N/A,FALSE,"MO(BASE)"}</definedName>
    <definedName function="false" hidden="false" localSheetId="5" name="wrn.Nelson._.Summary." vbProcedure="false">{#N/A,#N/A,FALSE,"subcontract"}</definedName>
    <definedName function="false" hidden="false" localSheetId="5" name="wrn.op1." vbProcedure="false">{"cuadro1",#N/A,FALSE,"Cam buz camión Opción 1";"cuadro2",#N/A,FALSE,"Cam buz camión Opción 1";"cuadro3",#N/A,FALSE,"Cam buz camión Opción 1";"cuadro4",#N/A,FALSE,"Cam buz camión Opción 1";"cuadro5",#N/A,FALSE,"Cam buz camión Opción 1"}</definedName>
    <definedName function="false" hidden="false" localSheetId="5" name="wrn.op2" vbProcedure="false">{"cuadro1",#N/A,FALSE,"Buzon Camion Opción 3";"cuadro2",#N/A,FALSE,"Buzon Camion Opción 3";"cuadro3",#N/A,FALSE,"Buzon Camion Opción 3";"cuadro4",#N/A,FALSE,"Buzon Camion Opción 3"}</definedName>
    <definedName function="false" hidden="false" localSheetId="5" name="wrn.op2." vbProcedure="false">{"cuadro1",#N/A,FALSE,"LHD CAMION Opción 2";"cuadro2",#N/A,FALSE,"LHD CAMION Opción 2";"cuadro3",#N/A,FALSE,"LHD CAMION Opción 2";"cuadro4",#N/A,FALSE,"LHD CAMION Opción 2"}</definedName>
    <definedName function="false" hidden="false" localSheetId="5" name="wrn.op3." vbProcedure="false">{"cuadro1",#N/A,FALSE,"Buzon Camion Opción 3";"cuadro2",#N/A,FALSE,"Buzon Camion Opción 3";"cuadro3",#N/A,FALSE,"Buzon Camion Opción 3";"cuadro4",#N/A,FALSE,"Buzon Camion Opción 3"}</definedName>
    <definedName function="false" hidden="false" localSheetId="5" name="wrn.op4." vbProcedure="false">{"cuadro1",#N/A,FALSE,"Buzon FFCC Opción 4";"cuadro2",#N/A,FALSE,"Buzon FFCC Opción 4";"cuadro3",#N/A,FALSE,"Buzon FFCC Opción 4";"cuadro4",#N/A,FALSE,"Buzon FFCC Opción 4"}</definedName>
    <definedName function="false" hidden="false" localSheetId="5" name="wrn.op5." vbProcedure="false">{"cuadro1",#N/A,FALSE,"Camara buz ffcc Opción 5";"cuadro2",#N/A,FALSE,"Camara buz ffcc Opción 5";"cuadro3",#N/A,FALSE,"Camara buz ffcc Opción 5";"cuadro4",#N/A,FALSE,"Camara buz ffcc Opción 5"}</definedName>
    <definedName function="false" hidden="false" localSheetId="5" name="wrn.P3_Sched." vbProcedure="false">{"CV_sched",#N/A,FALSE,"CV MinePlan - Phase 3 BaseCase"}</definedName>
    <definedName function="false" hidden="false" localSheetId="5" name="wrn.pendientes." vbProcedure="false">{#N/A,#N/A,FALSE,"PEND INC";#N/A,#N/A,FALSE,"PEND MINM"}</definedName>
    <definedName function="false" hidden="false" localSheetId="5" name="wrn.plan._.inicial." vbProcedure="false">{#N/A,#N/A,FALSE,"Planificación"}</definedName>
    <definedName function="false" hidden="false" localSheetId="5" name="wrn.price._.data." vbProcedure="false">{"price_data",#N/A,FALSE,"Trade Balance"}</definedName>
    <definedName function="false" hidden="false" localSheetId="5" name="wrn.Print._.Base._.Case._.Statements." vbProcedure="false">{"Sens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function="false" hidden="false" localSheetId="5" name="wrn.print1." vbProcedure="false">{#N/A,#N/A,TRUE,"Est. de Fact.";#N/A,#N/A,TRUE,"Capitulo 19";#N/A,#N/A,TRUE,"Proyecto P855"}</definedName>
    <definedName function="false" hidden="false" localSheetId="5" name="wrn.PRINTBAS." vbProcedure="false">{#N/A,#N/A,FALSE,"Total_OC015";#N/A,#N/A,FALSE,"ADMIN";#N/A,#N/A,FALSE,"PROCES";#N/A,#N/A,FALSE,"mecan";#N/A,#N/A,FALSE,"civil";#N/A,#N/A,FALSE,"CAÑER";#N/A,#N/A,FALSE,"ELEC";#N/A,#N/A,FALSE,"INSTR"}</definedName>
    <definedName function="false" hidden="false" localSheetId="5" name="wrn.PRINTEPRS." vbProcedure="false">{#N/A,#N/A,FALSE,"minas";#N/A,#N/A,FALSE,"Total_OC015";#N/A,#N/A,FALSE,"ADMIN";#N/A,#N/A,FALSE,"PROCES";#N/A,#N/A,FALSE,"civil";#N/A,#N/A,FALSE,"CAÑER";#N/A,#N/A,FALSE,"ELEC";#N/A,#N/A,FALSE,"INSTR";#N/A,#N/A,FALSE,"PDS";#N/A,#N/A,FALSE,"mecan"}</definedName>
    <definedName function="false" hidden="false" localSheetId="5" name="wrn.PROCART." vbProcedure="false">{#N/A,#N/A,FALSE,"MAQUINA"}</definedName>
    <definedName function="false" hidden="false" localSheetId="5" name="wrn.Ricobayo._.I." vbProcedure="false">{#N/A,#N/A,FALSE,"RESUMEN ECON.";#N/A,#N/A,FALSE,"Costos de R.H.";#N/A,#N/A,FALSE,"COSTO HW";#N/A,#N/A,FALSE,"CUADROS";#N/A,#N/A,FALSE,"SCADA´s";#N/A,#N/A,FALSE,"PRECIOS EQUIPOS"}</definedName>
    <definedName function="false" hidden="false" localSheetId="5" name="wrn.Ricobayo._.I.2" vbProcedure="false">{#N/A,#N/A,FALSE,"RESUMEN ECON.";#N/A,#N/A,FALSE,"Costos de R.H.";#N/A,#N/A,FALSE,"COSTO HW";#N/A,#N/A,FALSE,"CUADROS";#N/A,#N/A,FALSE,"SCADA´s";#N/A,#N/A,FALSE,"PRECIOS EQUIPOS"}</definedName>
    <definedName function="false" hidden="false" localSheetId="5" name="wrn.Ship_Reqs." vbProcedure="false">{"Ship_Reqs",#N/A,FALSE,"Shipping Requirements"}</definedName>
    <definedName function="false" hidden="false" localSheetId="5" name="wrn.Summary." vbProcedure="false">{#N/A,#N/A,FALSE,"Matrix";#N/A,#N/A,FALSE,"Executive";#N/A,#N/A,FALSE,"Summary"}</definedName>
    <definedName function="false" hidden="false" localSheetId="5" name="wrn.temp." vbProcedure="false">{"Capex_Check",#N/A,FALSE,"Capex Schedule"}</definedName>
    <definedName function="false" hidden="false" localSheetId="5" name="wrn.UG_Capex." vbProcedure="false">{"UX_p1",#N/A,FALSE,"UG Capex";"UX_p2",#N/A,FALSE,"UG Capex";"UX_p3",#N/A,FALSE,"UG Capex";"UX_p4",#N/A,FALSE,"UG Capex";"UX_p5",#N/A,FALSE,"UG Capex"}</definedName>
    <definedName function="false" hidden="false" localSheetId="5" name="wrn.UG_Costs." vbProcedure="false">{"UG_p1",#N/A,FALSE,"UG Mine Costs";"UG_p2",#N/A,FALSE,"UG Mine Costs";"UG_p3",#N/A,FALSE,"UG Mine Costs";"UG_p4",#N/A,FALSE,"UG Mine Costs";"UG_p5",#N/A,FALSE,"UG Mine Costs";"UG_p6",#N/A,FALSE,"UG Mine Costs"}</definedName>
    <definedName function="false" hidden="false" localSheetId="5" name="wrn.unidades." vbProcedure="false">{#N/A,#N/A,FALSE,"RESUMEN";#N/A,#N/A,FALSE,"GG-GI";#N/A,#N/A,FALSE,"AMB";#N/A,#N/A,FALSE,"EyR";#N/A,#N/A,FALSE,"UCP";#N/A,#N/A,FALSE,"IND";#N/A,#N/A,FALSE,"LR";#N/A,#N/A,FALSE,"PRV";#N/A,#N/A,FALSE,"TÚNELES";#N/A,#N/A,FALSE,"IDT";#N/A,#N/A,FALSE,"ING"}</definedName>
    <definedName function="false" hidden="false" localSheetId="5" name="wrn.WProd." vbProcedure="false">{"wprod",#N/A,FALSE,"World Production"}</definedName>
    <definedName function="false" hidden="false" localSheetId="5" name="ww" vbProcedure="false">{#N/A,#N/A,FALSE,"IC_Global";#N/A,#N/A,FALSE,"IC_Global (98-f)";#N/A,#N/A,FALSE,"Inc";#N/A,#N/A,FALSE,"CAMBIOS (2)";#N/A,#N/A,FALSE,"EXPL Inc.";#N/A,#N/A,FALSE,"HITOS98";#N/A,#N/A,FALSE,"CURVA ""S"" GLOBAL ";#N/A,#N/A,FALSE,"CURVA ""S"" 1998 "}</definedName>
    <definedName function="false" hidden="false" localSheetId="5" name="wwewrt" vbProcedure="false">{#N/A,#N/A,FALSE,"RESUMEN ECON.";#N/A,#N/A,FALSE,"Costos de R.H.";#N/A,#N/A,FALSE,"COSTO HW";#N/A,#N/A,FALSE,"CUADROS";#N/A,#N/A,FALSE,"SCADA´s";#N/A,#N/A,FALSE,"PRECIOS EQUIPOS"}</definedName>
    <definedName function="false" hidden="false" localSheetId="5" name="wwewrt2" vbProcedure="false">{#N/A,#N/A,FALSE,"RESUMEN ECON.";#N/A,#N/A,FALSE,"Costos de R.H.";#N/A,#N/A,FALSE,"COSTO HW";#N/A,#N/A,FALSE,"CUADROS";#N/A,#N/A,FALSE,"SCADA´s";#N/A,#N/A,FALSE,"PRECIOS EQUIPOS"}</definedName>
    <definedName function="false" hidden="false" localSheetId="5" name="www" vbProcedure="false">{#N/A,#N/A,FALSE,"masez (10)";#N/A,#N/A,FALSE,"masez (7)";#N/A,#N/A,FALSE,"masez (6)";#N/A,#N/A,FALSE,"masez (5)";#N/A,#N/A,FALSE,"masez (4)";#N/A,#N/A,FALSE,"masez (3)";#N/A,#N/A,FALSE,"masez (2)";#N/A,#N/A,FALSE,"GME";#N/A,#N/A,FALSE,"masez"}</definedName>
    <definedName function="false" hidden="false" localSheetId="5" name="X" vbProcedure="false">{"Informe 2_Consolidado",#N/A,FALSE,"Cons.";"Informe 2_Tunel",#N/A,FALSE,"Cons.";"Informe 2_Melip",#N/A,FALSE,"Cons.";"Informe 2_Guall",#N/A,FALSE,"Cons.";"Informe 2_Sara L",#N/A,FALSE,"Cons.";"Informe 2_Quellon",#N/A,FALSE,"Cons.";"Informe 2_Biolix",#N/A,FALSE,"Cons.";"Informe 2_Oficina",#N/A,FALSE,"Cons.";"Informe 2_Consorcio",#N/A,FALSE,"Cons."}</definedName>
    <definedName function="false" hidden="false" localSheetId="5" name="XDRTHR" vbProcedure="false">{"DETALLE_1996",#N/A,FALSE,"flujo";"DETALLE_1997",#N/A,FALSE,"flujo";"GASTOS_INCURRIDOS_1996",#N/A,FALSE,"flujo";"GASTOS_PROGRAMADOS_PARA_1997",#N/A,FALSE,"flujo";#N/A,#N/A,FALSE,"comparat";#N/A,#N/A,FALSE,"costos";#N/A,#N/A,FALSE,"proyctrol"}</definedName>
    <definedName function="false" hidden="false" localSheetId="5" name="xx" vbProcedure="false">{#N/A,#N/A,FALSE,"COVER";#N/A,#N/A,FALSE,"RECAP";#N/A,#N/A,FALSE,"SANTA BARBARA NONMANUAL";#N/A,#N/A,FALSE,"CEQUIP";#N/A,#N/A,FALSE,"WRATE";#N/A,#N/A,FALSE,"INDIRECT";#N/A,#N/A,FALSE,"TRAIN";#N/A,#N/A,FALSE,"MANLOADED SCHEDULE"}</definedName>
    <definedName function="false" hidden="false" localSheetId="5" name="xxx" vbProcedure="false">{#N/A,#N/A,FALSE,"Matrix";#N/A,#N/A,FALSE,"Executive";#N/A,#N/A,FALSE,"Summary";#N/A,#N/A,FALSE,"Office1";#N/A,#N/A,FALSE,"Office2";#N/A,#N/A,FALSE,"Office3";#N/A,#N/A,FALSE,"Office4";#N/A,#N/A,FALSE,"Office5";#N/A,#N/A,FALSE,"Office6";#N/A,#N/A,FALSE,"Office7";#N/A,#N/A,FALSE,"Labor"}</definedName>
    <definedName function="false" hidden="false" localSheetId="5" name="XXXX" vbProcedure="false">{"DETALLE_1996",#N/A,FALSE,"flujo";"DETALLE_1997",#N/A,FALSE,"flujo";"GASTOS_INCURRIDOS_1996",#N/A,FALSE,"flujo";"GASTOS_PROGRAMADOS_PARA_1997",#N/A,FALSE,"flujo";#N/A,#N/A,FALSE,"comparat";#N/A,#N/A,FALSE,"costos";#N/A,#N/A,FALSE,"proyctrol"}</definedName>
    <definedName function="false" hidden="false" localSheetId="5" name="xxxxx" vbProcedure="false">{#N/A,#N/A,FALSE,"masez (10)";#N/A,#N/A,FALSE,"masez (7)";#N/A,#N/A,FALSE,"masez (6)";#N/A,#N/A,FALSE,"masez (5)";#N/A,#N/A,FALSE,"masez (4)";#N/A,#N/A,FALSE,"masez (3)";#N/A,#N/A,FALSE,"masez (2)";#N/A,#N/A,FALSE,"GME";#N/A,#N/A,FALSE,"masez"}</definedName>
    <definedName function="false" hidden="false" localSheetId="5" name="YY" vbProcedure="false">{"Informe 2_Consolidado",#N/A,FALSE,"Cons.";"Informe 2_Tunel",#N/A,FALSE,"Cons.";"Informe 2_Melip",#N/A,FALSE,"Cons.";"Informe 2_Guall",#N/A,FALSE,"Cons.";"Informe 2_Sara L",#N/A,FALSE,"Cons.";"Informe 2_Quellon",#N/A,FALSE,"Cons.";"Informe 2_Biolix",#N/A,FALSE,"Cons.";"Informe 2_Oficina",#N/A,FALSE,"Cons.";"Informe 2_Consorcio",#N/A,FALSE,"Cons."}</definedName>
    <definedName function="false" hidden="false" localSheetId="5" name="yyy" vbProcedure="false">{"DETALLE_1996",#N/A,FALSE,"flujo";"DETALLE_1997",#N/A,FALSE,"flujo";"GASTOS_INCURRIDOS_1996",#N/A,FALSE,"flujo";"GASTOS_PROGRAMADOS_PARA_1997",#N/A,FALSE,"flujo";#N/A,#N/A,FALSE,"comparat";#N/A,#N/A,FALSE,"costos";#N/A,#N/A,FALSE,"proyctrol"}</definedName>
    <definedName function="false" hidden="false" localSheetId="5" name="z" vbProcedure="false">{#N/A,#N/A,TRUE,"RESUMEN ECON.";#N/A,#N/A,TRUE,"Costos de R.H.";#N/A,#N/A,TRUE,"COSTO HW";#N/A,#N/A,TRUE,"CUADROS";#N/A,#N/A,TRUE,"SCADA´s";#N/A,#N/A,TRUE,"PRECIOS EQUIPOS"}</definedName>
    <definedName function="false" hidden="false" localSheetId="5" name="zz" vbProcedure="false">{#N/A,#N/A,FALSE,"COVER";#N/A,#N/A,FALSE,"RECAP";#N/A,#N/A,FALSE,"SANTA BARBARA NONMANUAL";#N/A,#N/A,FALSE,"CEQUIP";#N/A,#N/A,FALSE,"WRATE";#N/A,#N/A,FALSE,"INDIRECT";#N/A,#N/A,FALSE,"TRAIN";#N/A,#N/A,FALSE,"MANLOADED SCHEDULE"}</definedName>
    <definedName function="false" hidden="false" localSheetId="5" name="zzz" vbProcedure="false">{#N/A,#N/A,FALSE,"masez (10)";#N/A,#N/A,FALSE,"masez (7)";#N/A,#N/A,FALSE,"masez (6)";#N/A,#N/A,FALSE,"masez (5)";#N/A,#N/A,FALSE,"masez (4)";#N/A,#N/A,FALSE,"masez (3)";#N/A,#N/A,FALSE,"masez (2)";#N/A,#N/A,FALSE,"GME";#N/A,#N/A,FALSE,"masez"}</definedName>
    <definedName function="false" hidden="false" localSheetId="5" name="Z_9D737543_22F2_11D3_ACAF_004F490495C0_.wvu.Cols" vbProcedure="false">'log de transmisión '!#ref!,'log de transmisión '!#ref!,'log de transmisión '!#ref!</definedName>
    <definedName function="false" hidden="false" localSheetId="5" name="Z_9D737543_22F2_11D3_ACAF_004F490495C0_.wvu.FilterData" vbProcedure="false">'log de transmisión '!#ref!</definedName>
    <definedName function="false" hidden="false" localSheetId="5" name="Z_9D737543_22F2_11D3_ACAF_004F490495C0_.wvu.PrintArea" vbProcedure="false">'log de transmisión '!#ref!,'log de transmisión '!#ref!,'log de transmisión '!#ref!,'log de transmisión '!#ref!,'log de transmisión '!#ref!</definedName>
    <definedName function="false" hidden="false" localSheetId="5" name="Z_9D737543_22F2_11D3_ACAF_004F490495C0_.wvu.PrintTitles" vbProcedure="false">'log de transmisión '!#ref!,'log de transmisión '!#ref!</definedName>
    <definedName function="false" hidden="false" localSheetId="5" name="Z_9D737543_22F2_11D3_ACAF_004F490495C0_.wvu.Rows" vbProcedure="false">'log de transmisión '!#ref!,'log de transmisión '!#ref!,'log de transmisión '!#ref!,'log de transmisión '!#ref!,'log de transmisión '!#ref!,'log de transmisión '!#ref!,'log de transmisión '!#ref!,'log de transmisión '!#ref!,'log de transmisión '!#ref!,'log de transmisión '!#ref!,'log de transmisión '!#ref!</definedName>
    <definedName function="false" hidden="false" localSheetId="5" name="Z_9D737544_22F2_11D3_ACAF_004F490495C0_.wvu.Cols" vbProcedure="false">'log de transmisión '!#ref!,'log de transmisión '!#ref!,'log de transmisión '!#ref!</definedName>
    <definedName function="false" hidden="false" localSheetId="5" name="Z_9D737544_22F2_11D3_ACAF_004F490495C0_.wvu.FilterData" vbProcedure="false">'log de transmisión '!#ref!</definedName>
    <definedName function="false" hidden="false" localSheetId="5" name="Z_9D737544_22F2_11D3_ACAF_004F490495C0_.wvu.PrintTitles" vbProcedure="false">'log de transmisión '!#ref!,'log de transmisión '!#ref!</definedName>
    <definedName function="false" hidden="false" localSheetId="5" name="Z_9D737544_22F2_11D3_ACAF_004F490495C0_.wvu.Rows" vbProcedure="false">'log de transmisión '!#ref!,'log de transmisión '!#ref!,'log de transmisión '!#ref!,'log de transmisión '!#ref!,'log de transmisión '!#ref!,'log de transmisión '!#ref!,'log de transmisión '!#ref!,'log de transmisión '!#ref!,'log de transmisión '!#ref!,'log de transmisión '!#ref!,'log de transmisión '!#ref!</definedName>
    <definedName function="false" hidden="false" localSheetId="5" name="Z_9D737546_22F2_11D3_ACAF_004F490495C0_.wvu.Cols" vbProcedure="false">'log de transmisión '!#ref!</definedName>
    <definedName function="false" hidden="false" localSheetId="5" name="Z_9D737546_22F2_11D3_ACAF_004F490495C0_.wvu.PrintArea" vbProcedure="false">'log de transmisión '!#ref!,'log de transmisión '!#ref!,'log de transmisión '!#ref!</definedName>
    <definedName function="false" hidden="false" localSheetId="5" name="Z_9D737546_22F2_11D3_ACAF_004F490495C0_.wvu.PrintTitles" vbProcedure="false">'log de transmisión '!#ref!,'log de transmisión '!#ref!</definedName>
    <definedName function="false" hidden="false" localSheetId="5" name="Z_9D737546_22F2_11D3_ACAF_004F490495C0_.wvu.Rows" vbProcedure="false">'log de transmisión '!#ref!,'log de transmisión '!#ref!,'log de transmisión '!#ref!,'log de transmisión '!#ref!,'log de transmisión '!#ref!,'log de transmisión '!#ref!,'log de transmisión '!#ref!,'log de transmisión '!#ref!,'log de transmisión '!#ref!,'log de transmisión '!#ref!,'log de transmisión '!#ref!</definedName>
    <definedName function="false" hidden="false" localSheetId="5" name="Z_9D737548_22F2_11D3_ACAF_004F490495C0_.wvu.Cols" vbProcedure="false">'log de transmisión '!#ref!,'log de transmisión '!#ref!</definedName>
    <definedName function="false" hidden="false" localSheetId="5" name="Z_9D737548_22F2_11D3_ACAF_004F490495C0_.wvu.FilterData" vbProcedure="false">'log de transmisión '!#ref!</definedName>
    <definedName function="false" hidden="false" localSheetId="5" name="Z_9D737548_22F2_11D3_ACAF_004F490495C0_.wvu.PrintTitles" vbProcedure="false">'log de transmisión '!#ref!,'log de transmisión '!#ref!</definedName>
    <definedName function="false" hidden="false" localSheetId="5" name="Z_9D737548_22F2_11D3_ACAF_004F490495C0_.wvu.Rows" vbProcedure="false">'log de transmisión '!#ref!,'log de transmisión '!#ref!,'log de transmisión '!#ref!,'log de transmisión '!#ref!,'log de transmisión '!#ref!,'log de transmisión '!#ref!,'log de transmisión '!#ref!,'log de transmisión '!#ref!,'log de transmisión '!#ref!,'log de transmisión '!#ref!,'log de transmisión '!#ref!</definedName>
    <definedName function="false" hidden="false" localSheetId="5" name="_a2" vbProcedure="false">{#N/A,#N/A,TRUE,"RESUMEN ECON.";#N/A,#N/A,TRUE,"Costos de R.H.";#N/A,#N/A,TRUE,"COSTO HW";#N/A,#N/A,TRUE,"CUADROS";#N/A,#N/A,TRUE,"SCADA´s";#N/A,#N/A,TRUE,"PRECIOS EQUIPOS"}</definedName>
    <definedName function="false" hidden="false" localSheetId="5" name="_aaa2" vbProcedure="false">{#N/A,#N/A,TRUE,"RESUMEN ECON.";#N/A,#N/A,TRUE,"Costos de R.H.";#N/A,#N/A,TRUE,"COSTO HW";#N/A,#N/A,TRUE,"CUADROS";#N/A,#N/A,TRUE,"SCADA´s";#N/A,#N/A,TRUE,"PRECIOS EQUIPOS"}</definedName>
    <definedName function="false" hidden="false" localSheetId="5" name="_b2" vbProcedure="false">{#N/A,#N/A,FALSE,"RESUMEN ECON.";#N/A,#N/A,FALSE,"Costos de R.H.";#N/A,#N/A,FALSE,"COSTO HW";#N/A,#N/A,FALSE,"CUADROS";#N/A,#N/A,FALSE,"SCADA´s";#N/A,#N/A,FALSE,"PRECIOS EQUIPOS"}</definedName>
    <definedName function="false" hidden="false" localSheetId="5" name="_bbb1" vbProcedure="false">{#N/A,#N/A,TRUE,"RESUMEN ECON.";#N/A,#N/A,TRUE,"Costos de R.H.";#N/A,#N/A,TRUE,"COSTO HW";#N/A,#N/A,TRUE,"CUADROS";#N/A,#N/A,TRUE,"SCADA´s";#N/A,#N/A,TRUE,"PRECIOS EQUIPOS"}</definedName>
    <definedName function="false" hidden="false" localSheetId="5" name="_bbb2" vbProcedure="false">{#N/A,#N/A,TRUE,"RESUMEN ECON.";#N/A,#N/A,TRUE,"Costos de R.H.";#N/A,#N/A,TRUE,"COSTO HW";#N/A,#N/A,TRUE,"CUADROS";#N/A,#N/A,TRUE,"SCADA´s";#N/A,#N/A,TRUE,"PRECIOS EQUIPOS"}</definedName>
    <definedName function="false" hidden="false" localSheetId="5" name="_cc1" vbProcedure="false">{"DETALLE_1996",#N/A,FALSE,"flujo";"DETALLE_1997",#N/A,FALSE,"flujo";"GASTOS_INCURRIDOS_1996",#N/A,FALSE,"flujo";"GASTOS_PROGRAMADOS_PARA_1997",#N/A,FALSE,"flujo";#N/A,#N/A,FALSE,"comparat";#N/A,#N/A,FALSE,"costos";#N/A,#N/A,FALSE,"proyctrol"}</definedName>
    <definedName function="false" hidden="false" localSheetId="5" name="_ccc2" vbProcedure="false">{#N/A,#N/A,FALSE,"RESUMEN ECON.";#N/A,#N/A,FALSE,"Costos de R.H.";#N/A,#N/A,FALSE,"COSTO HW";#N/A,#N/A,FALSE,"CUADROS";#N/A,#N/A,FALSE,"SCADA´s";#N/A,#N/A,FALSE,"PRECIOS EQUIPOS"}</definedName>
    <definedName function="false" hidden="false" localSheetId="5" name="_d2" vbProcedure="false">{#N/A,#N/A,TRUE,"RESUMEN ECON.";#N/A,#N/A,TRUE,"Costos de R.H.";#N/A,#N/A,TRUE,"COSTO HW";#N/A,#N/A,TRUE,"CUADROS";#N/A,#N/A,TRUE,"SCADA´s";#N/A,#N/A,TRUE,"PRECIOS EQUIPOS"}</definedName>
    <definedName function="false" hidden="false" localSheetId="5" name="_ddd2" vbProcedure="false">{#N/A,#N/A,TRUE,"RESUMEN ECON.";#N/A,#N/A,TRUE,"Costos de R.H.";#N/A,#N/A,TRUE,"COSTO HW";#N/A,#N/A,TRUE,"CUADROS";#N/A,#N/A,TRUE,"SCADA´s";#N/A,#N/A,TRUE,"PRECIOS EQUIPOS"}</definedName>
    <definedName function="false" hidden="false" localSheetId="5" name="_EPC2" vbProcedure="false">{#N/A,#N/A,FALSE,"RESUMEN ECON.";#N/A,#N/A,FALSE,"Costos de R.H.";#N/A,#N/A,FALSE,"COSTO HW";#N/A,#N/A,FALSE,"CUADROS";#N/A,#N/A,FALSE,"SCADA´s";#N/A,#N/A,FALSE,"PRECIOS EQUIPOS"}</definedName>
    <definedName function="false" hidden="false" localSheetId="5" name="_ETI2" vbProcedure="false">{"'Sheet1'!$A$1:$G$85"}</definedName>
    <definedName function="false" hidden="false" localSheetId="5" name="_FC" vbProcedure="false">{"DETALLE_1996",#N/A,FALSE,"flujo";"DETALLE_1997",#N/A,FALSE,"flujo";"GASTOS_INCURRIDOS_1996",#N/A,FALSE,"flujo";"GASTOS_PROGRAMADOS_PARA_1997",#N/A,FALSE,"flujo";#N/A,#N/A,FALSE,"comparat";#N/A,#N/A,FALSE,"costos";#N/A,#N/A,FALSE,"proyctrol"}</definedName>
    <definedName function="false" hidden="false" localSheetId="5" name="_FHE7" vbProcedure="false">{#N/A,#N/A,FALSE,"masez (10)";#N/A,#N/A,FALSE,"masez (7)";#N/A,#N/A,FALSE,"masez (6)";#N/A,#N/A,FALSE,"masez (5)";#N/A,#N/A,FALSE,"masez (4)";#N/A,#N/A,FALSE,"masez (3)";#N/A,#N/A,FALSE,"masez (2)";#N/A,#N/A,FALSE,"GME";#N/A,#N/A,FALSE,"masez"}</definedName>
    <definedName function="false" hidden="false" localSheetId="5" name="_Fill" vbProcedure="false">'log de transmisión '!#ref!</definedName>
    <definedName function="false" hidden="false" localSheetId="5" name="_gg2" vbProcedure="false">{#N/A,#N/A,FALSE,"RESUMEN ECON.";#N/A,#N/A,FALSE,"Costos de R.H.";#N/A,#N/A,FALSE,"COSTO HW";#N/A,#N/A,FALSE,"CUADROS";#N/A,#N/A,FALSE,"SCADA´s";#N/A,#N/A,FALSE,"PRECIOS EQUIPOS"}</definedName>
    <definedName function="false" hidden="false" localSheetId="5" name="_ggg2" vbProcedure="false">{#N/A,#N/A,TRUE,"RESUMEN ECON.";#N/A,#N/A,TRUE,"Costos de R.H.";#N/A,#N/A,TRUE,"COSTO HW";#N/A,#N/A,TRUE,"CUADROS";#N/A,#N/A,TRUE,"SCADA´s";#N/A,#N/A,TRUE,"PRECIOS EQUIPOS"}</definedName>
    <definedName function="false" hidden="false" localSheetId="5" name="_jy5" vbProcedure="false">{#N/A,#N/A,FALSE,"masez (10)";#N/A,#N/A,FALSE,"masez (7)";#N/A,#N/A,FALSE,"masez (6)";#N/A,#N/A,FALSE,"masez (5)";#N/A,#N/A,FALSE,"masez (4)";#N/A,#N/A,FALSE,"masez (3)";#N/A,#N/A,FALSE,"masez (2)";#N/A,#N/A,FALSE,"GME";#N/A,#N/A,FALSE,"masez"}</definedName>
    <definedName function="false" hidden="false" localSheetId="5" name="_Key1" vbProcedure="false">'log de transmisión '!#ref!</definedName>
    <definedName function="false" hidden="false" localSheetId="5" name="_ooo2" vbProcedure="false">{#N/A,#N/A,FALSE,"RESUMEN ECON.";#N/A,#N/A,FALSE,"Costos de R.H.";#N/A,#N/A,FALSE,"COSTO HW";#N/A,#N/A,FALSE,"CUADROS";#N/A,#N/A,FALSE,"SCADA´s";#N/A,#N/A,FALSE,"PRECIOS EQUIPOS"}</definedName>
    <definedName function="false" hidden="false" localSheetId="5" name="_PL1" vbProcedure="false">{"'Sheet1'!$A$1:$G$85"}</definedName>
    <definedName function="false" hidden="false" localSheetId="5" name="_ptg2" vbProcedure="false">{#N/A,#N/A,TRUE,"RESUMEN ECON.";#N/A,#N/A,TRUE,"Costos de R.H.";#N/A,#N/A,TRUE,"COSTO HW";#N/A,#N/A,TRUE,"CUADROS";#N/A,#N/A,TRUE,"SCADA´s";#N/A,#N/A,TRUE,"PRECIOS EQUIPOS"}</definedName>
    <definedName function="false" hidden="false" localSheetId="5" name="_qg2" vbProcedure="false">{#N/A,#N/A,FALSE,"RESUMEN ECON.";#N/A,#N/A,FALSE,"Costos de R.H.";#N/A,#N/A,FALSE,"COSTO HW";#N/A,#N/A,FALSE,"CUADROS";#N/A,#N/A,FALSE,"SCADA´s";#N/A,#N/A,FALSE,"PRECIOS EQUIPOS"}</definedName>
    <definedName function="false" hidden="false" localSheetId="5" name="_Regression_Out" vbProcedure="false">'log de transmisión '!#ref!</definedName>
    <definedName function="false" hidden="false" localSheetId="5" name="_REV1" vbProcedure="false">{"Graf_Carga Trab",#N/A,FALSE,"Grafi_Carga Trab";"Graf_Venta Flujo",#N/A,FALSE,"Grafi_Carga Trab"}</definedName>
    <definedName function="false" hidden="false" localSheetId="5" name="_REV11" vbProcedure="false">{"Graf_Carga Trab",#N/A,FALSE,"Grafi_Carga Trab";"Graf_Venta Flujo",#N/A,FALSE,"Grafi_Carga Trab"}</definedName>
    <definedName function="false" hidden="false" localSheetId="5" name="_rft2" vbProcedure="false">{#N/A,#N/A,TRUE,"RESUMEN ECON.";#N/A,#N/A,TRUE,"Costos de R.H.";#N/A,#N/A,TRUE,"COSTO HW";#N/A,#N/A,TRUE,"CUADROS";#N/A,#N/A,TRUE,"SCADA´s";#N/A,#N/A,TRUE,"PRECIOS EQUIPOS"}</definedName>
    <definedName function="false" hidden="false" localSheetId="5" name="_rtu2" vbProcedure="false">{#N/A,#N/A,TRUE,"RESUMEN ECON.";#N/A,#N/A,TRUE,"Costos de R.H.";#N/A,#N/A,TRUE,"COSTO HW";#N/A,#N/A,TRUE,"CUADROS";#N/A,#N/A,TRUE,"SCADA´s";#N/A,#N/A,TRUE,"PRECIOS EQUIPOS"}</definedName>
    <definedName function="false" hidden="false" localSheetId="5" name="_Sort" vbProcedure="false">'log de transmisión '!#ref!</definedName>
    <definedName function="false" hidden="false" localSheetId="5" name="_STN2" vbProcedure="false">{"'Sheet1'!$A$1:$G$85"}</definedName>
    <definedName function="false" hidden="false" localSheetId="5" name="_tyl2" vbProcedure="false">{#N/A,#N/A,FALSE,"masez (10)";#N/A,#N/A,FALSE,"masez (7)";#N/A,#N/A,FALSE,"masez (6)";#N/A,#N/A,FALSE,"masez (5)";#N/A,#N/A,FALSE,"masez (4)";#N/A,#N/A,FALSE,"masez (3)";#N/A,#N/A,FALSE,"masez (2)";#N/A,#N/A,FALSE,"GME";#N/A,#N/A,FALSE,"masez"}</definedName>
    <definedName function="false" hidden="false" localSheetId="5" name="_ww2" vbProcedure="false">{#N/A,#N/A,TRUE,"RESUMEN ECON.";#N/A,#N/A,TRUE,"Costos de R.H.";#N/A,#N/A,TRUE,"COSTO HW";#N/A,#N/A,TRUE,"CUADROS";#N/A,#N/A,TRUE,"SCADA´s";#N/A,#N/A,TRUE,"PRECIOS EQUIPOS"}</definedName>
    <definedName function="false" hidden="false" localSheetId="5" name="_zx2" vbProcedure="false">{#N/A,#N/A,FALSE,"masez (10)";#N/A,#N/A,FALSE,"masez (7)";#N/A,#N/A,FALSE,"masez (6)";#N/A,#N/A,FALSE,"masez (5)";#N/A,#N/A,FALSE,"masez (4)";#N/A,#N/A,FALSE,"masez (3)";#N/A,#N/A,FALSE,"masez (2)";#N/A,#N/A,FALSE,"GME";#N/A,#N/A,FALSE,"masez"}</definedName>
    <definedName function="false" hidden="false" localSheetId="5" name="__123Graph_A" vbProcedure="false">'log de transmisión '!#ref!</definedName>
    <definedName function="false" hidden="false" localSheetId="5" name="__a2" vbProcedure="false">{#N/A,#N/A,TRUE,"RESUMEN ECON.";#N/A,#N/A,TRUE,"Costos de R.H.";#N/A,#N/A,TRUE,"COSTO HW";#N/A,#N/A,TRUE,"CUADROS";#N/A,#N/A,TRUE,"SCADA´s";#N/A,#N/A,TRUE,"PRECIOS EQUIPOS"}</definedName>
    <definedName function="false" hidden="false" localSheetId="5" name="__aaa2" vbProcedure="false">{#N/A,#N/A,TRUE,"RESUMEN ECON.";#N/A,#N/A,TRUE,"Costos de R.H.";#N/A,#N/A,TRUE,"COSTO HW";#N/A,#N/A,TRUE,"CUADROS";#N/A,#N/A,TRUE,"SCADA´s";#N/A,#N/A,TRUE,"PRECIOS EQUIPOS"}</definedName>
    <definedName function="false" hidden="false" localSheetId="5" name="__b2" vbProcedure="false">{#N/A,#N/A,FALSE,"RESUMEN ECON.";#N/A,#N/A,FALSE,"Costos de R.H.";#N/A,#N/A,FALSE,"COSTO HW";#N/A,#N/A,FALSE,"CUADROS";#N/A,#N/A,FALSE,"SCADA´s";#N/A,#N/A,FALSE,"PRECIOS EQUIPOS"}</definedName>
    <definedName function="false" hidden="false" localSheetId="5" name="__bbb1" vbProcedure="false">{#N/A,#N/A,TRUE,"RESUMEN ECON.";#N/A,#N/A,TRUE,"Costos de R.H.";#N/A,#N/A,TRUE,"COSTO HW";#N/A,#N/A,TRUE,"CUADROS";#N/A,#N/A,TRUE,"SCADA´s";#N/A,#N/A,TRUE,"PRECIOS EQUIPOS"}</definedName>
    <definedName function="false" hidden="false" localSheetId="5" name="__bbb2" vbProcedure="false">{#N/A,#N/A,TRUE,"RESUMEN ECON.";#N/A,#N/A,TRUE,"Costos de R.H.";#N/A,#N/A,TRUE,"COSTO HW";#N/A,#N/A,TRUE,"CUADROS";#N/A,#N/A,TRUE,"SCADA´s";#N/A,#N/A,TRUE,"PRECIOS EQUIPOS"}</definedName>
    <definedName function="false" hidden="false" localSheetId="5" name="__ccc2" vbProcedure="false">{#N/A,#N/A,FALSE,"RESUMEN ECON.";#N/A,#N/A,FALSE,"Costos de R.H.";#N/A,#N/A,FALSE,"COSTO HW";#N/A,#N/A,FALSE,"CUADROS";#N/A,#N/A,FALSE,"SCADA´s";#N/A,#N/A,FALSE,"PRECIOS EQUIPOS"}</definedName>
    <definedName function="false" hidden="false" localSheetId="5" name="__d2" vbProcedure="false">{#N/A,#N/A,TRUE,"RESUMEN ECON.";#N/A,#N/A,TRUE,"Costos de R.H.";#N/A,#N/A,TRUE,"COSTO HW";#N/A,#N/A,TRUE,"CUADROS";#N/A,#N/A,TRUE,"SCADA´s";#N/A,#N/A,TRUE,"PRECIOS EQUIPOS"}</definedName>
    <definedName function="false" hidden="false" localSheetId="5" name="__ddd2" vbProcedure="false">{#N/A,#N/A,TRUE,"RESUMEN ECON.";#N/A,#N/A,TRUE,"Costos de R.H.";#N/A,#N/A,TRUE,"COSTO HW";#N/A,#N/A,TRUE,"CUADROS";#N/A,#N/A,TRUE,"SCADA´s";#N/A,#N/A,TRUE,"PRECIOS EQUIPOS"}</definedName>
    <definedName function="false" hidden="false" localSheetId="5" name="__EPC2" vbProcedure="false">{#N/A,#N/A,FALSE,"RESUMEN ECON.";#N/A,#N/A,FALSE,"Costos de R.H.";#N/A,#N/A,FALSE,"COSTO HW";#N/A,#N/A,FALSE,"CUADROS";#N/A,#N/A,FALSE,"SCADA´s";#N/A,#N/A,FALSE,"PRECIOS EQUIPOS"}</definedName>
    <definedName function="false" hidden="false" localSheetId="5" name="__gg2" vbProcedure="false">{#N/A,#N/A,FALSE,"RESUMEN ECON.";#N/A,#N/A,FALSE,"Costos de R.H.";#N/A,#N/A,FALSE,"COSTO HW";#N/A,#N/A,FALSE,"CUADROS";#N/A,#N/A,FALSE,"SCADA´s";#N/A,#N/A,FALSE,"PRECIOS EQUIPOS"}</definedName>
    <definedName function="false" hidden="false" localSheetId="5" name="__ggg2" vbProcedure="false">{#N/A,#N/A,TRUE,"RESUMEN ECON.";#N/A,#N/A,TRUE,"Costos de R.H.";#N/A,#N/A,TRUE,"COSTO HW";#N/A,#N/A,TRUE,"CUADROS";#N/A,#N/A,TRUE,"SCADA´s";#N/A,#N/A,TRUE,"PRECIOS EQUIPOS"}</definedName>
    <definedName function="false" hidden="false" localSheetId="5" name="__ooo2" vbProcedure="false">{#N/A,#N/A,FALSE,"RESUMEN ECON.";#N/A,#N/A,FALSE,"Costos de R.H.";#N/A,#N/A,FALSE,"COSTO HW";#N/A,#N/A,FALSE,"CUADROS";#N/A,#N/A,FALSE,"SCADA´s";#N/A,#N/A,FALSE,"PRECIOS EQUIPOS"}</definedName>
    <definedName function="false" hidden="false" localSheetId="5" name="__ptg2" vbProcedure="false">{#N/A,#N/A,TRUE,"RESUMEN ECON.";#N/A,#N/A,TRUE,"Costos de R.H.";#N/A,#N/A,TRUE,"COSTO HW";#N/A,#N/A,TRUE,"CUADROS";#N/A,#N/A,TRUE,"SCADA´s";#N/A,#N/A,TRUE,"PRECIOS EQUIPOS"}</definedName>
    <definedName function="false" hidden="false" localSheetId="5" name="__qg2" vbProcedure="false">{#N/A,#N/A,FALSE,"RESUMEN ECON.";#N/A,#N/A,FALSE,"Costos de R.H.";#N/A,#N/A,FALSE,"COSTO HW";#N/A,#N/A,FALSE,"CUADROS";#N/A,#N/A,FALSE,"SCADA´s";#N/A,#N/A,FALSE,"PRECIOS EQUIPOS"}</definedName>
    <definedName function="false" hidden="false" localSheetId="5" name="__rft2" vbProcedure="false">{#N/A,#N/A,TRUE,"RESUMEN ECON.";#N/A,#N/A,TRUE,"Costos de R.H.";#N/A,#N/A,TRUE,"COSTO HW";#N/A,#N/A,TRUE,"CUADROS";#N/A,#N/A,TRUE,"SCADA´s";#N/A,#N/A,TRUE,"PRECIOS EQUIPOS"}</definedName>
    <definedName function="false" hidden="false" localSheetId="5" name="__rtu2" vbProcedure="false">{#N/A,#N/A,TRUE,"RESUMEN ECON.";#N/A,#N/A,TRUE,"Costos de R.H.";#N/A,#N/A,TRUE,"COSTO HW";#N/A,#N/A,TRUE,"CUADROS";#N/A,#N/A,TRUE,"SCADA´s";#N/A,#N/A,TRUE,"PRECIOS EQUIPOS"}</definedName>
    <definedName function="false" hidden="false" localSheetId="5" name="__ww2" vbProcedure="false">{#N/A,#N/A,TRUE,"RESUMEN ECON.";#N/A,#N/A,TRUE,"Costos de R.H.";#N/A,#N/A,TRUE,"COSTO HW";#N/A,#N/A,TRUE,"CUADROS";#N/A,#N/A,TRUE,"SCADA´s";#N/A,#N/A,TRUE,"PRECIOS EQUIPOS"}</definedName>
    <definedName function="false" hidden="false" localSheetId="5" name="___a2" vbProcedure="false">{#N/A,#N/A,TRUE,"RESUMEN ECON.";#N/A,#N/A,TRUE,"Costos de R.H.";#N/A,#N/A,TRUE,"COSTO HW";#N/A,#N/A,TRUE,"CUADROS";#N/A,#N/A,TRUE,"SCADA´s";#N/A,#N/A,TRUE,"PRECIOS EQUIPOS"}</definedName>
    <definedName function="false" hidden="false" localSheetId="5" name="___aaa2" vbProcedure="false">{#N/A,#N/A,TRUE,"RESUMEN ECON.";#N/A,#N/A,TRUE,"Costos de R.H.";#N/A,#N/A,TRUE,"COSTO HW";#N/A,#N/A,TRUE,"CUADROS";#N/A,#N/A,TRUE,"SCADA´s";#N/A,#N/A,TRUE,"PRECIOS EQUIPOS"}</definedName>
    <definedName function="false" hidden="false" localSheetId="5" name="___b2" vbProcedure="false">{#N/A,#N/A,FALSE,"RESUMEN ECON.";#N/A,#N/A,FALSE,"Costos de R.H.";#N/A,#N/A,FALSE,"COSTO HW";#N/A,#N/A,FALSE,"CUADROS";#N/A,#N/A,FALSE,"SCADA´s";#N/A,#N/A,FALSE,"PRECIOS EQUIPOS"}</definedName>
    <definedName function="false" hidden="false" localSheetId="5" name="___bbb1" vbProcedure="false">{#N/A,#N/A,TRUE,"RESUMEN ECON.";#N/A,#N/A,TRUE,"Costos de R.H.";#N/A,#N/A,TRUE,"COSTO HW";#N/A,#N/A,TRUE,"CUADROS";#N/A,#N/A,TRUE,"SCADA´s";#N/A,#N/A,TRUE,"PRECIOS EQUIPOS"}</definedName>
    <definedName function="false" hidden="false" localSheetId="5" name="___bbb2" vbProcedure="false">{#N/A,#N/A,TRUE,"RESUMEN ECON.";#N/A,#N/A,TRUE,"Costos de R.H.";#N/A,#N/A,TRUE,"COSTO HW";#N/A,#N/A,TRUE,"CUADROS";#N/A,#N/A,TRUE,"SCADA´s";#N/A,#N/A,TRUE,"PRECIOS EQUIPOS"}</definedName>
    <definedName function="false" hidden="false" localSheetId="5" name="___ccc2" vbProcedure="false">{#N/A,#N/A,FALSE,"RESUMEN ECON.";#N/A,#N/A,FALSE,"Costos de R.H.";#N/A,#N/A,FALSE,"COSTO HW";#N/A,#N/A,FALSE,"CUADROS";#N/A,#N/A,FALSE,"SCADA´s";#N/A,#N/A,FALSE,"PRECIOS EQUIPOS"}</definedName>
    <definedName function="false" hidden="false" localSheetId="5" name="___d2" vbProcedure="false">{#N/A,#N/A,TRUE,"RESUMEN ECON.";#N/A,#N/A,TRUE,"Costos de R.H.";#N/A,#N/A,TRUE,"COSTO HW";#N/A,#N/A,TRUE,"CUADROS";#N/A,#N/A,TRUE,"SCADA´s";#N/A,#N/A,TRUE,"PRECIOS EQUIPOS"}</definedName>
    <definedName function="false" hidden="false" localSheetId="5" name="___ddd2" vbProcedure="false">{#N/A,#N/A,TRUE,"RESUMEN ECON.";#N/A,#N/A,TRUE,"Costos de R.H.";#N/A,#N/A,TRUE,"COSTO HW";#N/A,#N/A,TRUE,"CUADROS";#N/A,#N/A,TRUE,"SCADA´s";#N/A,#N/A,TRUE,"PRECIOS EQUIPOS"}</definedName>
    <definedName function="false" hidden="false" localSheetId="5" name="___EPC2" vbProcedure="false">{#N/A,#N/A,FALSE,"RESUMEN ECON.";#N/A,#N/A,FALSE,"Costos de R.H.";#N/A,#N/A,FALSE,"COSTO HW";#N/A,#N/A,FALSE,"CUADROS";#N/A,#N/A,FALSE,"SCADA´s";#N/A,#N/A,FALSE,"PRECIOS EQUIPOS"}</definedName>
    <definedName function="false" hidden="false" localSheetId="5" name="___gg2" vbProcedure="false">{#N/A,#N/A,FALSE,"RESUMEN ECON.";#N/A,#N/A,FALSE,"Costos de R.H.";#N/A,#N/A,FALSE,"COSTO HW";#N/A,#N/A,FALSE,"CUADROS";#N/A,#N/A,FALSE,"SCADA´s";#N/A,#N/A,FALSE,"PRECIOS EQUIPOS"}</definedName>
    <definedName function="false" hidden="false" localSheetId="5" name="___ggg2" vbProcedure="false">{#N/A,#N/A,TRUE,"RESUMEN ECON.";#N/A,#N/A,TRUE,"Costos de R.H.";#N/A,#N/A,TRUE,"COSTO HW";#N/A,#N/A,TRUE,"CUADROS";#N/A,#N/A,TRUE,"SCADA´s";#N/A,#N/A,TRUE,"PRECIOS EQUIPOS"}</definedName>
    <definedName function="false" hidden="false" localSheetId="5" name="___ooo2" vbProcedure="false">{#N/A,#N/A,FALSE,"RESUMEN ECON.";#N/A,#N/A,FALSE,"Costos de R.H.";#N/A,#N/A,FALSE,"COSTO HW";#N/A,#N/A,FALSE,"CUADROS";#N/A,#N/A,FALSE,"SCADA´s";#N/A,#N/A,FALSE,"PRECIOS EQUIPOS"}</definedName>
    <definedName function="false" hidden="false" localSheetId="5" name="___ptg2" vbProcedure="false">{#N/A,#N/A,TRUE,"RESUMEN ECON.";#N/A,#N/A,TRUE,"Costos de R.H.";#N/A,#N/A,TRUE,"COSTO HW";#N/A,#N/A,TRUE,"CUADROS";#N/A,#N/A,TRUE,"SCADA´s";#N/A,#N/A,TRUE,"PRECIOS EQUIPOS"}</definedName>
    <definedName function="false" hidden="false" localSheetId="5" name="___qg2" vbProcedure="false">{#N/A,#N/A,FALSE,"RESUMEN ECON.";#N/A,#N/A,FALSE,"Costos de R.H.";#N/A,#N/A,FALSE,"COSTO HW";#N/A,#N/A,FALSE,"CUADROS";#N/A,#N/A,FALSE,"SCADA´s";#N/A,#N/A,FALSE,"PRECIOS EQUIPOS"}</definedName>
    <definedName function="false" hidden="false" localSheetId="5" name="___rft2" vbProcedure="false">{#N/A,#N/A,TRUE,"RESUMEN ECON.";#N/A,#N/A,TRUE,"Costos de R.H.";#N/A,#N/A,TRUE,"COSTO HW";#N/A,#N/A,TRUE,"CUADROS";#N/A,#N/A,TRUE,"SCADA´s";#N/A,#N/A,TRUE,"PRECIOS EQUIPOS"}</definedName>
    <definedName function="false" hidden="false" localSheetId="5" name="___rtu2" vbProcedure="false">{#N/A,#N/A,TRUE,"RESUMEN ECON.";#N/A,#N/A,TRUE,"Costos de R.H.";#N/A,#N/A,TRUE,"COSTO HW";#N/A,#N/A,TRUE,"CUADROS";#N/A,#N/A,TRUE,"SCADA´s";#N/A,#N/A,TRUE,"PRECIOS EQUIPOS"}</definedName>
    <definedName function="false" hidden="false" localSheetId="5" name="___ww2" vbProcedure="false">{#N/A,#N/A,TRUE,"RESUMEN ECON.";#N/A,#N/A,TRUE,"Costos de R.H.";#N/A,#N/A,TRUE,"COSTO HW";#N/A,#N/A,TRUE,"CUADROS";#N/A,#N/A,TRUE,"SCADA´s";#N/A,#N/A,TRUE,"PRECIOS EQUIPOS"}</definedName>
    <definedName function="false" hidden="false" localSheetId="5" name="____bbb1" vbProcedure="false">{#N/A,#N/A,TRUE,"RESUMEN ECON.";#N/A,#N/A,TRUE,"Costos de R.H.";#N/A,#N/A,TRUE,"COSTO HW";#N/A,#N/A,TRUE,"CUADROS";#N/A,#N/A,TRUE,"SCADA´s";#N/A,#N/A,TRUE,"PRECIOS EQUIPOS"}</definedName>
    <definedName function="false" hidden="false" localSheetId="5" name="_____a2" vbProcedure="false">{#N/A,#N/A,TRUE,"RESUMEN ECON.";#N/A,#N/A,TRUE,"Costos de R.H.";#N/A,#N/A,TRUE,"COSTO HW";#N/A,#N/A,TRUE,"CUADROS";#N/A,#N/A,TRUE,"SCADA´s";#N/A,#N/A,TRUE,"PRECIOS EQUIPOS"}</definedName>
    <definedName function="false" hidden="false" localSheetId="5" name="_____aaa2" vbProcedure="false">{#N/A,#N/A,TRUE,"RESUMEN ECON.";#N/A,#N/A,TRUE,"Costos de R.H.";#N/A,#N/A,TRUE,"COSTO HW";#N/A,#N/A,TRUE,"CUADROS";#N/A,#N/A,TRUE,"SCADA´s";#N/A,#N/A,TRUE,"PRECIOS EQUIPOS"}</definedName>
    <definedName function="false" hidden="false" localSheetId="5" name="_____b2" vbProcedure="false">{#N/A,#N/A,FALSE,"RESUMEN ECON.";#N/A,#N/A,FALSE,"Costos de R.H.";#N/A,#N/A,FALSE,"COSTO HW";#N/A,#N/A,FALSE,"CUADROS";#N/A,#N/A,FALSE,"SCADA´s";#N/A,#N/A,FALSE,"PRECIOS EQUIPOS"}</definedName>
    <definedName function="false" hidden="false" localSheetId="5" name="_____bbb2" vbProcedure="false">{#N/A,#N/A,TRUE,"RESUMEN ECON.";#N/A,#N/A,TRUE,"Costos de R.H.";#N/A,#N/A,TRUE,"COSTO HW";#N/A,#N/A,TRUE,"CUADROS";#N/A,#N/A,TRUE,"SCADA´s";#N/A,#N/A,TRUE,"PRECIOS EQUIPOS"}</definedName>
    <definedName function="false" hidden="false" localSheetId="5" name="_____ccc2" vbProcedure="false">{#N/A,#N/A,FALSE,"RESUMEN ECON.";#N/A,#N/A,FALSE,"Costos de R.H.";#N/A,#N/A,FALSE,"COSTO HW";#N/A,#N/A,FALSE,"CUADROS";#N/A,#N/A,FALSE,"SCADA´s";#N/A,#N/A,FALSE,"PRECIOS EQUIPOS"}</definedName>
    <definedName function="false" hidden="false" localSheetId="5" name="_____d2" vbProcedure="false">{#N/A,#N/A,TRUE,"RESUMEN ECON.";#N/A,#N/A,TRUE,"Costos de R.H.";#N/A,#N/A,TRUE,"COSTO HW";#N/A,#N/A,TRUE,"CUADROS";#N/A,#N/A,TRUE,"SCADA´s";#N/A,#N/A,TRUE,"PRECIOS EQUIPOS"}</definedName>
    <definedName function="false" hidden="false" localSheetId="5" name="_____ddd2" vbProcedure="false">{#N/A,#N/A,TRUE,"RESUMEN ECON.";#N/A,#N/A,TRUE,"Costos de R.H.";#N/A,#N/A,TRUE,"COSTO HW";#N/A,#N/A,TRUE,"CUADROS";#N/A,#N/A,TRUE,"SCADA´s";#N/A,#N/A,TRUE,"PRECIOS EQUIPOS"}</definedName>
    <definedName function="false" hidden="false" localSheetId="5" name="_____EPC2" vbProcedure="false">{#N/A,#N/A,FALSE,"RESUMEN ECON.";#N/A,#N/A,FALSE,"Costos de R.H.";#N/A,#N/A,FALSE,"COSTO HW";#N/A,#N/A,FALSE,"CUADROS";#N/A,#N/A,FALSE,"SCADA´s";#N/A,#N/A,FALSE,"PRECIOS EQUIPOS"}</definedName>
    <definedName function="false" hidden="false" localSheetId="5" name="_____gg2" vbProcedure="false">{#N/A,#N/A,FALSE,"RESUMEN ECON.";#N/A,#N/A,FALSE,"Costos de R.H.";#N/A,#N/A,FALSE,"COSTO HW";#N/A,#N/A,FALSE,"CUADROS";#N/A,#N/A,FALSE,"SCADA´s";#N/A,#N/A,FALSE,"PRECIOS EQUIPOS"}</definedName>
    <definedName function="false" hidden="false" localSheetId="5" name="_____ggg2" vbProcedure="false">{#N/A,#N/A,TRUE,"RESUMEN ECON.";#N/A,#N/A,TRUE,"Costos de R.H.";#N/A,#N/A,TRUE,"COSTO HW";#N/A,#N/A,TRUE,"CUADROS";#N/A,#N/A,TRUE,"SCADA´s";#N/A,#N/A,TRUE,"PRECIOS EQUIPOS"}</definedName>
    <definedName function="false" hidden="false" localSheetId="5" name="_____ooo2" vbProcedure="false">{#N/A,#N/A,FALSE,"RESUMEN ECON.";#N/A,#N/A,FALSE,"Costos de R.H.";#N/A,#N/A,FALSE,"COSTO HW";#N/A,#N/A,FALSE,"CUADROS";#N/A,#N/A,FALSE,"SCADA´s";#N/A,#N/A,FALSE,"PRECIOS EQUIPOS"}</definedName>
    <definedName function="false" hidden="false" localSheetId="5" name="_____ptg2" vbProcedure="false">{#N/A,#N/A,TRUE,"RESUMEN ECON.";#N/A,#N/A,TRUE,"Costos de R.H.";#N/A,#N/A,TRUE,"COSTO HW";#N/A,#N/A,TRUE,"CUADROS";#N/A,#N/A,TRUE,"SCADA´s";#N/A,#N/A,TRUE,"PRECIOS EQUIPOS"}</definedName>
    <definedName function="false" hidden="false" localSheetId="5" name="_____qg2" vbProcedure="false">{#N/A,#N/A,FALSE,"RESUMEN ECON.";#N/A,#N/A,FALSE,"Costos de R.H.";#N/A,#N/A,FALSE,"COSTO HW";#N/A,#N/A,FALSE,"CUADROS";#N/A,#N/A,FALSE,"SCADA´s";#N/A,#N/A,FALSE,"PRECIOS EQUIPOS"}</definedName>
    <definedName function="false" hidden="false" localSheetId="5" name="_____rft2" vbProcedure="false">{#N/A,#N/A,TRUE,"RESUMEN ECON.";#N/A,#N/A,TRUE,"Costos de R.H.";#N/A,#N/A,TRUE,"COSTO HW";#N/A,#N/A,TRUE,"CUADROS";#N/A,#N/A,TRUE,"SCADA´s";#N/A,#N/A,TRUE,"PRECIOS EQUIPOS"}</definedName>
    <definedName function="false" hidden="false" localSheetId="5" name="_____rtu2" vbProcedure="false">{#N/A,#N/A,TRUE,"RESUMEN ECON.";#N/A,#N/A,TRUE,"Costos de R.H.";#N/A,#N/A,TRUE,"COSTO HW";#N/A,#N/A,TRUE,"CUADROS";#N/A,#N/A,TRUE,"SCADA´s";#N/A,#N/A,TRUE,"PRECIOS EQUIPOS"}</definedName>
    <definedName function="false" hidden="false" localSheetId="5" name="_____ww2" vbProcedure="false">{#N/A,#N/A,TRUE,"RESUMEN ECON.";#N/A,#N/A,TRUE,"Costos de R.H.";#N/A,#N/A,TRUE,"COSTO HW";#N/A,#N/A,TRUE,"CUADROS";#N/A,#N/A,TRUE,"SCADA´s";#N/A,#N/A,TRUE,"PRECIOS EQUIPOS"}</definedName>
    <definedName function="false" hidden="false" localSheetId="5" name="______bbb1" vbProcedure="false">{#N/A,#N/A,TRUE,"RESUMEN ECON.";#N/A,#N/A,TRUE,"Costos de R.H.";#N/A,#N/A,TRUE,"COSTO HW";#N/A,#N/A,TRUE,"CUADROS";#N/A,#N/A,TRUE,"SCADA´s";#N/A,#N/A,TRUE,"PRECIOS EQUIPOS"}</definedName>
  </definedNames>
  <calcPr iterateCount="100" refMode="A1" iterate="false" iterateDelta="0.0001"/>
  <extLst>
    <ext xmlns:loext="http://schemas.libreoffice.org/" uri="{7626C862-2A13-11E5-B345-FEFF819CDC9F}">
      <loext:extCalcPr stringRefSyntax="ExcelA1"/>
    </ext>
  </extLst>
</workbook>
</file>

<file path=xl/comments10.xml><?xml version="1.0" encoding="utf-8"?>
<comments xmlns="http://schemas.openxmlformats.org/spreadsheetml/2006/main" xmlns:xdr="http://schemas.openxmlformats.org/drawingml/2006/spreadsheetDrawing">
  <authors>
    <author> </author>
  </authors>
  <commentList>
    <comment ref="Z4" authorId="0">
      <text>
        <r>
          <rPr>
            <sz val="11"/>
            <color rgb="FF000000"/>
            <rFont val="Aptos Narrow"/>
            <family val="2"/>
            <charset val="1"/>
          </rPr>
          <t xml:space="preserve">Javier Cáceres Galaz:
14-08-2024
</t>
        </r>
      </text>
    </comment>
    <comment ref="Z7" authorId="0">
      <text>
        <r>
          <rPr>
            <sz val="11"/>
            <color rgb="FF000000"/>
            <rFont val="Aptos Narrow"/>
            <family val="2"/>
            <charset val="1"/>
          </rPr>
          <t xml:space="preserve">Javier Cáceres Galaz:
07-11-2024</t>
        </r>
      </text>
    </comment>
    <comment ref="Z9" authorId="0">
      <text>
        <r>
          <rPr>
            <sz val="11"/>
            <color rgb="FF000000"/>
            <rFont val="Aptos Narrow"/>
            <family val="2"/>
            <charset val="1"/>
          </rPr>
          <t xml:space="preserve">Javier Cáceres Galaz:
30-09-2024</t>
        </r>
      </text>
    </comment>
    <comment ref="Z10" authorId="0">
      <text>
        <r>
          <rPr>
            <sz val="11"/>
            <color rgb="FF000000"/>
            <rFont val="Aptos Narrow"/>
            <family val="2"/>
            <charset val="1"/>
          </rPr>
          <t xml:space="preserve">Javier Cáceres Galaz:
28-11-2024</t>
        </r>
      </text>
    </comment>
    <comment ref="Z11" authorId="0">
      <text>
        <r>
          <rPr>
            <sz val="11"/>
            <color rgb="FF000000"/>
            <rFont val="Aptos Narrow"/>
            <family val="2"/>
            <charset val="1"/>
          </rPr>
          <t xml:space="preserve">Javier Cáceres Galaz:
04-02-2025</t>
        </r>
      </text>
    </comment>
    <comment ref="Z13" authorId="0">
      <text>
        <r>
          <rPr>
            <sz val="11"/>
            <color rgb="FF000000"/>
            <rFont val="Aptos Narrow"/>
            <family val="2"/>
            <charset val="1"/>
          </rPr>
          <t xml:space="preserve">Javier Cáceres Galaz:
21-02-2025</t>
        </r>
      </text>
    </comment>
  </commentList>
</comments>
</file>

<file path=xl/sharedStrings.xml><?xml version="1.0" encoding="utf-8"?>
<sst xmlns="http://schemas.openxmlformats.org/spreadsheetml/2006/main" count="1553" uniqueCount="767">
  <si>
    <t xml:space="preserve">Especialidad </t>
  </si>
  <si>
    <t xml:space="preserve">Titulo</t>
  </si>
  <si>
    <t xml:space="preserve">Fecha de envio </t>
  </si>
  <si>
    <t xml:space="preserve">Version</t>
  </si>
  <si>
    <t xml:space="preserve">Descripción </t>
  </si>
  <si>
    <t xml:space="preserve">PCI </t>
  </si>
  <si>
    <t xml:space="preserve">P354-2-MC-08_A (Soportes secundarios PCI - Nivel 5500 y nivel costaneras - SH2 - SH4 - SH6)</t>
  </si>
  <si>
    <t xml:space="preserve">A</t>
  </si>
  <si>
    <t xml:space="preserve">Soportes secundarios PCI - Nivel 5500 y nivel costaneras - Colo 5</t>
  </si>
  <si>
    <r>
      <rPr>
        <b val="true"/>
        <u val="single"/>
        <sz val="9"/>
        <color rgb="FF000000"/>
        <rFont val="Aptos Narrow"/>
        <family val="2"/>
        <charset val="1"/>
      </rPr>
      <t xml:space="preserve">CUADRO ESTATUS FASE OMEGA / OMEGA PHASE STATUS CHART: : 
</t>
    </r>
    <r>
      <rPr>
        <b val="true"/>
        <sz val="9"/>
        <color rgb="FF000000"/>
        <rFont val="Aptos Narrow"/>
        <family val="2"/>
        <charset val="1"/>
      </rPr>
      <t xml:space="preserve">
-APC (LICICTADO VALIDADO POR FL): Plano / documento de licitación revisado por FL  y emitido por FL como apto para construción. / IFC (LICENSED VALIDATED BY FL): Plan / tender document reviewed by FL and issued by FL as suitable for construction.
-APC (MODIFICADO POR FL): Plano / documento enviado por FL, revisado y modificado por FL de acuerdo a su ingeniería, revisado y aprobado por ODATA. / IFC (MODIFIED BY FL): Drawing / document submitted by FL, reviewed and modified by FL according to its engineering, reviewed and approved by ODATA.
-EN REVISIÓN ODATA: Plano / documento enviado por FL, modificado por FL y  que requiere aprobación de ODATA. / IN ODATA REVIEW: Plan / document submitted by FL, modified by FL and requiring ODATA approval.
-REVISIÓN FL: Plano / documento enviado por FL, revisado por CyD- ODATA, y  devuelto a FL para su revisión. FL REVIEW: Plan / document sent by FL, reviewed by CyD- ODATA, and returned to FL for revision.
-PENDIENTE TRANSMISIÓN: Plano en proceso de elaboración o modificación. / PENDING TRANSMISSION: Plan in process of elaboration or modification.
-NUEVA INGENIERÍA: Planos nuevos para revisión y aprobación de ODATA-CyD. / NEW ENGINEERING: New plans for ODATA-CyD review and approval.
</t>
    </r>
  </si>
  <si>
    <t xml:space="preserve">OMEGA PHASE STATUS CHART:
-APC (TENDERED VALIDATED BY FL): Drawing/bid document reviewed by FL and issued by FL as fit for construction.
-APC (MODIFIED BY FL): Drawing/document submitted by FL, reviewed and modified by FL according to its engineering, reviewed and approved by ODATA.
-UNDER ODATA REVIEW: Drawing/document submitted by FL, modified by FL, and requires ODATA approval.
-FL REVIEW: Drawing/document submitted by FL, reviewed by CyD-ODATA, and returned to FL for review.
-PENDING TRANSMISSION: Drawing in the process of being prepared or modified.
-NEW ENGINEERING: New drawings for ODATA-CyD review and approval.</t>
  </si>
  <si>
    <r>
      <rPr>
        <b val="true"/>
        <sz val="15"/>
        <color rgb="FF000000"/>
        <rFont val="Aptos Narrow"/>
        <family val="2"/>
        <charset val="1"/>
      </rPr>
      <t xml:space="preserve">ESPECIALIDAD / SPECIALTY</t>
    </r>
    <r>
      <rPr>
        <sz val="15"/>
        <color rgb="FF000000"/>
        <rFont val="Aptos Narrow"/>
        <family val="2"/>
        <charset val="1"/>
      </rPr>
      <t xml:space="preserve">: </t>
    </r>
  </si>
  <si>
    <r>
      <rPr>
        <b val="true"/>
        <sz val="15"/>
        <color rgb="FF000000"/>
        <rFont val="Aptos Narrow"/>
        <family val="2"/>
        <charset val="1"/>
      </rPr>
      <t xml:space="preserve">PROYECTO / PROJECT: </t>
    </r>
    <r>
      <rPr>
        <sz val="15"/>
        <color rgb="FF000000"/>
        <rFont val="Aptos Narrow"/>
        <family val="2"/>
        <charset val="1"/>
      </rPr>
      <t xml:space="preserve">ODATA ST01</t>
    </r>
  </si>
  <si>
    <t xml:space="preserve">LISTADO DE PLANOS LICITACIÓN </t>
  </si>
  <si>
    <t xml:space="preserve">ESPECIALIDAD </t>
  </si>
  <si>
    <t xml:space="preserve">DESCRIPCIÓN</t>
  </si>
  <si>
    <t xml:space="preserve">CODIGO</t>
  </si>
  <si>
    <t xml:space="preserve">REVISION LICITACIÓN </t>
  </si>
  <si>
    <t xml:space="preserve">APLICA= A
NO APLICA=NA
</t>
  </si>
  <si>
    <t xml:space="preserve">ESTATUS </t>
  </si>
  <si>
    <t xml:space="preserve">COLO 1 
 Server Hall 1</t>
  </si>
  <si>
    <t xml:space="preserve">COLO 2
Server Hall 2</t>
  </si>
  <si>
    <t xml:space="preserve">COLO 3
Server Hall 3</t>
  </si>
  <si>
    <t xml:space="preserve">COLO 4
Server Hall 4</t>
  </si>
  <si>
    <t xml:space="preserve">COLO 5
Server Hall 5</t>
  </si>
  <si>
    <t xml:space="preserve">COLO 6
Server Hall 6</t>
  </si>
  <si>
    <t xml:space="preserve">6500 / Roof</t>
  </si>
  <si>
    <t xml:space="preserve">10000 / PLA</t>
  </si>
  <si>
    <t xml:space="preserve">MNR/MVR</t>
  </si>
  <si>
    <t xml:space="preserve">ADM</t>
  </si>
  <si>
    <t xml:space="preserve">GENERAL</t>
  </si>
  <si>
    <t xml:space="preserve">DETALLES DE EQUIPOS / EQUIPMENT DETAILS</t>
  </si>
  <si>
    <t xml:space="preserve">DOC ZONE</t>
  </si>
  <si>
    <t xml:space="preserve">URBANISMO EXTERIOR
EXTERIOR URBANIZATION</t>
  </si>
  <si>
    <t xml:space="preserve">RV.0
Review 1</t>
  </si>
  <si>
    <t xml:space="preserve">REV 1
Review 2</t>
  </si>
  <si>
    <t xml:space="preserve">REV 2
Review 2</t>
  </si>
  <si>
    <t xml:space="preserve">REV 3
Review 3</t>
  </si>
  <si>
    <t xml:space="preserve">REV 4
Review 4</t>
  </si>
  <si>
    <t xml:space="preserve">REV 5
Review 5</t>
  </si>
  <si>
    <t xml:space="preserve">REV 6
Review 6</t>
  </si>
  <si>
    <t xml:space="preserve">
REV 7
Review 7
</t>
  </si>
  <si>
    <t xml:space="preserve">REV 8
Review 8</t>
  </si>
  <si>
    <t xml:space="preserve">REV 9
Review 9</t>
  </si>
  <si>
    <t xml:space="preserve">REV 10
Review 10</t>
  </si>
  <si>
    <t xml:space="preserve">BMS</t>
  </si>
  <si>
    <t xml:space="preserve">AUTOMATIZACIÓN - MVR - NIVEL 1 / AUTOMATION - MVR - LEVEL 1</t>
  </si>
  <si>
    <t xml:space="preserve">PR-OD-XXXX-XXXX</t>
  </si>
  <si>
    <t xml:space="preserve">N/A</t>
  </si>
  <si>
    <t xml:space="preserve">Planos recibidos por licitación (FCC-012F22 OE) / Plans received by bidding (FCC-012F22 OE)</t>
  </si>
  <si>
    <t xml:space="preserve">X</t>
  </si>
  <si>
    <t xml:space="preserve">LISTADO PROCEDIMIENTOS - INSTRUCTIVOS - PLAN </t>
  </si>
  <si>
    <t xml:space="preserve">APROBADO</t>
  </si>
  <si>
    <t xml:space="preserve">ELABORACIÓN</t>
  </si>
  <si>
    <t xml:space="preserve">PROCEDIMIENTO</t>
  </si>
  <si>
    <t xml:space="preserve">TODAS LAS ESPECIALIDADES</t>
  </si>
  <si>
    <t xml:space="preserve">PENDIENTE</t>
  </si>
  <si>
    <t xml:space="preserve">INSTRUCTIVO</t>
  </si>
  <si>
    <t xml:space="preserve">COMENTADO</t>
  </si>
  <si>
    <t xml:space="preserve">PLAN</t>
  </si>
  <si>
    <t xml:space="preserve">PROYECTO: DATA CENTER ODATA ST01</t>
  </si>
  <si>
    <t xml:space="preserve">NULO</t>
  </si>
  <si>
    <t xml:space="preserve">AAAAAAAA</t>
  </si>
  <si>
    <t xml:space="preserve">N° CCODIGO </t>
  </si>
  <si>
    <t xml:space="preserve">TIPO DOCUMENTO</t>
  </si>
  <si>
    <t xml:space="preserve">CONTENIDO</t>
  </si>
  <si>
    <t xml:space="preserve">ESTATUS</t>
  </si>
  <si>
    <t xml:space="preserve">ESPECIALIDAD</t>
  </si>
  <si>
    <t xml:space="preserve">REV</t>
  </si>
  <si>
    <t xml:space="preserve">FECHA DE FIRMA</t>
  </si>
  <si>
    <t xml:space="preserve">TRANSMITTAL</t>
  </si>
  <si>
    <t xml:space="preserve">FECHA</t>
  </si>
  <si>
    <t xml:space="preserve">ELÉCTRICIDAD</t>
  </si>
  <si>
    <t xml:space="preserve">FL-FO-CA-IIEE-PL-02</t>
  </si>
  <si>
    <t xml:space="preserve">PLAN INSPECCION Y ENSAYO</t>
  </si>
  <si>
    <t xml:space="preserve">#5619</t>
  </si>
  <si>
    <t xml:space="preserve">#6074</t>
  </si>
  <si>
    <t xml:space="preserve">#6714</t>
  </si>
  <si>
    <t xml:space="preserve">FL-FO-CA-IIEE-PRO-01</t>
  </si>
  <si>
    <t xml:space="preserve">MONTAJE BANCO DE DUCTOS</t>
  </si>
  <si>
    <t xml:space="preserve">#5818</t>
  </si>
  <si>
    <t xml:space="preserve">CLIMA</t>
  </si>
  <si>
    <t xml:space="preserve">PCI</t>
  </si>
  <si>
    <t xml:space="preserve">CIVIL</t>
  </si>
  <si>
    <t xml:space="preserve">EHS</t>
  </si>
  <si>
    <t xml:space="preserve">COMISIONAMIENTO</t>
  </si>
  <si>
    <t xml:space="preserve">Porcentaje de 
Cumplimiento</t>
  </si>
  <si>
    <t xml:space="preserve">NOTA: TODOS LOS PROCEDIMIENTOS QUE PASAN DE REV 0 A REV 1 ES PORQUE HAN SIDO AUDITADOS POR CYD-ODATA</t>
  </si>
  <si>
    <t xml:space="preserve">TOTAL</t>
  </si>
  <si>
    <t xml:space="preserve">ITEM</t>
  </si>
  <si>
    <t xml:space="preserve">PLANIMETRÍA </t>
  </si>
  <si>
    <t xml:space="preserve">DISCIPLINA</t>
  </si>
  <si>
    <t xml:space="preserve">SECTOR</t>
  </si>
  <si>
    <t xml:space="preserve">Fecha</t>
  </si>
  <si>
    <t xml:space="preserve">Aprueba Odata</t>
  </si>
  <si>
    <t xml:space="preserve">Comentarios</t>
  </si>
  <si>
    <t xml:space="preserve">PR-ST01-FO-ELE-GEN-LV1-012 </t>
  </si>
  <si>
    <t xml:space="preserve">IIEE</t>
  </si>
  <si>
    <t xml:space="preserve">SH5</t>
  </si>
  <si>
    <t xml:space="preserve">INST. ELECTRICAS/ELECTRICAL INST.
TDA-ELC.(X)-(Y)-DIAGRAMA TRIFÁSICO TÍPICO</t>
  </si>
  <si>
    <t xml:space="preserve">SI</t>
  </si>
  <si>
    <t xml:space="preserve">Plano/documento enviado poR FL, modificado por FL y requiere aprobación de Odata</t>
  </si>
  <si>
    <t xml:space="preserve">PR-ST01-FO-ELE-GEN-LV1-013</t>
  </si>
  <si>
    <t xml:space="preserve">INST. ELECTRICAS / ELECTRICAL INST. COLO 5 Y CASETA DE SECURIDAD CARGAS DE UTILIDADES Y VCC NIVEL 1 / UTILITIES LOADS AND VDC - LEVEL 1- COLO 5
AND GUARD HOUSE</t>
  </si>
  <si>
    <t xml:space="preserve">Resumen:</t>
  </si>
  <si>
    <t xml:space="preserve">N° RDI</t>
  </si>
  <si>
    <t xml:space="preserve">Empresa</t>
  </si>
  <si>
    <t xml:space="preserve">Especialidad</t>
  </si>
  <si>
    <t xml:space="preserve">Descripción</t>
  </si>
  <si>
    <t xml:space="preserve">Fecha de Envio</t>
  </si>
  <si>
    <t xml:space="preserve">Fecha de Respuesta</t>
  </si>
  <si>
    <t xml:space="preserve">Tiempo de Respuesta</t>
  </si>
  <si>
    <t xml:space="preserve">Estado</t>
  </si>
  <si>
    <t xml:space="preserve">Respuesta BUFFER-ODATA</t>
  </si>
  <si>
    <t xml:space="preserve">CERRADA</t>
  </si>
  <si>
    <t xml:space="preserve">Fleischmann</t>
  </si>
  <si>
    <t xml:space="preserve">Electricidad</t>
  </si>
  <si>
    <t xml:space="preserve">Niveles de corto circuito Media Tension</t>
  </si>
  <si>
    <t xml:space="preserve">Ver Doc OD-199-ODSB-EL-19-MCA-001</t>
  </si>
  <si>
    <t xml:space="preserve">RECHAZADA</t>
  </si>
  <si>
    <t xml:space="preserve">Planos Planta Media Tension Equans</t>
  </si>
  <si>
    <t xml:space="preserve">Se adjuntan planos con disposición de equipos sala de control. Para la distribución de los alimentadores considerar que las celdas más al poniente son para las salas A y las celdas más al Oriente son para las salas E.</t>
  </si>
  <si>
    <t xml:space="preserve">Cantidad y Seccion Conductores Media Tensión</t>
  </si>
  <si>
    <t xml:space="preserve">Se adjunta documento LZAPL116.2021 - ODATA ST02 - OPEL - MV-4 (Actualización 10.07.2024) donde se indican los cambios. 
Las modificaciones presentadas mantienen las secciones proyectadas provenientes de los swichgear principales y modifican las secciones que comunican entre unidades RMU </t>
  </si>
  <si>
    <t xml:space="preserve">Total</t>
  </si>
  <si>
    <t xml:space="preserve">tarjeta de comunicación del Schiller</t>
  </si>
  <si>
    <t xml:space="preserve">Se confirma que los equipo vendran con una bornera disponible para alimentación de 220 V AC estabilizada por UPS se debe considerar Work Notification para implementar esta solución en Chiller correspondientes a MNR A/B y Colos 1/3 </t>
  </si>
  <si>
    <t xml:space="preserve">SYAD</t>
  </si>
  <si>
    <t xml:space="preserve">Google Account</t>
  </si>
  <si>
    <t xml:space="preserve">Las cuentas ya fueron creadas para los líderes del proyecto que son Nicolas Gomez y Salathiel Jerez. Dependiendo del avance podemos generar más.</t>
  </si>
  <si>
    <t xml:space="preserve">Camera Detail Installation Fit Out</t>
  </si>
  <si>
    <t xml:space="preserve">Las areas de Fit Out no son parte de esta etapa de implementación, pero el criterio general para el uso del accesorio de montaje  AXIS T91B50 es sobre estructura de cielo o alguna solución de estructura que asemeje lo anterior. (Pagina Adjunta) </t>
  </si>
  <si>
    <t xml:space="preserve">Security Racks</t>
  </si>
  <si>
    <t xml:space="preserve">Se solcita mantener la ubicacion inicial de los racks y el fin de las instalaciones estara sujeo a temrino de la infraestructura que soporta las inatalaciones al interior de cada Colo. </t>
  </si>
  <si>
    <t xml:space="preserve">TIEMPO GUARDADO VARIABLES</t>
  </si>
  <si>
    <t xml:space="preserve">Se solicita confirmar tiempo de guardado de variables (tendencia) y delta de cambio para BMS, con el proposito de dimencionar tamaño de disco duro en servidores.</t>
  </si>
  <si>
    <t xml:space="preserve">EXPORTACIÓN MQTT</t>
  </si>
  <si>
    <t xml:space="preserve">Se adjutna planilla con listado de puntos junto con las orientaciones para llenado de las variables.</t>
  </si>
  <si>
    <t xml:space="preserve">INTEGRACIÓN SUBESTACIÓN ELECTRICA</t>
  </si>
  <si>
    <t xml:space="preserve">En reunión de ingeniería del 12-09-24 con Fleischmann se acordó que Fleischmann enviará RFIs con las consultas puntuales mientras se logra obtener los submittals de los vendors. 																										</t>
  </si>
  <si>
    <t xml:space="preserve">10.A</t>
  </si>
  <si>
    <t xml:space="preserve">
Se solicita dimensiones de tablero QA BMS																								</t>
  </si>
  <si>
    <t xml:space="preserve">10.B</t>
  </si>
  <si>
    <t xml:space="preserve">Se solicita definir ubicación de tablero Q.A</t>
  </si>
  <si>
    <t xml:space="preserve">Según se acordo en reunión del dia 01 de Agosto del 2024, Fabio Cortes indica que el sistema es cerrado y no existe interfaz grafica para el operador </t>
  </si>
  <si>
    <t xml:space="preserve">Estudio Protecciones Equans</t>
  </si>
  <si>
    <t xml:space="preserve">Enviar Estudio de Protecciones de todas las proteciones involucradas desde la subetsacion Alta Tension hasta sala distribucion Media Tension de equans
NOTA: RFI 001 solo indica los niveles cortocircuito</t>
  </si>
  <si>
    <t xml:space="preserve">SERVIDOR</t>
  </si>
  <si>
    <t xml:space="preserve">Se rechaza la propuesta ya que por estandar de ODATA se solita procesador INTEL</t>
  </si>
  <si>
    <t xml:space="preserve">Reunión ODATA - Fleischmann - CyD - Convergint (25/07/2024)</t>
  </si>
  <si>
    <t xml:space="preserve">Se ha realizado una prueba con dispositivo pasacable Assa Abloy Modelo EA280 con dos cables Belden 2x18 AWG PN Y66482 TD (datasheet adjunto) con diametro exterior de 0,158 pulgadas (4,01 mm) lo que seria equivalente a la instalación reuqerida por diseño si encontrar problemas en terminos de cableado (Pagina Adjunta 2)
En la imagen adjunta se aprecian problemas con la instalación del dispositivo porbablemente debido al largo del flexible pasacable, por lo que se solicta evaluar la utilización de pasacable Assa Abloy Modelo EA281 de 46 cm en reemplazo de pasacable Assa Abloy Modelo EA280 de 25 cm (Pagina adjunta 3)</t>
  </si>
  <si>
    <t xml:space="preserve">Conduit Installation Access Control Electrical Rooms</t>
  </si>
  <si>
    <t xml:space="preserve">Con respecto al Control de Acceso de salas electricas
Para SH5 (Colo 5) : 
- Puerta Doble, lado seguro corresponde al corredor eje B y lado inseguro interior sala
- Puerta Simple, lado seguro corresponde al interior sala y lado inseguro corredor eje A'
Para SH2/SH4/SH6 (Colos 2,4 y 6): 
- Puerta Doble, lado seguro corresponde al corredor eje R y lado inseguro interior sala
- Puerta Simple, lado seguro corresponde al interior sala y lado inseguro corredor eje S
Lo anterior obedece a lo sugerido en pagina adjunta por parte de Fleischmann </t>
  </si>
  <si>
    <t xml:space="preserve">Access Control Installation</t>
  </si>
  <si>
    <t xml:space="preserve">Se acepta la propuesta indicada tomando en consideración que no se debe utilizar canalización flexible. Se adjunta croquis de referencian para cada caso </t>
  </si>
  <si>
    <t xml:space="preserve">Submittal vendors</t>
  </si>
  <si>
    <t xml:space="preserve">sensor de flama en cabina de generadores</t>
  </si>
  <si>
    <t xml:space="preserve">De acuerdo a lo revisado con el Sr Felipe Pereira. La ubicacion del sensor de flama sera el indicado en imágenes adjuntas.</t>
  </si>
  <si>
    <t xml:space="preserve">Disposición cabeceras de fibra óptica en rack BMS ODATA SPACE
</t>
  </si>
  <si>
    <t xml:space="preserve">Se aprueba la propuesta </t>
  </si>
  <si>
    <t xml:space="preserve">ARQUITECTURAS DE SERVIDORES</t>
  </si>
  <si>
    <t xml:space="preserve">Se ha definido por parte del cliente una arquietctura de tras niveles tanto para la etapa de transición donde operarán en conjunto la plataforma BMS actual con la nueva plataforma Ignition. 
- Public Network 
- ODATA, Intermediate Network 
- ODATA, BMS Network 
Se solicita a fleischmann considerar todo lo necesario para la etapa de transición como para la etapa definitiva con el fin de mantener la configuración de red solictada </t>
  </si>
  <si>
    <t xml:space="preserve">Plan de Escape (Salidas de Emergencia)</t>
  </si>
  <si>
    <t xml:space="preserve">23Se adjunta documento "EHS-PRO-002-ST02 - Plan de Prevención y Respuesta Ante Desastres.v03". En donde podemos visualizar las rutas de escapes propuestas por O&amp;M (Pag 25 - 26) </t>
  </si>
  <si>
    <t xml:space="preserve">SERVIDOR REV.2</t>
  </si>
  <si>
    <t xml:space="preserve">se aprueba respuesta</t>
  </si>
  <si>
    <t xml:space="preserve">Camara Banco Ducto </t>
  </si>
  <si>
    <t xml:space="preserve">La camara propuesta cumple con lo indicado en la norma RIC n°04 de conductores y canalizaciones.  por lo que la propuesta es aceptable
La aplicación de estas camaras en terreno debe respetar lon dicado en norma RIC N°04 para una camara tipo B (Drenaje, pendiente de los ductos entre camaras 0,25%</t>
  </si>
  <si>
    <t xml:space="preserve">Rack MultiWay</t>
  </si>
  <si>
    <t xml:space="preserve">Se aprueba la propuesta</t>
  </si>
  <si>
    <t xml:space="preserve">27.-</t>
  </si>
  <si>
    <t xml:space="preserve">Instalaciones Mecanicas</t>
  </si>
  <si>
    <t xml:space="preserve">Plan izaje chillers</t>
  </si>
  <si>
    <t xml:space="preserve">Revisando la RFI recibida, esta contiene procedimientos los cuales NO corresponden a una RFI por lo que agradeceré enviarla mediante los flujos de aprobación de procedimientos ya definidos para el proyecto 																									</t>
  </si>
  <si>
    <t xml:space="preserve">28.-</t>
  </si>
  <si>
    <t xml:space="preserve">Amortiguador chillers </t>
  </si>
  <si>
    <t xml:space="preserve">La ubicacióin exacta fue coordinada en terreno y en reuniones de especialidad, y los Chillers del Colo 5 ya fueron montados por Fleischmann 
Se solicita a Flesichmann cargar los planos AsBuilt en carpeta TOP</t>
  </si>
  <si>
    <t xml:space="preserve">29.-</t>
  </si>
  <si>
    <t xml:space="preserve">Suportación nivel 6500</t>
  </si>
  <si>
    <t xml:space="preserve">Los antecedentes adjuntos solo incluyen los soportes de IIMM del Colo 5 y no la totalidad de los soportes pendientes como indica la materia de esta RFI.
Revisando los documentos de transmisión ACC #6315 enviados por Fleischmann, se incluye planos con detalles de fijaciones a losa +6,45 y su respectiva memoria de cálculo, lo cual dá cumplimiento a los análisis técnicos mínimos que se requieren para la ejecución de los soportes. 
Además, revisando la memoria y los planos se observa que el anclaje solo se considera a nivel de piso y no un mix entre nivel +6.450 y +10,000 lo cual evita los desplazamientos diferenciales y me parece correcto.
Comentarios CyD:
[X] SIN EXCEPCIONES.
CyD ha revisado este Documento, pero sólo con el propósito de verificar su conformidad con la intención de diseño expresada en los Documentos Contractuales.</t>
  </si>
  <si>
    <t xml:space="preserve">30.-</t>
  </si>
  <si>
    <t xml:space="preserve">Validación planos de seguridad</t>
  </si>
  <si>
    <t xml:space="preserve">31.-</t>
  </si>
  <si>
    <t xml:space="preserve">Obras Civiles </t>
  </si>
  <si>
    <t xml:space="preserve">Ubicación conexión
alcantarillado </t>
  </si>
  <si>
    <t xml:space="preserve">Respuesta fue enviada a Fleischmann por mail el 03-10-24, mail que es producto de una visita a terreno en conjunto con Fleishcman - CyD - DPC, donde se resolvió la consulta.</t>
  </si>
  <si>
    <t xml:space="preserve">32.-</t>
  </si>
  <si>
    <t xml:space="preserve">Barrera acustica </t>
  </si>
  <si>
    <t xml:space="preserve">No se tienen observaciones a los antecedentes recibidos 
Se solicita complementar con planos /esquema de arquitectura que muetre la ubicación de montaje del panel acústico</t>
  </si>
  <si>
    <t xml:space="preserve">33.-</t>
  </si>
  <si>
    <t xml:space="preserve">Memoria de cálculo base soporte </t>
  </si>
  <si>
    <t xml:space="preserve">No se tienen nuevas observaciones</t>
  </si>
  <si>
    <t xml:space="preserve">33A.-</t>
  </si>
  <si>
    <t xml:space="preserve">
Se solicita implementar en terreno lo indicado por Catari</t>
  </si>
  <si>
    <t xml:space="preserve">34.-</t>
  </si>
  <si>
    <t xml:space="preserve">Soportes secundarios clima
10000</t>
  </si>
  <si>
    <t xml:space="preserve">Aprobado según documentos recibidos en transmisión #6597</t>
  </si>
  <si>
    <t xml:space="preserve">35.-</t>
  </si>
  <si>
    <t xml:space="preserve">PDU-ATS MultiWay</t>
  </si>
  <si>
    <t xml:space="preserve">Se aprueba propuesta solo para Racks BMS, Rack IDF ubicados al interior de COLO en estapas futuras se debe consultar por separado</t>
  </si>
  <si>
    <t xml:space="preserve">36.-</t>
  </si>
  <si>
    <t xml:space="preserve">Ubicación Tablero auxiliar Transformador</t>
  </si>
  <si>
    <t xml:space="preserve">confirmado </t>
  </si>
  <si>
    <t xml:space="preserve">37.-</t>
  </si>
  <si>
    <t xml:space="preserve">Ingreso y conexión chiller</t>
  </si>
  <si>
    <t xml:space="preserve">1 - Se adjunta página con imagenes de putnos de conexion eléctrica (barras de conexión) 
2 - La alimentación estabilizada del modulo de comunicación será a travez de una bornera que instalara en el mes de Enero de 2025 personal de JCI, se adjunta imagen referencial
3 - Los diagramas eléctricos estan pendientes por el proveedor </t>
  </si>
  <si>
    <t xml:space="preserve">38.-</t>
  </si>
  <si>
    <t xml:space="preserve">CABLE H07Z1-K(AS) TYPE</t>
  </si>
  <si>
    <t xml:space="preserve">39.-</t>
  </si>
  <si>
    <t xml:space="preserve">Validación KIT  y QUINCALLERIAS  DE PUERTAS DE COLOS 5,4,2 Y 6</t>
  </si>
  <si>
    <t xml:space="preserve">Respuesta de Odata 
Con una breve revisión del cuadro, José Carlos y yo ya hemos observado errores en la especificación de algunos kits de puertas, entre otros errores, que se corrigieron en la fase anterior. Les piso encarecidamente a que vuelvan a Fleischmann y les pidan que revisen el proyecto para asegurarse de que la información es correcta y siguiendo las lecciones aprendidas de la fase anterior.</t>
  </si>
  <si>
    <t xml:space="preserve">Ingreso y Conexion Electrica Finning</t>
  </si>
  <si>
    <t xml:space="preserve">Se envían en transmisión ACC #6861 planos eléctricos Finning Rev0 para su gestión y coordinación </t>
  </si>
  <si>
    <t xml:space="preserve">40A.-</t>
  </si>
  <si>
    <t xml:space="preserve">1.-Fleischmann lleva una escalerilla de 900x100 mm hacia el ingreso de la cabina y al medir la pasada de la cabina seria de 400x200 mm, lo cuá se necesita una modificación en la pasada de tal manera que se pueda ingresar con la escalerilla de 900x100mm.
1.-Si bien en el plano enviado la apertura de la entrada disponible es de 400x200 mm, en el diseño de la entrada del estanque sus dimensiones de ingreso de cables son de un 531x330 mm (libres) por ambos lados. El detalle indicado en el plano se consideró solo como una recomendación y un ordenamiento de cables en el desarrollo del proyecto en general.No es posible dejar solo una ventana de ingreso de cables, ya que la viga que se aprecia entre ambas es estructural. ( ver documento adjunto donde se indica con mas detalles lo indicado en este punto)
2.-Se necesita mayor detalle en las dimensiones entre barras,al igual que en las perforaciones en las barra (detalle acotado)
Para las conexiones con terminales adjunto anexo de ficha tecnica con terminal 3M, el cuál se utilizará en los trabajos asociado en las  cabinas
CONSULTA N°2
1.-De acuerdo con lo consultado debemos indicar que las barras de conexiones estarán perforadas para Terminal doble ojo 3M, revisamos el catálogo enviado y no indica referencia a utilizar y el detalle de medidas es solo para un terminal de un (1) ojo, se solicita mayor detalle de Terminal a Utilizar, ver Figura siguiente como referencia de los indicado como respuesta. (Ver barra con Perforaciones para Terminal de doble ojo 3M.)( ver documento adjunto donde se indica con mas detalles lo indicado en este punto)</t>
  </si>
  <si>
    <t xml:space="preserve">Solicitud de aprobacion nuevo recorrido escalerilla CH-4A, CH-4B y CH-4C</t>
  </si>
  <si>
    <t xml:space="preserve">Este cambio de ruta no afecta o altera la solución actual del proyecto. Podemos dar seguimiento sin la aprobación del cliente y incorporar en el As-built.</t>
  </si>
  <si>
    <t xml:space="preserve">Solicitud de aprobación estructura de andamio nivel 6500 a nivel 10000</t>
  </si>
  <si>
    <t xml:space="preserve">Revisando la memoria recibida, documento "2407351.v2 MC-LyD.Torre.en.Voladizo.25.09.2024", transmisión ACC #6452 tenemos:</t>
  </si>
  <si>
    <t xml:space="preserve">Informacion tecnicas Celdas MT SSEE de Equans y tipo MUFA</t>
  </si>
  <si>
    <t xml:space="preserve">Se adjunta la siguiente información correpondiente a las Celdas de Media Tensión existente en Subestación EQUANS</t>
  </si>
  <si>
    <t xml:space="preserve">43A</t>
  </si>
  <si>
    <t xml:space="preserve">fleischmann </t>
  </si>
  <si>
    <t xml:space="preserve">Conexion Alimentadores Celdas Equans</t>
  </si>
  <si>
    <t xml:space="preserve">Se confirman la cantida de cables por proyecto, ODATA implementará durante el mes de febrero la solución en celdas de subestación                                                                                                                                                                   Odata a entregado contacto de eejcutivo experto por parte de Siemens para coordinar modelo de conector a utilizar. </t>
  </si>
  <si>
    <t xml:space="preserve">Solicitud de revisión y validación memoria de cálculo suportación primer piso de SH2-SH4-SH6.
Solicitud de revisión y validación de planos de piso SH2-SH4-SH6.</t>
  </si>
  <si>
    <t xml:space="preserve">Cerrada</t>
  </si>
  <si>
    <t xml:space="preserve">Revisando los documentos de la transmisión ACC #6473, No se tienen observaciones a la memoria de cálculo  
Respecto de los planos adjuntos a esta RFI, no corresponden a planos de soportación. 
Los planos de soporte fueron actualizados en última revisión de planos enviada por Fleischmann en transmisión ACC #9230 del 14-03-25 y se encuentran en revisión.</t>
  </si>
  <si>
    <t xml:space="preserve">CCTV Soportacion</t>
  </si>
  <si>
    <t xml:space="preserve">Los materiales listados en est RFI estan aprobados</t>
  </si>
  <si>
    <t xml:space="preserve">Cables para cctv y ccaa.</t>
  </si>
  <si>
    <t xml:space="preserve">Se aprueban los numeros de parte propuestos </t>
  </si>
  <si>
    <t xml:space="preserve">Networking</t>
  </si>
  <si>
    <t xml:space="preserve"> Se solcita considerar Switch Cisco WS-C3850-32XS-S</t>
  </si>
  <si>
    <t xml:space="preserve">Se confirma SFP CISCO GLC-LH-SMD-C
Ref: RFI# 17 OMEGA ODATA - TENANT</t>
  </si>
  <si>
    <t xml:space="preserve">PUERTAS DE EMERGENCIA </t>
  </si>
  <si>
    <t xml:space="preserve">La puerta 004B debe ser configurada como salida de Emergencia 
La insfraestrucutra de estas puertas deben obedecer al criterio de diseño del proyecto</t>
  </si>
  <si>
    <t xml:space="preserve">extenciones retractiles </t>
  </si>
  <si>
    <t xml:space="preserve">se adjunta respuesta a RFI del asunto.
Comentario transversal, cito:
"Este tema fue consultado y resuelto en RFIs etapa Opel, donde Fleischmann debe incorporar en su alcance como EPCM las lecciones aprendidas de dicha etapa. Por lo anterior, se solicita usar el conocimiento adquirido por Fleischmann en etapa Opel, y si tiene duda referenciarlo en la consulta que envíen.""</t>
  </si>
  <si>
    <t xml:space="preserve">Solicitud de aprobación: 
-Plano soporte colgante pasillo R: FL-ST02-FO-BIM-COO-GEN-10-01
-Plano colgantes SH4 eje R: FL-ST02-FO-BIM-COO-SH4-03-01</t>
  </si>
  <si>
    <t xml:space="preserve">Aprobado </t>
  </si>
  <si>
    <t xml:space="preserve">51A.-</t>
  </si>
  <si>
    <t xml:space="preserve">
Fleischmann entrega planos y memoria de cálculo, y en reuniones de ingeniería / 1) Cualquier instalación que se desvíe de lo indicado en la memoria de cálculo queda fuera del alcance de esta revisión 
2) La revisión realizada no implica una aceptación de responsabilidad del diseño, la que sigue siendo del profesional responsable en este caso representado por Fleischmann (que debe cumplir con las disposiciones normativas aplicables en Chile: NCh2369, NCh3357, NCh427, NCh433, etc.). </t>
  </si>
  <si>
    <t xml:space="preserve">Luminarias SH</t>
  </si>
  <si>
    <t xml:space="preserve">Se rechaza propuesta 
Se deben corregir altura de montaje de luminarias con el fin de poder acceder a todos los dispositivos en altura, ajustar plano útil a 0,8 mts y mejorar lo diagramas de distribución de iluminación para que sea posible su interpretación </t>
  </si>
  <si>
    <t xml:space="preserve">52A</t>
  </si>
  <si>
    <t xml:space="preserve">Se rechaza propuesta                                                                                                                                                                            En  estos pasillos Norte y Sur, mantener cantidad de equipos y altura d e montaje original LZA y utilizar el nuevo equipo proyectado de 49 W</t>
  </si>
  <si>
    <t xml:space="preserve">52B</t>
  </si>
  <si>
    <t xml:space="preserve">se aprueba propuesta</t>
  </si>
  <si>
    <t xml:space="preserve">BUS de Comunicación </t>
  </si>
  <si>
    <t xml:space="preserve">Se rechaza la propuesta 
Se solicita considerar lo recomendado por el fabricante: Cable Belden multipar apantallado tipo M9842 ( 2 pares 22 AWG + pantalla) o equivalente
Referir a documento: ST-C2_221125134-COLO5-FW-MAN-009-R0 (Instalation Manual  HDCV1800A2 Página 59) enviado en  012 Transmittal (#6078) Submittal Cooling Schneider el dia 26 de agosto de 2024 </t>
  </si>
  <si>
    <t xml:space="preserve">por disposicion de ehs odata el andamio no puedee ser instalado en voladizo Se adjunta minuta "241003_ST02 Omega_FL-ODATA-CyD_Minuta_Andamio 6.50 a 10.15" con la revisión de documentos. 
Además se recuerda resolver los 5 comentarios enviados en RFI-FL-042, cito:</t>
  </si>
  <si>
    <t xml:space="preserve">54A</t>
  </si>
  <si>
    <t xml:space="preserve">Solicitud de aprobación estructura de andamio nivel 6500 a nivel 10000 y sistema de protección anticaída.</t>
  </si>
  <si>
    <t xml:space="preserve">por disposicion de ehs odata el andamio no puedee ser instalado en voladizo </t>
  </si>
  <si>
    <t xml:space="preserve">Planos telecomu</t>
  </si>
  <si>
    <t xml:space="preserve">#7605 RFI116 reemplaza planos de RFF55, pendiente respuesta. Esto considerando que las revisiones y comentarios se han ido dearrollando a través de reuniones específicas para resolver dudas.                                               Por lo anterior, esta RFI queda nula </t>
  </si>
  <si>
    <t xml:space="preserve">planos bms </t>
  </si>
  <si>
    <t xml:space="preserve">Observaciones de Odata en Rev1202
1) Que seria PS? 
2) Presostato? Cual és la diferencia de PT y PS? Aclarar con mas detalles en la leyenda.
3) No tiene sensor de pression diferencial?
4) No tiene PS en la leyenda de los planos 6500.
5) Por favor enviar el diagrama indicando dondo en la linea esta ubicado los sensores.
6) Por favor enviar el listado de puntos indicando donde va estar conectado los sensores.
Se recomienda que el sensor del piso 10.000 se instale el sensor de presion despues del filtro, antes de la bomba. 
REVISE COMO SE INDICA Y PRESENTE NUEVAMENTE.
ODATA ha revisado este Documento, pero sólo con el propósito de verificar su conformidad con la intención de diseño expresada en los Documentos Contractuales y el CDE. La acción de ODATA sobre un elemento específico no indica la aprobación de un conjunto del cual el elemento es un componente, ni de un elemento tal como se entrega e instala si no se ajusta a los Documentos Contractuales. 
El Contratista es responsable de verificar las desviaciones entre esta Presentación y la información o condiciones diferentes en los Documentos Contractuales y las condiciones de campo; de determinar o corroborar la exactitud e integridad de otros detalles tales como dimensiones y cantidades; de corroborar las instrucciones para la instalación o funcionamiento de los equipos o sistemas diseñados por el Contratista; de los medios, métodos, técnicas, programas, secuencias, procedimientos y procesos de fabricación de la construcción; de los errores y omisiones en las Presentaciones; de la coordinación del Trabajo de los profesionales, las precauciones de seguridad y la ejecución del Trabajo de manera segura y satisfactoria y de conformidad con los Documentos Contractuales. </t>
  </si>
  <si>
    <t xml:space="preserve">validación planos de seguridad electronica</t>
  </si>
  <si>
    <t xml:space="preserve">Anclaje de Chiller a losa 10.000</t>
  </si>
  <si>
    <t xml:space="preserve">Comentario ODATA:
"[X] SIN EXCEPCIONES.
ODATA ha revisado este Documento, pero sólo con el propósito de verificar su conformidad con la intención de diseño expresada en los Documentos Contractuales. La acción de ODATA sobre un elemento específico no indica la aprobación de un conjunto del cual el elemento es un componente, ni de un elemento tal como se entrega e instala si no se ajusta a los Documentos Contractuales."</t>
  </si>
  <si>
    <t xml:space="preserve">DIRECCIONAMIENTO IP EQUIPOS FASE OMEGA</t>
  </si>
  <si>
    <t xml:space="preserve">Ver respuesta a RFI85 transmisión #9518</t>
  </si>
  <si>
    <t xml:space="preserve">Bus de comunicación RS-485</t>
  </si>
  <si>
    <t xml:space="preserve">Se aprueba ambas propuestas </t>
  </si>
  <si>
    <t xml:space="preserve">Sensor de presión estática</t>
  </si>
  <si>
    <t xml:space="preserve">Se aprueba la solución para fase OMEGA, la solución de la intervención del BMS para fase OPEL esta sujeta a confirmación posterior por parte de ODATA </t>
  </si>
  <si>
    <t xml:space="preserve">Equipos networking</t>
  </si>
  <si>
    <t xml:space="preserve">Propuesta aprobada </t>
  </si>
  <si>
    <t xml:space="preserve">Instrumento EPG108-AM</t>
  </si>
  <si>
    <t xml:space="preserve">Se aprueba propuesta de sensor, la funcionalidad será responsabilidad de fleischmann   Según reuníon de coordinacion y seguimiento de BMS del dia 28/11/2024 </t>
  </si>
  <si>
    <t xml:space="preserve">Planimetría sistema diesel Omega-Opel</t>
  </si>
  <si>
    <t xml:space="preserve">Revisando lo ejecutado en terreno Fleischmann incluyó una cámara de acumulación en el sistema, lo cual no está presentado para revisión y validación de Odata - CyD, y constituye una modificación al proyecto.</t>
  </si>
  <si>
    <t xml:space="preserve">Solicitud de revisión y validación memoria de soportes secundarios de SH5.
Solicitud de revisión y validación de planos de planta SH5</t>
  </si>
  <si>
    <t xml:space="preserve">Esta RFI ha sido superada por la RFI115 de fecha 14-03-25</t>
  </si>
  <si>
    <t xml:space="preserve">Solicitud de revisión y validación memoria de mejora presión llenado automático</t>
  </si>
  <si>
    <t xml:space="preserve">RESPUESTA ENVIADA EN TRANSMISION #7559</t>
  </si>
  <si>
    <t xml:space="preserve">PRUEBA L3 y L4</t>
  </si>
  <si>
    <t xml:space="preserve">Se realizara solo un comisionamiento para las etapas de Sustantial Compeltion y Fit Out por COLO, esta actividad se programará durnate la implementación de las distintas etapas de Fit Out en un plazo no menor a 30 dias. </t>
  </si>
  <si>
    <t xml:space="preserve">Se solicita validar nueva posición de equipos vesdas en corredor técnico 5.2, ya que la posición    proyectada cuenta con poco espacio para montaje. Se anexa imagen referencial</t>
  </si>
  <si>
    <t xml:space="preserve">Aprobado</t>
  </si>
  <si>
    <t xml:space="preserve">planos de seguridad</t>
  </si>
  <si>
    <t xml:space="preserve">Esta RFI fue reemplazada por FL mediante RFI85 enviada el 12-12-24</t>
  </si>
  <si>
    <t xml:space="preserve">Aprobación de switch</t>
  </si>
  <si>
    <t xml:space="preserve">Se rechaza la propuesta, se debe considerar un cantiadad de fuentes de poder redundantes sujetas a un levantamiento </t>
  </si>
  <si>
    <t xml:space="preserve">Solicitud de revisión y validación memoria de soportes secundarios de SH2, SH4 y SH6</t>
  </si>
  <si>
    <t xml:space="preserve">Los planos enviados en esta RFI #7019 fueron observados por Ingeniería Odata y fueron modificados por Fleishcmann y enviados actualizados en transmisión ACC #9229 de fecha 14-03-25</t>
  </si>
  <si>
    <t xml:space="preserve">72.-</t>
  </si>
  <si>
    <t xml:space="preserve">Red seca </t>
  </si>
  <si>
    <t xml:space="preserve">Entiendo que hay una nueva actualización de planos para PCI. Solicito que los envíen nuevamente, asegurándose de incluir toda la documentación actualizada. Además, les pido que consideren las siguientes indicaciones para la ejecución de los trabajos en sitio:</t>
  </si>
  <si>
    <t xml:space="preserve">73.-</t>
  </si>
  <si>
    <t xml:space="preserve">Solicitud de revisión y validación Cierre Zona 3</t>
  </si>
  <si>
    <t xml:space="preserve">Respuesta a Transmisión ACC #7251
La propuesta de Fleischmann debe ajustarse a lo indicado en planos de proyecto. Favor revisar planos 21082-ARC-GEN-FEN-000 y 21082-ARC-GEN-FEN-002. Respecto de la cota inferior de la reja, esta debe cumplir con la CR señalada en los planos SERVIU según se bosqueja a continuación</t>
  </si>
  <si>
    <t xml:space="preserve">73A.-</t>
  </si>
  <si>
    <t xml:space="preserve">Revisando plano enviado en transmisión ACC #7296 se observa que el cerco tiene una altura de 2,4m conforme a proyecto. No obstante, considerando que el proyecto SERVIU no está ejecutado, no es posible chequear si las cotas indicadas en plano FL_ST02-FO-BIM-COO-GEN-11 son correctas, altura que será chequeada por el inspector municipal una vez se ejecute el proyecto y debe cumplir con la normativa vigente </t>
  </si>
  <si>
    <t xml:space="preserve">74..-</t>
  </si>
  <si>
    <t xml:space="preserve">Barra antipanico </t>
  </si>
  <si>
    <t xml:space="preserve">se aprueba dispositivo propuesto y cualquier elemento sargent asociado a serie bxxx</t>
  </si>
  <si>
    <t xml:space="preserve">Aprobación estructura cortafuegos</t>
  </si>
  <si>
    <t xml:space="preserve">La materialidad y el diseño es aceptable, se debe revisar en terreno las dimenciones finales de cada pasada, lo requerido son pasadas de 8 unidades de Firebarrier en cada entrada y salida de Sala De Servidores, Salas de Racks, Salas POE y MNR</t>
  </si>
  <si>
    <t xml:space="preserve"> Aprobación de UPS</t>
  </si>
  <si>
    <t xml:space="preserve">Se aprueba propuesta </t>
  </si>
  <si>
    <t xml:space="preserve">Importación de cámaras termales</t>
  </si>
  <si>
    <t xml:space="preserve">Luego de haber revisado docuemnto adjunto, se aprecia que la mayor parte de la información no correpsonde ser llenado por ODATA (replicando proceso realizado en etapa OPEL)
Favor completar la información solicitada para tramitar su firma </t>
  </si>
  <si>
    <t xml:space="preserve">especificación técnica ventiladores de extracción salas 4A, 4B, 1A y 1B</t>
  </si>
  <si>
    <t xml:space="preserve">Con fecha 26-02-25 se recibe instrucción por parte de Odata de anular esta NOC Mail "ST02-OMEGA-FL- Extracción de aire salas con baterias VRLA" lo cual se comunica vía Contratos a Fleischmann, ya que anula las NOC N°9 y N°21</t>
  </si>
  <si>
    <t xml:space="preserve">Plan de Izaje de Chillers</t>
  </si>
  <si>
    <t xml:space="preserve">Estimado Alejandro, Adjunto respuestas a las consultas realizadas.                                                                                                            Se solicita a JCI como representante de estos equipos indicar la cantidad de puntos mínimos requeridos para colocar las tanquetas que se utilizaran para realizar el movimiento.                                                                                                                    R: JCI recomienda posicionar las tanquetas indicadas cerca de los puntos de sujeción (6 por cada lado del equipo), estos puntos son los indicados para asegurar el correcto izaje o desplazamiento del equipo.
-Para el levantamiento de los Chillers se realizará con Gatas Hidráulicas, solicitamos a JCI nos indiquen la cantidad mínima de puntos de apoyo para ejecutar esta maniobra.                                                                                                                                 R: JCI recomienda posicionar las tanquetas indicadas cerca de los puntos de sujeción (6 por cada lado del equipo), estos puntos son los indicados para asegurar el correcto izaje o desplazamiento del equipo.</t>
  </si>
  <si>
    <t xml:space="preserve">Pernos Cummins</t>
  </si>
  <si>
    <t xml:space="preserve">Se mantendran los pernos provenientes de fabrica en el equipo</t>
  </si>
  <si>
    <t xml:space="preserve">Cambio Cable Utp ServerHall5</t>
  </si>
  <si>
    <t xml:space="preserve">El Datasheet adjunto no refleja el Numero de parte descrito. De igual manera se aprueba el cable descrito en adjunto (LANmark-1000 Enhanced Cat 6 Plenum Rated Cable)</t>
  </si>
  <si>
    <t xml:space="preserve">aprobación baliza</t>
  </si>
  <si>
    <t xml:space="preserve">Se aprueba la propuesta de modelo, Fleischmann debe asegurar funcionalidad </t>
  </si>
  <si>
    <t xml:space="preserve"> Listado de Puertas</t>
  </si>
  <si>
    <t xml:space="preserve">No hay objeciones a como se ha presentado la información.
Fleischmann debe asegurar funcionalidad de cada kit en relación al proyecto de seguridad, sus dispositivos y las puertas instaladas en terreno.</t>
  </si>
  <si>
    <t xml:space="preserve">Cambio De Conexión De Puertas Detalle 263.1</t>
  </si>
  <si>
    <t xml:space="preserve">Se aprueba propuesta y se solicita actualizar el plano de conexionado para el detalle tipo 263.1
La ingenieria Fleischman debe asegurar la funcionalidad de todos los dispositivos que son parte de la instalación y que los diseños sean coherentes entre planos de detalle de conexionado y planos de planta </t>
  </si>
  <si>
    <t xml:space="preserve">Aprobación de planos Seguridad Electrónica</t>
  </si>
  <si>
    <t xml:space="preserve">En transmisión #6555 se envió 61 dwg y 62 pdf, favor revisar carpetas para que la cantidad de planos y sus códigos sean los mismos en pdf y dwg. Una revisión rápida se visualiza que el plano FL-ST02-FO-SC-DTS-10 en dwg es el que no fue enviado por FL, lo cual fue supera en transmisión #7735</t>
  </si>
  <si>
    <t xml:space="preserve">rotulos Arc Flash</t>
  </si>
  <si>
    <t xml:space="preserve">Además de los equipos/tableros suministrados por Fleischmann, los equipos que deben ser rotulados corresponden a los chillers, generadores, fanwall, crah, RMU, PMDC, Trafo, para los colos 5-4-2-6
Los equipos antes mencionados no corresponden a un listado exhaustivo, sino que Fleischmann debe analizar el documento RT-EE-210875-004-Rev.0 (parte de los Anexos al Contrato), el cual nos conduce a la norma NFPA 70E como base para el análisis y definiciones de los Warning Label requeridos para el proyecto.
Cabe señalar que el rotulado Arc Flash es mandatorio para el cumplimiento del Substantial Completion, siendo una exigencia de nuestro cliente</t>
  </si>
  <si>
    <t xml:space="preserve">pantalla acustica chillers</t>
  </si>
  <si>
    <t xml:space="preserve">Comentarios a transmision ACC #7762 recibida:
1) Las pantallas son para dirigir el flujo de aire, no acústicas. favor chequear que si el error es solamente en nombre o altera el concepto de cálculo.
2) Se solicita verificar que la carga de esta estructura no afecta las fundaciones de los chillers ni la losa colaborante
3) Odata Ingeniería solicita evaluar y eliminar las diagonales indicadas en rojo en la imagen siguiente, ya que de acuerdo a su evaluación pueden afectar la operatividad del sistema</t>
  </si>
  <si>
    <t xml:space="preserve">87A</t>
  </si>
  <si>
    <t xml:space="preserve">Se aprueba solución propuesta con 2 compuertas por Chiller, según se indica en planos </t>
  </si>
  <si>
    <t xml:space="preserve">87B</t>
  </si>
  <si>
    <t xml:space="preserve">En transmisión #9425 se envía solución de estructura metálica de pantallas chillers con las 2 compuertas solicitadas por Odata, solución apernada y altura de pantalla es de 2m, lo cual cumple con lo solicitado No se tiene observaciones adicionales</t>
  </si>
  <si>
    <t xml:space="preserve">87C</t>
  </si>
  <si>
    <t xml:space="preserve">
Aprobado. 
La ubicación de las escotillas debe ser en las caras oriente y sur, según la siguiente imagen</t>
  </si>
  <si>
    <t xml:space="preserve">87D.- </t>
  </si>
  <si>
    <t xml:space="preserve">87E.- </t>
  </si>
  <si>
    <t xml:space="preserve">La correccion presentada corresponde a las estructura de Marcos intermedios no del revestimiento, Se acepta modificacion presentada, la verificacion estructural es responsabilidad del contratista.</t>
  </si>
  <si>
    <t xml:space="preserve">87F.- </t>
  </si>
  <si>
    <t xml:space="preserve">Revisando #11335 no se corrige las observaciones enviadas en # 10697 - ST02-Omega-FL: RFI-FL-087E pantalla acustica chillers resp CyD. Favor corregir y enviar nuevamente </t>
  </si>
  <si>
    <t xml:space="preserve">87G.- </t>
  </si>
  <si>
    <t xml:space="preserve">Revisando lo enviado en transmisión ACC #12108 de fecha 03-10-25 tenemos:Distancia al borde de las perforaciones para pernos es de 3 cm lo cual debe ser validado por el calculista, ya que este anclaje quedará ubicado en el recubrimiento de la enfierradura lo cual NO es correcto /
Se debe indicar si se chequeo el cono de desgarro para los pernos de 1/2" del borde de la fundación, según se indica en respuestas anteriores a la  RF87</t>
  </si>
  <si>
    <t xml:space="preserve">87H.- </t>
  </si>
  <si>
    <t xml:space="preserve">No se tiene comentarios a la solución propuesta en transmisión #12341. Es responsabilidad de Fleischmann presentar una solución coordinada y construible, por lo que el chequeo de las interferencias NO es responsabilidad de CyD-Odata</t>
  </si>
  <si>
    <t xml:space="preserve">Distribución cable MT trinchera</t>
  </si>
  <si>
    <t xml:space="preserve">
Favor agregar diagrama unilineal modificado </t>
  </si>
  <si>
    <t xml:space="preserve">88A</t>
  </si>
  <si>
    <t xml:space="preserve">Se aprueba porpuesta de modificacion de disposicion de cableados de MT</t>
  </si>
  <si>
    <t xml:space="preserve">Actualización de plano de aguas lluvia, corrección emplazamiento de sumidero</t>
  </si>
  <si>
    <t xml:space="preserve">Se revisa y se valida la ubicación de los sumideros N°37 y N°39 con respecto a las pendientes para la correcta evacución de aguas lluvias.</t>
  </si>
  <si>
    <t xml:space="preserve">Sistema diésel Fase Omega</t>
  </si>
  <si>
    <t xml:space="preserve">
Los documentos adjuntos a la RFI #7927 no permiten revisarla. Se observa que el plano adjunto es de serviu y no del proyecto diesel, no se indica capacidad de la nueva cámara de rebalse incorporada ni su geometría.                 Se solicita enviar RFI-FL-090A incorporando los antecedentes correctos, necesarios y suficientes para poder revisar</t>
  </si>
  <si>
    <t xml:space="preserve">90A</t>
  </si>
  <si>
    <t xml:space="preserve">
Revisando documentos de transmisión ACC #8048 se adjuntan comentarios en documento "Informe 2412008, Odata, Memoria Descriptiva Sistema de Bombeo Recolección de Derrames" Una de las observaciones relevantes es que el plano xx mencionado en la memoria descriptiva no se adjuntó por Flesichmann, por lo que se solicita enviarlo.</t>
  </si>
  <si>
    <t xml:space="preserve">90B</t>
  </si>
  <si>
    <t xml:space="preserve">De acuerdo con el documento enviado, "Informe 2412008 REV C Odata - Memoria Descriptiva del Sistema de Bombeo", se infiere que aún existen comentarios por subsanar.</t>
  </si>
  <si>
    <t xml:space="preserve">90C</t>
  </si>
  <si>
    <t xml:space="preserve"> Revisando documentos de transmisión ACC #8048 se adjuntan comentarios en documento "Informe 2412008, Odata, Memoria Descriptiva Sistema de Bombeo Recolección de Derrames"</t>
  </si>
  <si>
    <t xml:space="preserve">90E</t>
  </si>
  <si>
    <t xml:space="preserve">Complementando las respuestas enviadas por CyD con fecha 29-01-25 y 27-02-25, tenemos las siguientes observaciones. Existen lecciones aprendidas de proyecto diesel etapa Opel (que aún no tiene pendientes y no ha sido recibido), las cuales deben ser incorporadas por FL en etapa Omega. Considerando que la ingeniería fue desarrollada por Fleischmann, es responsabilidad de FL la ejecución y funcionalidad del sistema.</t>
  </si>
  <si>
    <t xml:space="preserve">91.-</t>
  </si>
  <si>
    <t xml:space="preserve">Interferencia Cámara Zona Equans</t>
  </si>
  <si>
    <t xml:space="preserve"> Revisando la propuesta de Fleischmann se observa que al desplazar el cerco 14cm las tapas de cámara 06 y 07 quedan con su tapa despejada, lo cual es lo que se requiere.
Por lo anterior, se acepta propuesta de Fleischmann
En la siguiente imagen se observa la solución propuesta por Fleischmann</t>
  </si>
  <si>
    <t xml:space="preserve">92.-</t>
  </si>
  <si>
    <t xml:space="preserve">Conexion y Memoria de Calculo MAP</t>
  </si>
  <si>
    <t xml:space="preserve"> Comentario ODATA:
"[X] SIN EXCEPCIONES.
ODATA ha revisado este Documento, pero sólo con el propósito de verificar su conformidad con la intención de diseño expresada en los Documentos Contractuales. La acción de ODATA sobre un elemento específico no indica la aprobación de un conjunto del cual el elemento es un componente, ni de un elemento tal como se entrega e instala si no se ajusta a los Documentos Contractuales."</t>
  </si>
  <si>
    <t xml:space="preserve">Solicitud de aprobación solución para vereda Zona 3</t>
  </si>
  <si>
    <t xml:space="preserve">Considerando su solución propuesta #8089 plano FL-ST02-FO-PAV-SPL-GEN-003, se adjunta plano con comentarios, cito:
1) El punto real de quiebre de pavimento debe considerar las placas bases de los pilares de forman parte de las rejas de cierre de Generadores
2) En base a la observación anterior se debe confirmar ancho real de vereda, la que debe dar cumplimiento a la normativa vigente</t>
  </si>
  <si>
    <t xml:space="preserve">93A</t>
  </si>
  <si>
    <t xml:space="preserve">La vereda definida en los cortes enviados por Fleischmann en el plano  FL-ST02-FO-PAV-SPL-GEN-003 Rev02 no cumple con el ancho minimo de veredas de acuerdo a normativa vigente. Adicionalmente las soleras no se consideran parte del ancho útil de la vereda, ya que su función es delimitar la calzada y contener el pavimento.</t>
  </si>
  <si>
    <t xml:space="preserve">93B</t>
  </si>
  <si>
    <t xml:space="preserve">Se solicita garantizar que el ancho libre de la vereda corresponda a 1,20m </t>
  </si>
  <si>
    <t xml:space="preserve">Actualización de plano</t>
  </si>
  <si>
    <t xml:space="preserve">Se solicta incorporar control de cambios en la lamina presentada y detallar la naturaleza de los cambios incorporados 																									</t>
  </si>
  <si>
    <t xml:space="preserve">Convergint-Importación Cámaras Termales</t>
  </si>
  <si>
    <t xml:space="preserve">Se adjunta documento "End User Form - 6A003 thermal camera_SIGHTLOGIX - 61E25078  - po 3181 1_" con firma de Odata para su gestión                                                                                                                                                                     Envio nuevo anexo 02/06</t>
  </si>
  <si>
    <t xml:space="preserve">96.-</t>
  </si>
  <si>
    <t xml:space="preserve">Solicitud de revisión de documentos para montaje de plataforma de carga, para acceso de equipos a SH pares</t>
  </si>
  <si>
    <t xml:space="preserve">Revisados los documentos adjuntos en transmisión ACC #8223 del 13.01.25 no se tienen observaciones de fondo.
Respecto a la forma,
1) la memoria de cálculo fue modificada pero no fue actualizada a RevB</t>
  </si>
  <si>
    <t xml:space="preserve">97.-</t>
  </si>
  <si>
    <t xml:space="preserve">Aprobación de equipo</t>
  </si>
  <si>
    <t xml:space="preserve"> Se aprueba propuesta, favor segurar que sea el mismo modelo instalado fase opel																									</t>
  </si>
  <si>
    <t xml:space="preserve">98.-</t>
  </si>
  <si>
    <t xml:space="preserve">Información de planilla</t>
  </si>
  <si>
    <t xml:space="preserve"> Se solicta enviar formatos utilizados en etapa OPEL para validacion en etapa OMEGA  (Todas las disciplinas) 																									</t>
  </si>
  <si>
    <t xml:space="preserve">99.-</t>
  </si>
  <si>
    <t xml:space="preserve">Solicitud de revisión de memoria de cálculo estructural pasarela en losa 10.000</t>
  </si>
  <si>
    <t xml:space="preserve"> No se especifica la sujeción y su compartamiento del andamio a la losa 10,15. 
La memoria de Calculo del andamio no considera analisis sismico
Enviar plano con andamio acotado con propuesta final</t>
  </si>
  <si>
    <t xml:space="preserve">100.-</t>
  </si>
  <si>
    <t xml:space="preserve">Malla Escalera Acceso Nivel 6.500 a 10.000</t>
  </si>
  <si>
    <t xml:space="preserve"> Se valida malla (Ficha técnica 1G y FT_Malla Harnero #10) para escalera acceso nivel 6.500 a 10.000</t>
  </si>
  <si>
    <t xml:space="preserve">101.-</t>
  </si>
  <si>
    <t xml:space="preserve">Pasarelas para tránsito sobre anillos de losa 6.500</t>
  </si>
  <si>
    <t xml:space="preserve">TTLS #8504 – Observaciones sobre el plano FL-ST02-FO-GEN-GEN-EXT-001 Rev02TTLS #8504 – Observaciones sobre el plano FL-ST02-FO-GEN-GEN-EXT-001 Rev02
Se han identificado las siguientes observaciones en el plano mencionado:
</t>
  </si>
  <si>
    <t xml:space="preserve">101B.-</t>
  </si>
  <si>
    <t xml:space="preserve">Se aprueba solución propuesta en el plano FL-ST02-FO-GEN-GEN-EXT-001 Rev03 . En caso de existir alguna interferencia con las especialidades instaladas en el nivel superior se debe reubicar o buscar la forma de contar con el área libre de transito de acuerdo a los requisitos expuestos por EHS.</t>
  </si>
  <si>
    <t xml:space="preserve">101C.-</t>
  </si>
  <si>
    <t xml:space="preserve">En minuta contractual punto 2,83 con fecha 04-03-25 se solicitó MockUp, cito "JU solicita MockUp de madera para visualizar la solución, AO revisará.". Adjunto además documentos "FL-ST02-FO-GEN-GEN-EXT-004 (Con comentarios CyD)" y "FL-ST02-FO-GEN-GEN-EXT-001 (Con comentarios CyD)" con comentarios, donde un comentario relevante es que no contamos con el detalle de a solución de pasarela para el Colo 1 y 3.</t>
  </si>
  <si>
    <t xml:space="preserve">101D.-</t>
  </si>
  <si>
    <t xml:space="preserve">Revisando los documentos transmitidos mediante ACC #9385</t>
  </si>
  <si>
    <t xml:space="preserve">102.-</t>
  </si>
  <si>
    <t xml:space="preserve">Estudio de coordinación de
 protecciones</t>
  </si>
  <si>
    <t xml:space="preserve">La informacion contenida en el informe será transmitida a lo proveedores de equipos electricos para su implementacion en terreno. 																									
FL debe considerar la iteraciones necesarias de este documento durante y posterior a las pruebas de puesta en marcha de los sistemas. 																									</t>
  </si>
  <si>
    <t xml:space="preserve">Perforación de Marco</t>
  </si>
  <si>
    <t xml:space="preserve">De acuerdo a lo definido en reunión de Ingeniería del 21-02-25 punto 1.39 se indica a Fleischmann que su consulta debe ser enviada a su proveedor de puertas.</t>
  </si>
  <si>
    <t xml:space="preserve">103A</t>
  </si>
  <si>
    <t xml:space="preserve">Realizar esta pasada, tal cual se describe, asegurando eliminar los cantos agudos en la perforación y asegurando que el cable no sufra daños al momento de su tendido </t>
  </si>
  <si>
    <t xml:space="preserve">General</t>
  </si>
  <si>
    <t xml:space="preserve">Levantamiento de Observaciones Ingeniería</t>
  </si>
  <si>
    <t xml:space="preserve">Cantidad extintores SH5</t>
  </si>
  <si>
    <t xml:space="preserve">Las lecciones aprendidas para la etapa Opel deben ser replicadas e incluidas en la etapa Omega. En caso de identificar alguna modificación que impacte el proyecto se debe enviar la consulta, de lo contrario, favor incorporar y plasmar en los planos correspondientes
Al revisar el plano "FL-ST02-FO-FPR-SH5-LV1-002" no cuenta con control de cambios, por lo que no queda claro que es lo que se solicita validar, lo cual ha sido solicitado en las revisiones de ingeniería que se han hecho a la fecha.
Agradeceré incorporar control de cambios y enviar nuevamente para validación, si corresponde
</t>
  </si>
  <si>
    <t xml:space="preserve">Alimentacion del Rectificador Omega</t>
  </si>
  <si>
    <t xml:space="preserve">Se confirma lo señalado por Odata, cito "solicitamos alimentar los rectificadores desde los PMDC 4A y PMDC 4B"
Se solicita a Fleischmann actualizar planos con esta modificación y transmitir mediante plataforma ACC
</t>
  </si>
  <si>
    <t xml:space="preserve">Apertura RMU desde el PMDC y TX</t>
  </si>
  <si>
    <t xml:space="preserve">Favor revisar Informe de Transmisión # 6059 - 013 Transmittal (#6059) Submital Power Schneider, Docvumento ST-C2_221125134-COLO5-LV-DRW-001-R2 (PMDC) y Documento ST-C2_221125134-COLO5-MV-DRW-001-R2 (RMU) (Laminas correspondiente a colo 5, pero que aplican, para efectos de esta consulta, para todos los Equipos en todos los Colos) . Para el caso de transformador en la caja de elequipo existe un unico punto indicado com trip, rotulado para estos efectos. </t>
  </si>
  <si>
    <t xml:space="preserve">Solicitud de validación de Bolardo removible M30 1002101</t>
  </si>
  <si>
    <t xml:space="preserve">Nuestro cliente ha aprobado el bolardo modelo M30 1002101.
Podemos continuar el proceso de construcción para instalarlas, como se indica en el proyecto.</t>
  </si>
  <si>
    <t xml:space="preserve">Cambio alimentacion 125Vcc Equipos de medida UPSP</t>
  </si>
  <si>
    <t xml:space="preserve">"miré la propuesta de ajuste de alimentación y estoy de acuerdo.
Pido atención de Fleischmann para la coordinación de disyuntores y distribución, pero no tengo más comentarios."</t>
  </si>
  <si>
    <t xml:space="preserve">Solicitud de validación de Solución Cielo Falso Salas Electricas 5E y 5D</t>
  </si>
  <si>
    <t xml:space="preserve">Revisando transmisión #9021 tenemos 
En terreno, lo ejecutado no corresponde a lo proyectado en planos enviados en esta RFI
Sala 5D la tapa de la caja terminal del ducto de barras no tiene espacio vertical libre y la tapa abre muy ajustada
Sala 5D especifica yeso cartón, lo cual corresponde a lo ejecutado en terreno 
Sala 5E en terreno se instaló cielo falso y no yeso cartón como indica plano de esta RFI</t>
  </si>
  <si>
    <t xml:space="preserve">Sistema de espuma</t>
  </si>
  <si>
    <t xml:space="preserve">Fleischmann tiene en su alcance el desarrollo de las ingenierías complementarias, y considerando que la modificación propuesta por Fleischmann ya se encuentra ejecutada y validada por Fleischmann, se solicita actualizar memoria descriptiva y respaldos técnicos asociados</t>
  </si>
  <si>
    <t xml:space="preserve">Solicitud de validación de: Memoria de cálculo estructural MC25-021107: Estructura de andamio para torre de acceso Fitout SH5.</t>
  </si>
  <si>
    <t xml:space="preserve">Observaciones a Memoria de cálculo del 11-03-25 documento “MC25-021107”, recibida mediante transmisión ACC #9173</t>
  </si>
  <si>
    <t xml:space="preserve">112A</t>
  </si>
  <si>
    <t xml:space="preserve">Revisando los documentos adjuntos en transmisión ACC #9280 de fecha 18-03-25 no se incluye Memoria de Cálculo. Favor enviar Memoria de Cálculo </t>
  </si>
  <si>
    <t xml:space="preserve">112B</t>
  </si>
  <si>
    <t xml:space="preserve">Revisando los documentos de transmisión ACC #9289 se tiene que el andamio proyectado tiene una altura de 10 metros, favor revisar ya que el acceso a la 6500 tiene una altura menor a 10 metros. Además, el documento de la memoria tiene nombre "MC-Andamios P.Quimica.Laja" lo cual es incorrecto. Se solicita revisar y actualizar con la información correcta</t>
  </si>
  <si>
    <t xml:space="preserve">112C</t>
  </si>
  <si>
    <t xml:space="preserve">Revisando los documentos adjuntos en transmisión ACC #9310 de fecha 20-03-25 tenemos
En esta presentación del documento "MC25-021107" la estructura del andamio se proyecta independiente de las estructuras de losa existentes,sin anclajes a lo existente, lo cual elimina los riesgos por diferencia de rigidez y desde el punto de vista del comportamiento estructural me parece correcto</t>
  </si>
  <si>
    <t xml:space="preserve">Instalación contenedores</t>
  </si>
  <si>
    <t xml:space="preserve">Punto 4.4.1 No se indica en este documento el cálculo ni ubicación de las placas base indicadas, que están destinadas a resistir las cargas laterales. Favor incluir cálculo de placas y plano de montaje
Punto 4.3.3 No se visualiza las cargas puntuales transferidas desde el 2° piso. Favor incluir 
Deformaciones gravitacionales en vigas interiores: 8.3mm deformación cálculo vs 8.33mm deformación máxima permitida. Agradeceré revisar ya que por deformaciones no tiene holgura
Punto 4.4.2 No se visualiza Cargas laterales, mostrar distribución en planta de placas base para cada módulo</t>
  </si>
  <si>
    <t xml:space="preserve">Solicitud de validación Planimetrías especialidad CLIMA (IIMM)</t>
  </si>
  <si>
    <t xml:space="preserve"> Solicitud de validación Planimetrías especialidad PCI</t>
  </si>
  <si>
    <t xml:space="preserve">Solicitud de validación Planimetrías especialidades BMS -TELECOM</t>
  </si>
  <si>
    <t xml:space="preserve">
Se adjunta documento FL-ST02-FO-TEL-COMBINED con observaciones por parte de ODATA Brasil</t>
  </si>
  <si>
    <t xml:space="preserve">Solicitud de validación Planimetrías especialidad Instalaciones Eléctricas (IIEE)</t>
  </si>
  <si>
    <t xml:space="preserve">Solicitud de validación Planimetrías especialidad Obras Civiles (OOCC)</t>
  </si>
  <si>
    <t xml:space="preserve">Memoria de calculo instalación andamio</t>
  </si>
  <si>
    <t xml:space="preserve">Revisando transmisión #9238, y considerando que la estructura de andamios es asimilable a acceso SH5, no se tienen comentarios </t>
  </si>
  <si>
    <t xml:space="preserve">general</t>
  </si>
  <si>
    <t xml:space="preserve">Solicitud de revisión y validación Memoria de cálculoSoporte Eje R</t>
  </si>
  <si>
    <t xml:space="preserve">Considerando las modificaciones que ha sufrido el diseño estructural del soporte eje R, esta RFI queda nula</t>
  </si>
  <si>
    <t xml:space="preserve">Solicitud de revisión  Informe estructural Análisis de falla perno fracturado</t>
  </si>
  <si>
    <t xml:space="preserve">
Favor atender los comentarios y observaciones enviadas en documentos relacionados: 
# 10440 de fecha 03-06-25 - ST02-OMEGA_FL - NC090-O.- FL - Eje R – Omisión de Atiesadores (CERRADA) / 
# 11190 de fecha 25-07-25 - ST02-Omega-FL: NC069-O. - FL -Falla en Soporte Principal del Eje R (rechazada) / 
Fleischmann es responsable de los diseños y ejecución de los trabajos, y debe dar un correcto cierre a los temas pendientes / 
Aún está pendiente la entrega de los planos AsBuilt del eje R</t>
  </si>
  <si>
    <t xml:space="preserve">Solicitud de validación Plano de señaléticas proyecto 21082-ARC-GRL-CMV-MAN-000</t>
  </si>
  <si>
    <t xml:space="preserve">Revisando los documentos de transmisión #9250 se tiene las siguientes observaciones:                                              1)Se observa que la señalética no está ubicada en cada bahía de descarga                                                                    2)Además, la ubicación de las señaléticas se debe ajustar a terreno, ya que frente a Colo 4 existe una pantalla acústica, la cual no se visualiza en el plano de señalética recibido, y las señaléticas se ubican en una posición no visible para el camión con combustible                                                                                                                                 3)Respecto de la señalética en la ubicación del estanque de contención de derrames, se debe revisar ya que en este lugar se extraerá combustible en caso de derrame                                                                                                   4)Queda pendiente por FL revisar la señalética del proyecto Diesel una vez que este proyecto esté finalizado por FL         </t>
  </si>
  <si>
    <t xml:space="preserve">122A.-</t>
  </si>
  <si>
    <t xml:space="preserve">Revisando propuesta enviada en transmisión ACC #11608, la propuesta revisada parece correcta y ajustada al proyecto Diesel Vigente </t>
  </si>
  <si>
    <t xml:space="preserve">Funda tipo espiral para cable</t>
  </si>
  <si>
    <t xml:space="preserve">Se rechaza la propuesta. Se solictata canalización metalixa flexible recubierta en cada terminación. En el caso de interperie debe considerar protección UV</t>
  </si>
  <si>
    <t xml:space="preserve">Solicitud referencia pintura</t>
  </si>
  <si>
    <t xml:space="preserve">La pintura aprobada para los colos 1 y 3 es Sherwin Williams, esmalte sintético semi brillo código SW9169</t>
  </si>
  <si>
    <t xml:space="preserve">Memoria de cálculo y planos de rieles para chillers</t>
  </si>
  <si>
    <t xml:space="preserve">"Aprobado"</t>
  </si>
  <si>
    <t xml:space="preserve">Plataforma trabajo sobre fan wall</t>
  </si>
  <si>
    <t xml:space="preserve">No se tienen comentarios. Cabe señalar que esta plataforma es para alcance de trabajos Liquid Cooling. Cualquier daño a los equipos FanWall relacionados con esta plataforma debe ser resuelto por Fleischmann</t>
  </si>
  <si>
    <t xml:space="preserve">Sensores de flama en generadores SH2, SH4 y SH6</t>
  </si>
  <si>
    <t xml:space="preserve">Se adjunta ficha solicitada                                                                                                                                                                       Cabe señalar que los trabajos de conexión de este sensor ya están en ejecución por Fleischmann para el Colo 4, coordinado con Finning</t>
  </si>
  <si>
    <t xml:space="preserve">Barrera Proteccion PCI Zona 1</t>
  </si>
  <si>
    <t xml:space="preserve">
Revisando transmisión # 9983 - ST02-OMEGA-FL-FL-FO-RFI-N°128A Barrera Proteccion PCI Zona 1 tenemos: 
Se aprueba solución de bolardos marca MetalCalvin modelo "Pilón Extraible 2.0 reforzado"  - 
Se solicita adjuntar ficha técnica completa de "Pilón Extraible 2.0 reforzado". Esta debe indicar el peso de cada bolardo - Memoria de cálculo adjunta es de barrera de contención, y no de bolardos, favor actualizar</t>
  </si>
  <si>
    <t xml:space="preserve">Planilla Puertas y Quincalleria</t>
  </si>
  <si>
    <t xml:space="preserve">El proyecto de seguridad y puertas es alcance de Fleischmann, y se han realizado observaciones en reuniones de ingeniería y por mail, por lo que las observaciones de Odata-CyD ya han sido transmitidas. Si existe alguna duda puntual al respecto agradeceré la puedan enviar para gestionarla.</t>
  </si>
  <si>
    <t xml:space="preserve">cielo </t>
  </si>
  <si>
    <t xml:space="preserve">Se aprueba perfil de aluminio negro </t>
  </si>
  <si>
    <t xml:space="preserve">Memoria calculo tecnofast contenedores</t>
  </si>
  <si>
    <t xml:space="preserve"># 9569 - ST02-OMEGA-FL-RFI 131 Memoria calculo tecnofast contenedores
Revisando, el chequeo de la memoria indica que las fundaciones son de 30cm de altura, por lo que cualquier modificación en la altura altera los cálculos y modifica los supuesto de la memoria de cálculo, por lo que debiera ser actualizada
La solución parece correcta para garantizar la estabilidad estructural de los 2 pisos de contenedores de oficinas. Importante señalar que es responsabilidad de Fleischmann garantizar que los supuestos de cálculo se cumplan en terreno, y que cualquier alteración de lo proyectado con respecto a lo ejecutado en terreno debe ser chequeado y reflejado en una nueva  memoria de cálculo.
Cabe señalar que la propuesta de solución para la estabilidad lateral de la estructura se viene solicitando en RFI-FL-113 (fecha 03-04-25) - RFI137 (fecha 14-04-25) - RFI137A (fecha 15-04-25)</t>
  </si>
  <si>
    <t xml:space="preserve">Plataforma de trabajo para equipo alzahombre eléctrico</t>
  </si>
  <si>
    <t xml:space="preserve">Desde el punto de vista estructural no se tiene observaciones. Se debe tener la aprobación por parte del proveedor del equipo como respaldo </t>
  </si>
  <si>
    <t xml:space="preserve">132A</t>
  </si>
  <si>
    <t xml:space="preserve">Sin respuesta, corregida como 132B.</t>
  </si>
  <si>
    <t xml:space="preserve">132B</t>
  </si>
  <si>
    <t xml:space="preserve">Se rechaza solución, ya que de acuerdo a los antecedentes enviados por FL en # 9755 - "ST02-OMEGA-FL-RFI-FL-132B Plataforma de trabajo para equipo alzahombre eléctrico" el equipo modelo 1930ES no resiste el peso proyectado considerando el peso propio + la sobrecarga de uso.  </t>
  </si>
  <si>
    <t xml:space="preserve">132C</t>
  </si>
  <si>
    <t xml:space="preserve">
Revisando la memoria de cálculo se observa que el cálculo presentado - 213,07kg - NO sobrepasa la carga máxima especificada por el proveedor W&amp;L, que es 227 kg, por lo que se aprueba solución.</t>
  </si>
  <si>
    <t xml:space="preserve">132D</t>
  </si>
  <si>
    <t xml:space="preserve">Aprobado con los comentarios indicados en respuesta a RFI-FL-132C</t>
  </si>
  <si>
    <t xml:space="preserve">Pasadas especialidad Clima (IIMM) SH2 hacia Losa 6.500</t>
  </si>
  <si>
    <t xml:space="preserve">Lo conversado con Alejandro Olivos fue chequear si el soporte de aguas lluvia va a requerir refuerzo, ya que los recorridos de aguas lluvia fueron modificados por Flesichmann, y aún está pendiente el plano modificado y la memoria de cálculo si corresponde</t>
  </si>
  <si>
    <t xml:space="preserve">actualizacion de planos </t>
  </si>
  <si>
    <t xml:space="preserve"># 9631 - st02-omega-FL-RFI 134 ACTUALIZACIÓN PLANO DETALLE PUERTA 201. Aprobado</t>
  </si>
  <si>
    <t xml:space="preserve">ubicación de rack </t>
  </si>
  <si>
    <t xml:space="preserve">Se debe instalar de acuerdo a loc indicado en ingenieria LZA 
Verificar las interferencias que puedan existir con valvular de maniobra de sistema de Climatización </t>
  </si>
  <si>
    <t xml:space="preserve">Solución para sello ignífugo e impermeable para pasadas de climatización que conectan al Chiller entre  la losa 6500 a losa 10.000</t>
  </si>
  <si>
    <t xml:space="preserve">Se solicita revisar y garantizar que las características de compresion y expansión de los productos propuestos como solución son adecuadas al volumen a cubrir y las temperaturas de sitio y operación, de manera de garantizar la estanqueidad y estabilidad en el tiempo de los sellos</t>
  </si>
  <si>
    <t xml:space="preserve">memoria de calculo tecnofast</t>
  </si>
  <si>
    <t xml:space="preserve">Revisando la memoria de cálculo recibida en #9649 de fecha 11-04-25, RFI-FL-137 tenemos que no fueron resueltas en un 100% las observaciones enviadas en #9498, por lo que se solicita revisar uno a uno los puntos observados.</t>
  </si>
  <si>
    <t xml:space="preserve">137A</t>
  </si>
  <si>
    <t xml:space="preserve">En esta nueva Memoria de Cálculo recibida se modifica la altura de los escastillones a 30cm (máximo) y se incorpora los topes de madera con tirafondo, pero no se resuelven las consultas enviadas en RFI113 y RFI137. Se solicita responder a las consultas enviadas, donde las observaciones están en la línea de dar seguridad de que lo ejecutado en terreno es seguro para sus ocupantes.</t>
  </si>
  <si>
    <t xml:space="preserve">137B</t>
  </si>
  <si>
    <t xml:space="preserve">
Rechazado  
Memoria de cálculo no refleja lo instalado en terreno con fecha 26-04-25</t>
  </si>
  <si>
    <t xml:space="preserve">137C</t>
  </si>
  <si>
    <t xml:space="preserve">
Revisión "# 9954 - ST02-OMEGA-FL-RFI-FL-137C Memoria calculo tecnofast" de fecha 30-04-25. memoria de cálculo "930024537-MC-EST-002-rF[11]" rev F</t>
  </si>
  <si>
    <t xml:space="preserve">137D</t>
  </si>
  <si>
    <t xml:space="preserve">Cabe señalar que las observaciones enviadas en revisiones anteriores de esta RFI no fueron respondidas y FL se ha limitado a enviar actualizaciones de Memoria de cálculo.
Memoria de cálculo indica 12 fundaciones por contenedor, lo cual fue ejecutado en terreno, ok
Considerando que la memoria RevF indica que los pernos tirafondo están calculados a corte puro, se solicita replicar refuerzos de madera de 2"x8" en el lado corto de los contenedores</t>
  </si>
  <si>
    <t xml:space="preserve">plataforma andamios IIFF</t>
  </si>
  <si>
    <t xml:space="preserve">No se tienen observaciones </t>
  </si>
  <si>
    <t xml:space="preserve">Solicitud de validación Spill Kits</t>
  </si>
  <si>
    <t xml:space="preserve">Alternativa propuesta por Fleischmann se encuentra con V°B° de Odata, por lo que no se tiene observaciones</t>
  </si>
  <si>
    <t xml:space="preserve">140.- </t>
  </si>
  <si>
    <t xml:space="preserve">Grating Generadores Server Hall Pares</t>
  </si>
  <si>
    <t xml:space="preserve">Se observa que se modifica ubicación de la escalera para evitar interferencia con puertas de los generadores, lo cual no debe afectar el plan de emergencia ni la cantidad de vías de evacuación</t>
  </si>
  <si>
    <t xml:space="preserve">140A.-</t>
  </si>
  <si>
    <t xml:space="preserve">"Se debe respetar la separación máxima de 1.25 entre soportes de gratting ARS-3-."</t>
  </si>
  <si>
    <t xml:space="preserve">Esquema de impermeabilización bases Chillers</t>
  </si>
  <si>
    <t xml:space="preserve">141A.-</t>
  </si>
  <si>
    <t xml:space="preserve">El esquema propuesto NO está de acuerdo a lo indicado por el experto de Improyect, ya que falta una capa de Impercrom Flex</t>
  </si>
  <si>
    <t xml:space="preserve">142.-</t>
  </si>
  <si>
    <t xml:space="preserve">GENERAL </t>
  </si>
  <si>
    <t xml:space="preserve">Memoria de cálculo OI-25022 - MDC Plataforma Cambio</t>
  </si>
  <si>
    <t xml:space="preserve">
Revisión de transmisión #9917 de fecha 28-04-25</t>
  </si>
  <si>
    <t xml:space="preserve">142A.-</t>
  </si>
  <si>
    <t xml:space="preserve">
Ver respuesta a RFI-FL-142B</t>
  </si>
  <si>
    <t xml:space="preserve">142B.-</t>
  </si>
  <si>
    <t xml:space="preserve">Revisión de transmisión #9917 de fecha 28-04-25
La materialidad del tablero de madera debe ser placa terciado liso 18mm según indica la memoria de cálculo
La luz máxima de la plataforma es de 2m como máximo entre apoyos 
Separación de soportes de madera espaciamento máximo 45cm según MC</t>
  </si>
  <si>
    <t xml:space="preserve">Protección Sensores  6.500 y 10.000</t>
  </si>
  <si>
    <t xml:space="preserve">Ubicación de cabeceras en Racks</t>
  </si>
  <si>
    <t xml:space="preserve">Se debe mantener la propuesta indicada en RFI-FL-020 DISTRICUCIÓN SALA ODATA SPACE</t>
  </si>
  <si>
    <t xml:space="preserve">Solicitud Datasheets, Submital y Drawings nuevos Chiller SH Pares</t>
  </si>
  <si>
    <t xml:space="preserve">Se adjunta: 
1_ Manual Chiller actualizado                                                                                                                                                            2_ DataSheet Bomba y Chiller                                                                                                                                                   3_Planos Contructivos (Dimensiones actualizadas)                                                                                                                       4_ Manual Bomba</t>
  </si>
  <si>
    <t xml:space="preserve">Convergint-Planilla para Preconfiguración Switch</t>
  </si>
  <si>
    <t xml:space="preserve">Se solicita transmitir al integrador de Sistema de Seguridad aprobado por el clinete final la planilla suministrada a travez del siguiente Link - https://docs.google.com/spreadsheets/d/16k3UbHKKQ9ModNJqo4VlDf_8Qpqj6n-OZdGTuS5My20/edit?gid=1416232133#gid=1416232133</t>
  </si>
  <si>
    <t xml:space="preserve">Desmonte de válvulas angulares, red seca </t>
  </si>
  <si>
    <t xml:space="preserve">Se adjuntan planos con propuesta de deshabilitación de red seca aprobada por ASYP para su ejecución                                                                  Se adjunta además mail con aprobación de Odata</t>
  </si>
  <si>
    <t xml:space="preserve">Pintura cielo (Losa colaborante) Losa 6500</t>
  </si>
  <si>
    <t xml:space="preserve">Las pinturas se deben ejecutar según planos de arquitectura y especificaciones técnicas "2022-04-06 ESPMD001.2021 - [Especificación Técnica Arquitectura"</t>
  </si>
  <si>
    <t xml:space="preserve">Cambio de cotas entre bolardos M30 extraibles</t>
  </si>
  <si>
    <t xml:space="preserve">Favor complementar y enviar RFI-149A indicando todas las dimensiones, incluyendo el ancho totalo del portón conforme a lo ejecutado y existente en terreno</t>
  </si>
  <si>
    <t xml:space="preserve">149A.-</t>
  </si>
  <si>
    <t xml:space="preserve">Se aprueba la propuesta de distanciamiento de Bolardos M30, que considera un espacio libre máximo de 1,478m según se observa en plano recibido. Cualquier modificación en las distancias debe ser informada y sometida a una nueva revisión por parte de CyD-Odata</t>
  </si>
  <si>
    <t xml:space="preserve">Factor de potencia</t>
  </si>
  <si>
    <t xml:space="preserve">Se debe considerar en general como FP: 0,92 y FD: 1 para carga de Baja tensión. 
Lo anterior no aplica para cargas asociadas a instalaciones provenientes de ductos de barra 1000A pertenecientes al alcance de Fit Out.</t>
  </si>
  <si>
    <t xml:space="preserve">Impermeabilización patas de soportes</t>
  </si>
  <si>
    <t xml:space="preserve">Favor revisar las soluciones definidas con Fleischmann, las cuales se encuentran registradas en "01 - Acta de la reunión - Losa de impermeabilización 6.500 (Estanhol)" enviada por mail con fecha 16-02-24. Una vez revisada las soluciones se solicita enviar la solución técnica para aprobación</t>
  </si>
  <si>
    <t xml:space="preserve">Información Posición de tableros AHU SH2</t>
  </si>
  <si>
    <t xml:space="preserve">Cierre de operaciones no amerita cambio de posición definida por proyecto. Por interferencia con acceso a AHU-MNR y operabilidad de tableros se dispone que:
Se modifica la posición original de tableros teniendo las siguientes consideraciones:
D1: Debe tener mínimo 1 [m] para asegurar la apertura de tableros.
D2: Se mantiene según posición original.
D3: Se mantiene según posición original.
Para cumplir esto se debe modificar el cierre de operaciones.
Revisar Anexos Fichas para ver detalle de dimensiones.
Antecedentes adicionales:
DWG: 21082-MEC-HVN-ROF-002
DOC: SP13F001E--09 1725027602603
DOC: Ficha Técnica168224-CL020620</t>
  </si>
  <si>
    <t xml:space="preserve">Instalación Circle Lock sector Customer Trap -2</t>
  </si>
  <si>
    <t xml:space="preserve">Ver respuesta a RFI-FL-153A"</t>
  </si>
  <si>
    <t xml:space="preserve">153A.- </t>
  </si>
  <si>
    <t xml:space="preserve">Se puede observar en la planta que entre la pared y la mocheta no existe espacios vacíos. El tabique debe cumplir con la resistencia al fuego del recinto, que es F60</t>
  </si>
  <si>
    <t xml:space="preserve">154.-</t>
  </si>
  <si>
    <t xml:space="preserve">Ubicación de Tableros Q.A</t>
  </si>
  <si>
    <t xml:space="preserve">Se acepta propuesta</t>
  </si>
  <si>
    <t xml:space="preserve">155.-</t>
  </si>
  <si>
    <t xml:space="preserve">Conexión a tierra Connex de SDC a trincheras</t>
  </si>
  <si>
    <t xml:space="preserve">Se solicta adicionar una barra de las mismas caracteristicas a la existente en la Celda dle Tie entre SDC 1 y 2. Lo anterior unido por extenciones de las tomas de tierra existente</t>
  </si>
  <si>
    <t xml:space="preserve">Propuesta Cierre Perimetral 1,3m Acmafor</t>
  </si>
  <si>
    <t xml:space="preserve">Se aprueba propuesta de reja perimetral malla acmafor de 1,3 de altura.                                                                             Se deben enviar las fichas técnicas para revisar detalles constructivos</t>
  </si>
  <si>
    <t xml:space="preserve">156A.-</t>
  </si>
  <si>
    <t xml:space="preserve">No se tienen comentarios  / 
Sin embargo, creo conveniente ejecutar Mockup para revisar in-situ si la solución implementada es correcta. / 
Complementar con respuesta a RFI-FL-175, ya que la profundidad de las fundaciones del cerco debe ser ajustada a las cotas de terreno, garantizando su estabilidad</t>
  </si>
  <si>
    <t xml:space="preserve">Planos especialidad BMS - TELECOM, actualizados</t>
  </si>
  <si>
    <t xml:space="preserve">Ver respuesta a # 11527 - ST02-Omega-RFI: 169.- RFI-FL-169 Aprobación de Planos Comunicaciones (TELECOM) Para el caso de automatización, se tiene que en transmisión #11398 hay 47 planos, mientras que en #10619 hay 38 planos.                                                                                                                                                                                             Favor revisar esta discrepancia, y junto con los planos enviar en la misma transmisión el "Log de Planos" actualizado</t>
  </si>
  <si>
    <t xml:space="preserve">Memoria de cálculo y planos de plataforma liquid cooling</t>
  </si>
  <si>
    <t xml:space="preserve"># 10658 - ST02-OMEGA-FL-RFI-158 Memoria de cálculo y planos de plataforma liquid cooling Sin comentarios: Cabe señalar que estas plataformas actualmente se encuentran en armado para pasillo 2,2 y 4,1, por lo que se debe chequear en terreno el correcto armado respecto a planos, esto por personal espacializado y capacitado para este efecto - En caso de cambio de proveedor se debe actualizar la documentación</t>
  </si>
  <si>
    <t xml:space="preserve">Memoria de cálculo anclajes de AHU</t>
  </si>
  <si>
    <t xml:space="preserve">Los planos adjuntos en dicha transmisión fueron suprimidos por Fleischmann / 
Considerando que todas las AHU ya están montadas en terreno, se solicita entregar planos AsBuilt que confirmen los supuestos de cálculo de INGESIS</t>
  </si>
  <si>
    <t xml:space="preserve">Aprobación de Planos BMS</t>
  </si>
  <si>
    <t xml:space="preserve">Revisando la transmisión # 10737 - ST02-OMEGA-FL-RFI-160 Aprobación de Planos BMS no se encuentran los planos que requieren aprobación                                                                                                                                                   Se solicita enviar la RFI nuevamente, con los planos adjuntos</t>
  </si>
  <si>
    <t xml:space="preserve">160A</t>
  </si>
  <si>
    <t xml:space="preserve">Se adjunta documento FL-ST02-FO-AUT-COMBINED con observaciones por parte de Ingeneiria ODATA Brasil</t>
  </si>
  <si>
    <t xml:space="preserve">160B</t>
  </si>
  <si>
    <t xml:space="preserve">Las versiones presentadas se encuentran aprobadas </t>
  </si>
  <si>
    <t xml:space="preserve">Aprobación de Planos Seguridad Electronica</t>
  </si>
  <si>
    <t xml:space="preserve">Revisando la transmisión "# 10739 - ST02-OMEGA-FL-RFI-161 Aprobación de Planos Seguridad Electronica" no se encuentran los planos que requieren aprobación                                                                                                                      Se solicita enviar la RFI nuevamente, con los planos adjuntos</t>
  </si>
  <si>
    <t xml:space="preserve">161A</t>
  </si>
  <si>
    <t xml:space="preserve">Se adjunta comentarios, de parte de Ingenieria ODATA Brasil, en documento FL-ST02-FO-SEG-COMBINED adjunto</t>
  </si>
  <si>
    <t xml:space="preserve">161B</t>
  </si>
  <si>
    <t xml:space="preserve">Soportes Liquid Cooling</t>
  </si>
  <si>
    <t xml:space="preserve">Soportes y Arriostres Pasillo Eje R</t>
  </si>
  <si>
    <t xml:space="preserve">Ser revisa documentos incluidos en transmisión # 10850 - ST02-OMEGA-FL-RFI-N°163 Soportes y Arriostres Pasillo Eje R y B (Colo 5): Eje B. La memoria de cálculo "OI-25011-D-MDC Soporte Bandejas Electricas Eje R" no concuerda con el plano "25021-A-101-Soporte Bandejas Electricas - Arriostramientos.pdf", lo cual debe ser revisado y corregido según lo real ejecutado en terreno /Eje B. Se solicita incorporar en planos AsBuilt los ojos chinos ejecutados en terreno</t>
  </si>
  <si>
    <t xml:space="preserve">MF sistema Diesel etapa Opel</t>
  </si>
  <si>
    <t xml:space="preserve">164A</t>
  </si>
  <si>
    <t xml:space="preserve">164B</t>
  </si>
  <si>
    <t xml:space="preserve">Ubicación de Lector de Iris</t>
  </si>
  <si>
    <t xml:space="preserve">Se rechazan las tres propuestas indicadas, ya que de acuerdo a los antecedentes presentados, existe posibilidad de ejecutar la instalación del dispositivo consultado en la ubicación indicada en planos a una distancia equivalente a la instalación que se presenta para la opción 1</t>
  </si>
  <si>
    <t xml:space="preserve">Placa de Puerta</t>
  </si>
  <si>
    <t xml:space="preserve">
Se aprueba la muetra con los siguinetes comentarios:                                                                                                                _Se solicita que placa protectora posea el mismo esquema de pintura que la estructura de la puerta                            _ Se solicita que la fabricacion sea bajo el mismo estandar contructivo de la puerta (no fabricar o dar acabados con herraminetas manuales)                                             
_ Se solicita que ODIS documente por escrito que la solución implementada no compromete la certificacion de resistencia al fuego que poseen las puertas</t>
  </si>
  <si>
    <t xml:space="preserve">Alimentación Tablero Sub-Estación</t>
  </si>
  <si>
    <t xml:space="preserve">
Revisando RFI #11158 tenemos 
Respuesta de Odata La conexión se puede realizar en tablero mostrado en la siguiente imagen</t>
  </si>
  <si>
    <t xml:space="preserve">Estructura metálica muro acústico</t>
  </si>
  <si>
    <t xml:space="preserve">Se solicita:                                                                                                                                                                                                    Definir si será esmalte sintético o Esmalte epóxico vehícular                                                                                                Indicar cantidad de capaz de pintura                                                                                                                                            No queda claro si la recomendación del proveedor considera el anticorrosivo ya aplicado                                                       Adjuntar ficha técnica de anticorrosivo</t>
  </si>
  <si>
    <t xml:space="preserve">168A</t>
  </si>
  <si>
    <t xml:space="preserve">
Aprobado  
NOTA: Se debe cumplir el plan de inspección y ensayos definido para esta actividad in-situ</t>
  </si>
  <si>
    <t xml:space="preserve">Aprobación de planos Comunicaciones</t>
  </si>
  <si>
    <t xml:space="preserve">
Revisando la transmisión "# 11398 - ST02-OMEGA-FL-Log de Planos" se incluyen 13 documentos, mientras que en esta RFI se adjuntan 11 planos. Revisar discrepancia / Se envian observaciones de Odata a los planos de TELECOM, mail "ST02_OMEGA_FL_Validaciónde ingeniería TELECOM Proyecto OMEGA", con link compartido por Odata a Fleischmann / # 10619 - ST02-OMEGA-FL-RFI-FL-157 Planos especialidad BMS - TELECOM, actualizados también incluye planos de Telecom para revisión y validación, por lo que se entiende queda nula la RFI157, favor confirmar</t>
  </si>
  <si>
    <t xml:space="preserve">169A.-</t>
  </si>
  <si>
    <t xml:space="preserve">Nueva trazabilidad en línea de HDPE que alimenta gabinete N°49</t>
  </si>
  <si>
    <t xml:space="preserve">
Según lo visualizado en terreno en forma conjunta, el recorrido de la línea de HDPE que alimenta el gabinete de la Red de Incendios es paralelo a la vereda existente</t>
  </si>
  <si>
    <t xml:space="preserve">OOCC</t>
  </si>
  <si>
    <t xml:space="preserve">Protección Lluvia Alimentadores Chillers</t>
  </si>
  <si>
    <t xml:space="preserve">
La pantalla propuesta no evita que el agua ingrese siguiendo el recorrido del cable, el cual funciona como una guia para el agua / 
Además, el borde del shaft no cuenta con algún elemento que impida la entrada de agua por escurrimiento superficial, lo cual no se soluciona con la pantalla propuesta / Al revisar los sellos con espuma ejecutados en terreno y la disposición de los cables, se puede observar que es posible mejorar el procedimiento de sellado, por lo que se solicita evaluar el sello de espuma con el proveedor especialista para mejorar el procedimiento de ejecución</t>
  </si>
  <si>
    <t xml:space="preserve">Cambio de dimensión en superficie de grating SH2 A, cambio de posición escalera</t>
  </si>
  <si>
    <t xml:space="preserve">Revisando plano FL-ST02-FO-FPH-LV1-159 rev.1, Subido el 12/08/25 transmisión #11446 no concuerda con lo indicado en plano 
1800-PS-PLA-002 #5523 Expediente Recepción Definitiva Parcial. Las dimensiones de esta parrilla deben cumplir con lo especificado en plano 1800-PS-PLA-001 enviado a FL en "# 5523 - ST02 Omega FL - 004 Transmittal (#) Expediente Recepción Definitiva Parcial", respetando los anchos libres de circulación mínimos aprobados por la DOM, ajustándose a lo existente </t>
  </si>
  <si>
    <t xml:space="preserve">172A.-</t>
  </si>
  <si>
    <t xml:space="preserve">"Las dimensiones de esta parrilla deben cumplir con lo especificado en plano 1800-PS-PLA-001 enviado a FL en "# 5523 - ST02 Omega FL - 004 Transmittal (#) Expediente Recepción Definitiva Parcial", respetando los anchos libres de circulación mínimos aprobados por la DOM, ajustándose a lo existente " Lo anterior se complementa con el siguiente mail, donde se aclara la duda sobre el ancho del pasillo a nivel de radier.</t>
  </si>
  <si>
    <t xml:space="preserve">Distribucion de extintores en losa +10000</t>
  </si>
  <si>
    <t xml:space="preserve">Los antecedentes disponibles corresponden a los entregados en el proceso de Licitación; Cabe señalar que las Ingenierías Complementarias del proyecto forman parte del Alcance de Fleischmann / Se debe considerar las normativas técnicas aplicables para obtener el detalle y tipo de extintores requeridos </t>
  </si>
  <si>
    <t xml:space="preserve">Inhabilitación de red seca en gabinetes +6500 y zona administrativa</t>
  </si>
  <si>
    <t xml:space="preserve">Se aprueba propuesta para losa 6500. Importante señalar que en la losa 6500 existen 3 casos particulares distintos, los cuales deben ser incluidos en plano AsBuilt una vez ejecutados / Para el caso del edificio Administrativo se debe asegurar que las personas no tengan acceso a la Red Seca</t>
  </si>
  <si>
    <t xml:space="preserve">SOLICITUD DE APROBACIÓN DE CANALETAS DE AGUAS LLUVIA</t>
  </si>
  <si>
    <t xml:space="preserve">Revisando su propuesta recibida mediante #11723 tenemos / 
La condición actual de terreno es la que se muestra en la imagen / 
En caminatas de los lunes se ha solicitado ejecutar un Mockup que incorpore la reja de 1,3m para poder visualizar la pendiente real del tramo en cuestión y evaluar si realmente se requiere instalar una canaleta / 
Quedamos atentos a la ejecución del Mockup para poder definir la solución </t>
  </si>
  <si>
    <t xml:space="preserve">SOLICITUD DE REVISIÓN Y VALIDACIÓN ANDAMIO TIPO TORRE EXTERIOR PARA INGRESO A LOSAS 6.500 , LOSA 10.000 Y SH5</t>
  </si>
  <si>
    <t xml:space="preserve">Se sollicita que la solución considere la separación total del área de construcción y operaciones, para lo cual se debe prolongar el cierro según se indica / 
Se solicita considerar una vía de evacuación expedita y de ancho normativo, conforme a la dotación máxima proyectada / Se debe reposicionar la salida de esta escalera para permitir una segregación de operaciones y construcción</t>
  </si>
  <si>
    <t xml:space="preserve">176A.-</t>
  </si>
  <si>
    <t xml:space="preserve">Se solicita revisar y confirmar que la estructura de la escalera existente que conecta la 6500 con la 10000 NO se verá afectada estructuralmente al acoplar la torre de andamios  / Se debe reposicionar la salida de esta escalera para permitir una segregación de operaciones y construcción / 
Se reitera lo indicado en respuesta a RFI176</t>
  </si>
  <si>
    <t xml:space="preserve">Ubicación de Poste</t>
  </si>
  <si>
    <t xml:space="preserve">Se solicita indicar en un plano la nueva ubicación, acotando la distancia, ya que en su presentación no queda claro.</t>
  </si>
  <si>
    <t xml:space="preserve">177A.-</t>
  </si>
  <si>
    <t xml:space="preserve">Se solicita informar la siguiente distancia para poder hacer la consulta a Odata. Sin esta distancia NO es posible tramitar aprobación de la propuesta  / 
Favor enviar RFI177B con la indicación clara de la nueva ubicación propuesta con respecto a la ubicación de poste de Proyecto de Security aprobado por el Cliente </t>
  </si>
  <si>
    <t xml:space="preserve">177B.-</t>
  </si>
  <si>
    <t xml:space="preserve">Si lo que iindico en mail es correcto, favor enviar plano que muestre la modificación de proyecto propuesta para validar con el Cliente</t>
  </si>
  <si>
    <t xml:space="preserve">177C.-</t>
  </si>
  <si>
    <t xml:space="preserve">Cito respuesta de Ing. Brasil ODATA: Ya empezamos el proceso de chequeo con el cliente ya que es un punto de seguridad que ellos deben ser consultados. Voy a tentar adelantar la respuesta de la RFI llamando una junto, pero a mí me gustaría tener un plano con la trayectoria de la tubería que fue responsable por el ajuste junto con la ubicación de camaras del proyecto y la nueva propuesta.  Todo en un solo plano para que si quede claro. Favor suministrar plano que muestre las interferencias con tuberias de red agua.  </t>
  </si>
  <si>
    <t xml:space="preserve">Screenshot cámaras CCTV Server Hall 4</t>
  </si>
  <si>
    <t xml:space="preserve">Screenshot cámaras CCTV Server Hall 5</t>
  </si>
  <si>
    <t xml:space="preserve">Las imagenes adjuntas mantienes registros que no conversan con la dispocición indicada en planos y otras se ecneuntran sin registro / 
CE5A-001/CE5B-001/CE5C-001/CE5D-001/CE5E-001: Orientación no según plano  - 
CE5E-002: Visión obstruida por luminarias - CE5A-003/CE5B-003/CE5C-003/CE5D-003/CE5E-003: Orientación no según plano + visión obstruida por luminarias - CG5X-00X: Falta registro de camaras ubicado en eje a'</t>
  </si>
  <si>
    <t xml:space="preserve">179A</t>
  </si>
  <si>
    <t xml:space="preserve">Screenshot cámaras CCTV Server Hall 2</t>
  </si>
  <si>
    <t xml:space="preserve">Revisión y validación de solución para pernos de anclaje Chiller</t>
  </si>
  <si>
    <t xml:space="preserve">La memoria de cálculo de AMCS no fue transmistida a CyD, solo cargada en ACC con fecha 28-08-25, y se asume que es esta versión a la que hace referencia el documento "OI-25070 - MDC Pernos Anclaje Inclinados Chiller", la cual fue usada por Ochagavía como dato de entrada </t>
  </si>
  <si>
    <t xml:space="preserve">181A.-</t>
  </si>
  <si>
    <t xml:space="preserve">
Revisando documentos de transmisión ACC #12018 tenemos  / Los soportes se deben instalar en pares Norte - Sur para poder compenzar los esfuerzos - Se debe seguir las recomendaciones constructivas en cuanto a soldadura del soporte y dilataciones indicada en la memoria de cálculo de Ochagavia - No se debe soldar en terreno, para no generar transferencia de calor a los amortiguadores, de manera que estos no tengan intervención en sus condiciones estructurales y no afectar las garantías del equipo - Se debe validar con Ochagavía la distancia mínima de instalación de los pernos con respecto al borde de la fundación, para no ubicar los pernos en el "cono de desgarro". La distancia mínima de instalación del perno debe ser consultada a Ochagavia</t>
  </si>
  <si>
    <t xml:space="preserve">Propuesta mejoramiento de terminaciones y sellos de pasadas eje S.</t>
  </si>
  <si>
    <t xml:space="preserve">Las alternativas de solución revisadas en terreno en conjunto con Fleishcmann consideran: Reemplazo de panel en toda su altura, dañado  por mala ejecución de pasada de BPC / Instalar parche de panel roca, y sobre este instalar una plancha completa de la misma tipología, tamaño y color, sobrepuesta a panel existente / Instalar parche de panel roca, y sobre este una tapa del mismo tipo y color logrando la continuidad del revestimiento</t>
  </si>
  <si>
    <t xml:space="preserve">182A.-</t>
  </si>
  <si>
    <t xml:space="preserve">Los criterios de ejecución ya fueron definidos en respuesta enviada el 01-10-25, y fueron conversados y aclarados en reuniones presenciales con Alejandro Olivos, Leonardo Toledo y Roberto Meirelles / Se solicita entregar protocolos de ejecución que sean claros, apuntando en garantizar la resistencia al fuego requerida RF120.</t>
  </si>
  <si>
    <t xml:space="preserve">Planos de los Grating del SH6 y memoria de cálculo asociada</t>
  </si>
  <si>
    <t xml:space="preserve">No se tienen observaciones. Los planos enviados no contienen control de cambios, 
Es responsabilidad de Fleischmann el diseño de ingeniería conforme al alcance de su Contrato, así como la coordinación de este diseño con lo existente en terreno, con especial atención al acceso a las cámaras de Proyecto Diesel, las cuales no se visualizan en los planos presentados</t>
  </si>
  <si>
    <t xml:space="preserve">Aprobación documentacion WN Desplazamiento de postes que soportan escalerilla porta conductores</t>
  </si>
  <si>
    <t xml:space="preserve">Los antecedentes recibidos se encuentran enviados a Operaciones a la espera de aprobación de la WN</t>
  </si>
  <si>
    <t xml:space="preserve">Propuesta de instalación de Placa metálica (forro) de las pantallas de los equipos Chiller</t>
  </si>
  <si>
    <t xml:space="preserve">
#12286. En su propuesta se observa que la placa es completa y sin aberturas lo cual es correcto / 
Cabe señalar que esta solución fue enviada por Fleischmann a Jesús, el cual aprobó su solución mediante mail del 17-10-25</t>
  </si>
  <si>
    <t xml:space="preserve">
Mejora de cámara de seguridad ejes S</t>
  </si>
  <si>
    <t xml:space="preserve">Gabinetes porta extintores</t>
  </si>
  <si>
    <t xml:space="preserve">Al revisar los planos de licitación, se confirma su afirmación, está proyectado un gabinete para los extintores exteriores, de acuerdo a normativa vigente DTO594 Art 49</t>
  </si>
  <si>
    <t xml:space="preserve">Encuentro Cerco 1,3m con Cerco Cochrane en porton 3</t>
  </si>
  <si>
    <t xml:space="preserve">Revisando la propuesta recibida en transmisión ACC #12956 su propuesta parece correcta, y alineada con los planos 21082-ARC-GEN-FEN-000 y 21082-ARC-GEN-FEN-002. Pendiente:Se debe incluir en plano AsBuilt el detalle final</t>
  </si>
  <si>
    <t xml:space="preserve">188B.-</t>
  </si>
  <si>
    <t xml:space="preserve">Encuentro Cerco 1,3m con Cerco Cochrane en porton 4</t>
  </si>
  <si>
    <t xml:space="preserve">Revisando la propuesta recibida en transmisión ACC #13109, se debe actualizar los planos ya que el cierro de 1,3m se reemplazó por un cierro de 2m</t>
  </si>
  <si>
    <t xml:space="preserve">Enchufe retractil</t>
  </si>
  <si>
    <t xml:space="preserve">Se debe mantener misma condición de Colos 3 y 1 </t>
  </si>
  <si>
    <t xml:space="preserve">Solución para torque de los pernos de las placas de anclaje de los amortiguadores de los Chiller</t>
  </si>
  <si>
    <t xml:space="preserve">Se solicita a Fleischmann evaluar con su calculista si estructuralmente el sistema presenta riesgos de falla, considerando que
1) Con la instalación del LOCTITE la tuerca funciona como un tope y no como un elemento que asegure el torque, se solicita chequear los esfuerzos de corte considerando esta condición (rotura por fatiga)
2) Incorporar en los cálculos la existencia de la membrana asfáltica, la cual modifica el roce-contacto entre elementos</t>
  </si>
  <si>
    <t xml:space="preserve">Solicitud Planos As Built Paisajismo primera etapa</t>
  </si>
  <si>
    <t xml:space="preserve">"Respuesta a transmisión ACC #13150 de fecha 14-01-26
Su consulta fue respondida en reuniones contractuales y mediante mail el día 20-01-26 asunto ""Proyecto Original paisajismo"", cito:"</t>
  </si>
  <si>
    <t xml:space="preserve">Desplazamiento de los lectores de iris</t>
  </si>
  <si>
    <t xml:space="preserve">Pintura Angulos de Proteccion Fan Wall</t>
  </si>
  <si>
    <t xml:space="preserve">Se aprueba terminación de ángulos de protección FanWall color RAL9003</t>
  </si>
  <si>
    <t xml:space="preserve">Correlativo </t>
  </si>
  <si>
    <t xml:space="preserve">N° de informe 
semanal </t>
  </si>
  <si>
    <t xml:space="preserve">N° TRANSMITTAL</t>
  </si>
  <si>
    <t xml:space="preserve">Título</t>
  </si>
  <si>
    <t xml:space="preserve">Archivo</t>
  </si>
  <si>
    <t xml:space="preserve">Empresa remitente</t>
  </si>
  <si>
    <t xml:space="preserve">Creado el</t>
  </si>
  <si>
    <t xml:space="preserve">Ruta</t>
  </si>
  <si>
    <t xml:space="preserve">Mensaje</t>
  </si>
  <si>
    <t xml:space="preserve">Columna1</t>
  </si>
  <si>
    <t xml:space="preserve">Informe semanal 21</t>
  </si>
  <si>
    <t xml:space="preserve">Obras civiles</t>
  </si>
  <si>
    <t xml:space="preserve">INFORME TRANS. ENV.</t>
  </si>
  <si>
    <t xml:space="preserve">6522</t>
  </si>
  <si>
    <t xml:space="preserve">ST01-PR-RFI 054 Solicitud de aprobación estructura de andamio nivel 6500 a nivel 10000</t>
  </si>
  <si>
    <t xml:space="preserve">RFI</t>
  </si>
  <si>
    <t xml:space="preserve">3 de oct. de 2024 8:34</t>
  </si>
  <si>
    <t xml:space="preserve">Archivos del proyecto/0.5 - Antecedentes del Proyecto Fase 2 (OMEGA)/3.- Ingeniería/3.1 Planos Del Proyecto/3.1.1- Fleischmann/22.-Acceso en voladizo</t>
  </si>
  <si>
    <t xml:space="preserve">Estimados, 
Adjunto RFI para su respuesta 
Saludos </t>
  </si>
  <si>
    <t xml:space="preserve">N° Carta</t>
  </si>
  <si>
    <t xml:space="preserve">Descripción del Contenido </t>
  </si>
  <si>
    <t xml:space="preserve">Estatus</t>
  </si>
  <si>
    <t xml:space="preserve">Requiere respuesta</t>
  </si>
  <si>
    <t xml:space="preserve">Fecha de envío</t>
  </si>
  <si>
    <t xml:space="preserve">Fecha de respuesta</t>
  </si>
  <si>
    <t xml:space="preserve">Tiempo de Respuesta </t>
  </si>
  <si>
    <t xml:space="preserve">Comentarios </t>
  </si>
  <si>
    <t xml:space="preserve">ST01-FO-FL-CTA.01</t>
  </si>
  <si>
    <t xml:space="preserve">Respuesta a carta 002</t>
  </si>
  <si>
    <t xml:space="preserve">Respuesta</t>
  </si>
  <si>
    <t xml:space="preserve">Si</t>
  </si>
  <si>
    <t xml:space="preserve">Respondida</t>
  </si>
  <si>
    <t xml:space="preserve">Requiere respuesta </t>
  </si>
  <si>
    <t xml:space="preserve">Total </t>
  </si>
  <si>
    <t xml:space="preserve">ST01-FO-FL-CTA.07</t>
  </si>
  <si>
    <t xml:space="preserve">Proceso constructivo </t>
  </si>
  <si>
    <t xml:space="preserve">Emitida</t>
  </si>
  <si>
    <t xml:space="preserve">No</t>
  </si>
  <si>
    <t xml:space="preserve">Informativa</t>
  </si>
  <si>
    <t xml:space="preserve">se dejo como nula </t>
  </si>
  <si>
    <t xml:space="preserve">De respuesta a CyD</t>
  </si>
  <si>
    <t xml:space="preserve">PR-FO-OT-PLA-CAT-44</t>
  </si>
  <si>
    <t xml:space="preserve">Resp. Carta N°25 Consumo droga interior ST02</t>
  </si>
  <si>
    <t xml:space="preserve">Pendiente</t>
  </si>
  <si>
    <t xml:space="preserve">Emitida por Flesa</t>
  </si>
  <si>
    <t xml:space="preserve">N° Carta </t>
  </si>
  <si>
    <t xml:space="preserve">Descripción del Contenido</t>
  </si>
  <si>
    <t xml:space="preserve">Status </t>
  </si>
  <si>
    <t xml:space="preserve">Fecha envio </t>
  </si>
  <si>
    <t xml:space="preserve">Tiempo de respuesta </t>
  </si>
  <si>
    <t xml:space="preserve">TTA</t>
  </si>
  <si>
    <t xml:space="preserve">FL-L-001</t>
  </si>
  <si>
    <t xml:space="preserve">Autorización para tramitar y emitir garantias de fiel cumplimiento de contrato y garantia de correcta ejecución de las obras sin Iva </t>
  </si>
  <si>
    <t xml:space="preserve">#5531</t>
  </si>
  <si>
    <t xml:space="preserve">Total de Cartas</t>
  </si>
  <si>
    <t xml:space="preserve">De respuesta a Flesa</t>
  </si>
  <si>
    <t xml:space="preserve">Emitida por CyD</t>
  </si>
  <si>
    <t xml:space="preserve">N° NC</t>
  </si>
  <si>
    <t xml:space="preserve">Estado </t>
  </si>
  <si>
    <t xml:space="preserve">Respuesta </t>
  </si>
  <si>
    <t xml:space="preserve">Fecha envío </t>
  </si>
  <si>
    <t xml:space="preserve">Fecha de cierre</t>
  </si>
  <si>
    <t xml:space="preserve">tta envio </t>
  </si>
  <si>
    <t xml:space="preserve">tta cerrada</t>
  </si>
  <si>
    <t xml:space="preserve">Responsable</t>
  </si>
  <si>
    <t xml:space="preserve">Descripción de hallazgo </t>
  </si>
  <si>
    <t xml:space="preserve">NC001-O.- FL -  Ingenieria no aprobada de IIMM</t>
  </si>
  <si>
    <t xml:space="preserve">Instalaciones mecánicas</t>
  </si>
  <si>
    <t xml:space="preserve">NC019-O.- FL - Daño acceso Salas Electricas SH2,SH4 y SH6. Eje S</t>
  </si>
  <si>
    <t xml:space="preserve">Rechazada</t>
  </si>
  <si>
    <t xml:space="preserve">Obras civiles </t>
  </si>
  <si>
    <t xml:space="preserve">Jose Doña</t>
  </si>
  <si>
    <r>
      <rPr>
        <sz val="11"/>
        <color rgb="FF000000"/>
        <rFont val="Aptos Narrow"/>
        <family val="2"/>
        <charset val="1"/>
      </rPr>
      <t xml:space="preserve">Previo al hormigonado, se observan múltiples golpes en las hojalaterías ubicadas entre las puertas y fachadas de colo 2, 4 y 6. 
Posterior al hormigonado, se detectan rastros de concreto en las puertas exteriores de las Salas Electricas de colo 2, 4 y 6, lo que indica falta de cauidado durante las faenas.                                                                                                                                                                                                                         </t>
    </r>
    <r>
      <rPr>
        <b val="true"/>
        <sz val="11"/>
        <color rgb="FF000000"/>
        <rFont val="Aptos Narrow"/>
        <family val="2"/>
        <charset val="1"/>
      </rPr>
      <t xml:space="preserve">Se respondio con fecha 21/02 y se rechazo con fecha 24/02.</t>
    </r>
  </si>
  <si>
    <t xml:space="preserve">NC024-O.-FL Carga Temprana de Pavimento (Zona 3)</t>
  </si>
  <si>
    <t xml:space="preserve">Alejandro Olivos</t>
  </si>
  <si>
    <r>
      <rPr>
        <sz val="11"/>
        <color rgb="FF000000"/>
        <rFont val="Aptos Narrow"/>
        <family val="2"/>
        <charset val="1"/>
      </rPr>
      <t xml:space="preserve">El pavimento hormigonado el 23-10-2024 con hormigón G35/90/40/8 R14 fue cargado prematuramente el 29-10-2024 con camiones
 tolva cargados y camiones aljibe. Dado que el hormigón aún no había alcanzado su resistencia total para esa fecha, las cargas distribuidas pueden haber comprometido su integridad estructural. Este tipo de situación es crítica debido a los antecedentes de agrietamientos en el proyecto, lo que lo convierte en un incumplimiento de calidad y en un riesgo significativo para la durabilidad.                                                                   </t>
    </r>
    <r>
      <rPr>
        <b val="true"/>
        <sz val="11"/>
        <color rgb="FF000000"/>
        <rFont val="Aptos Narrow"/>
        <family val="2"/>
        <charset val="1"/>
      </rPr>
      <t xml:space="preserve">Sin respuesta aun.</t>
    </r>
  </si>
  <si>
    <t xml:space="preserve">Cerrada </t>
  </si>
  <si>
    <t xml:space="preserve">NC059-O.- FL - Sistema suspensión Cielo Falso SH5</t>
  </si>
  <si>
    <t xml:space="preserve">Alejandro Olivos / José Levio</t>
  </si>
  <si>
    <r>
      <rPr>
        <sz val="11"/>
        <color rgb="FF000000"/>
        <rFont val="Aptos Narrow"/>
        <family val="2"/>
        <charset val="1"/>
      </rPr>
      <t xml:space="preserve">En relación al cielo falso del  Colo 5, tenemos que lo instalado por Fleischmann No cumple con lo especificado en el Contrato:
1) Al revisar en terreno se evidencia que el cielo falso que está instalando Fleischmann contiene un sistema de suspensión en base a alambre galvanizado (Se Adjuntan Fotografias) lo cual NO cumple con lo especificado en la Ronda de Consultas y Respuestas N°2, respuesta 260 que se adjunta, "suspensión prelude XL Fire Guard", que corresponde a un cielo con caraterísticas de resistencia al sismo y al fuego acorde a lo que el proyecto requiere
2) Al revisar el itemizado de Contrato documento "ITEMIZADO GENERAL FASE 2 Rev. 4 FSA_RD.MAIL" se especifica en el item 1. OOCC - F.1.1 "C1: Cielo falso Clean Room Hounter Douglas (suspensión prelud XL Fire Guard)
3) Al revisar en terreno tenemos que el sistema de suspensión instalado por Fleischmann consideró perfiles "GRIDLINE PLUS HD"
4) Revisando la carpeta de calidad NO existe ficha técnica cargada por Fleischmann en plataforma ACC carpeta "Fichas Técnicas"
5) Cabe señalar que la espcificación del cielo falso forma parte de las lecciones aprendidas del proyecto Opel                                                                   </t>
    </r>
    <r>
      <rPr>
        <b val="true"/>
        <sz val="11"/>
        <color rgb="FF000000"/>
        <rFont val="Aptos Narrow"/>
        <family val="2"/>
        <charset val="1"/>
      </rPr>
      <t xml:space="preserve">Se respondio con fecha 01/07.</t>
    </r>
  </si>
  <si>
    <t xml:space="preserve">EHS </t>
  </si>
  <si>
    <t xml:space="preserve">General </t>
  </si>
  <si>
    <t xml:space="preserve">UF</t>
  </si>
  <si>
    <t xml:space="preserve">USD</t>
  </si>
  <si>
    <t xml:space="preserve">PRESENTADO NETO</t>
  </si>
  <si>
    <t xml:space="preserve">PRESENTADO IVA INCL</t>
  </si>
  <si>
    <t xml:space="preserve">APROBADO NETO</t>
  </si>
  <si>
    <t xml:space="preserve">AVANCE ECONOMICO FACTURADO</t>
  </si>
  <si>
    <t xml:space="preserve">POR FACTURAR</t>
  </si>
  <si>
    <t xml:space="preserve">OC</t>
  </si>
  <si>
    <t xml:space="preserve">ITEM NOC</t>
  </si>
  <si>
    <t xml:space="preserve">CORRELATIVO</t>
  </si>
  <si>
    <t xml:space="preserve">Ver</t>
  </si>
  <si>
    <t xml:space="preserve">OBS ESTATUS</t>
  </si>
  <si>
    <t xml:space="preserve">RESPONSABLE</t>
  </si>
  <si>
    <t xml:space="preserve">NUMERO TT#</t>
  </si>
  <si>
    <t xml:space="preserve">FECHA TT#</t>
  </si>
  <si>
    <t xml:space="preserve">PRIORIDAD</t>
  </si>
  <si>
    <t xml:space="preserve">RAZON DE CAMBIO</t>
  </si>
  <si>
    <t xml:space="preserve">PLAZO EJECUCION</t>
  </si>
  <si>
    <t xml:space="preserve">SOLICITADO POR</t>
  </si>
  <si>
    <t xml:space="preserve">OBSERVACION</t>
  </si>
  <si>
    <t xml:space="preserve">AVANCE FÍSICO</t>
  </si>
  <si>
    <t xml:space="preserve">$</t>
  </si>
  <si>
    <t xml:space="preserve">
UF</t>
  </si>
  <si>
    <t xml:space="preserve">TOTAL USD</t>
  </si>
  <si>
    <t xml:space="preserve">AVANCE % POR FACTURAR</t>
  </si>
  <si>
    <t xml:space="preserve">Observaciones BUFFER</t>
  </si>
  <si>
    <t xml:space="preserve">NOC-001</t>
  </si>
  <si>
    <t xml:space="preserve">PRO-FO-SCD-NC-001</t>
  </si>
  <si>
    <t xml:space="preserve">Modificación Ducto Barra SH2, SH4, SH5, SH6</t>
  </si>
  <si>
    <t xml:space="preserve">CERRADO</t>
  </si>
  <si>
    <t xml:space="preserve">ELECTRICIDAD</t>
  </si>
  <si>
    <t xml:space="preserve">ODATA  punto 1.5 minuta reunión de obra</t>
  </si>
  <si>
    <t xml:space="preserve">OK</t>
  </si>
  <si>
    <t xml:space="preserve">Cerrada Aprobada (Con OC)</t>
  </si>
  <si>
    <t xml:space="preserve">ABIERTO</t>
  </si>
  <si>
    <t xml:space="preserve">TOTAL CyD USD PROYECTO</t>
  </si>
  <si>
    <t xml:space="preserve">TOTAL CYD USD CLIENTE</t>
  </si>
  <si>
    <t xml:space="preserve">CLIENTE</t>
  </si>
  <si>
    <t xml:space="preserve">DISMINUCION</t>
  </si>
</sst>
</file>

<file path=xl/styles.xml><?xml version="1.0" encoding="utf-8"?>
<styleSheet xmlns="http://schemas.openxmlformats.org/spreadsheetml/2006/main">
  <numFmts count="23">
    <numFmt numFmtId="164" formatCode="General"/>
    <numFmt numFmtId="165" formatCode="0\ %"/>
    <numFmt numFmtId="166" formatCode="dd/mm/yyyy"/>
    <numFmt numFmtId="167" formatCode="#,##0"/>
    <numFmt numFmtId="168" formatCode="0"/>
    <numFmt numFmtId="169" formatCode="dd/mmm"/>
    <numFmt numFmtId="170" formatCode="General"/>
    <numFmt numFmtId="171" formatCode="0.00\ %"/>
    <numFmt numFmtId="172" formatCode="#,##0&quot; dias&quot;"/>
    <numFmt numFmtId="173" formatCode="_ * #,##0_ ;_ * \-#,##0_ ;_ * \-_ ;_ @_ "/>
    <numFmt numFmtId="174" formatCode="d/m/yyyy"/>
    <numFmt numFmtId="175" formatCode="0&quot;.-&quot;"/>
    <numFmt numFmtId="176" formatCode="#,##0&quot; dias Corridos&quot;"/>
    <numFmt numFmtId="177" formatCode="m/d/yyyy"/>
    <numFmt numFmtId="178" formatCode="dd/mm/yy"/>
    <numFmt numFmtId="179" formatCode="#,##0.00"/>
    <numFmt numFmtId="180" formatCode="_ [$USD]\ * #,##0.00_ ;_ [$USD]\ * \-#,##0.00_ ;_ [$USD]\ * \-_ ;_ @_ "/>
    <numFmt numFmtId="181" formatCode="_-* #,##0\ [$USD]_-;\-* #,##0\ [$USD]_-;_-* &quot;- &quot;[$USD]_-;_-@_-"/>
    <numFmt numFmtId="182" formatCode="_ [$CLP]\ * #,##0_ ;_ [$CLP]\ * \-#,##0_ ;_ [$CLP]\ * \-??_ ;_ @_ "/>
    <numFmt numFmtId="183" formatCode="_ [$UF]\ * #,##0.00_ ;_ [$UF]\ * \-#,##0.00_ ;_ [$UF]\ * \-??_ ;_ @_ "/>
    <numFmt numFmtId="184" formatCode="_-* #,##0.00\ [$CLP]_-;\-* #,##0.00\ [$CLP]_-;_-* \-??\ [$CLP]_-;_-@_-"/>
    <numFmt numFmtId="185" formatCode="_-* #,##0.00&quot; €&quot;_-;\-* #,##0.00&quot; €&quot;_-;_-* \-??&quot; €&quot;_-;_-@_-"/>
    <numFmt numFmtId="186" formatCode="_-* #,##0.00\ [$USD]_-;\-* #,##0.00\ [$USD]_-;_-* \-??\ [$USD]_-;_-@_-"/>
  </numFmts>
  <fonts count="74">
    <font>
      <sz val="11"/>
      <color rgb="FF000000"/>
      <name val="Aptos Narrow"/>
      <family val="2"/>
      <charset val="1"/>
    </font>
    <font>
      <sz val="10"/>
      <name val="Arial"/>
      <family val="0"/>
    </font>
    <font>
      <sz val="10"/>
      <name val="Arial"/>
      <family val="0"/>
    </font>
    <font>
      <sz val="10"/>
      <name val="Arial"/>
      <family val="0"/>
    </font>
    <font>
      <u val="single"/>
      <sz val="11"/>
      <color rgb="FF467886"/>
      <name val="Aptos Narrow"/>
      <family val="2"/>
      <charset val="1"/>
    </font>
    <font>
      <sz val="10"/>
      <color rgb="FF000000"/>
      <name val="Aptos Narrow"/>
      <family val="2"/>
      <charset val="1"/>
    </font>
    <font>
      <sz val="11"/>
      <color rgb="FF000000"/>
      <name val="Arial"/>
      <family val="2"/>
      <charset val="1"/>
    </font>
    <font>
      <sz val="10"/>
      <name val="Arial"/>
      <family val="2"/>
      <charset val="1"/>
    </font>
    <font>
      <sz val="10"/>
      <color rgb="FF000000"/>
      <name val="Times New Roman"/>
      <family val="1"/>
      <charset val="1"/>
    </font>
    <font>
      <b val="true"/>
      <sz val="11"/>
      <color rgb="FF000000"/>
      <name val="Aptos Narrow"/>
      <family val="2"/>
      <charset val="1"/>
    </font>
    <font>
      <sz val="12"/>
      <color rgb="FF000000"/>
      <name val="Aptos Narrow"/>
      <family val="2"/>
      <charset val="1"/>
    </font>
    <font>
      <b val="true"/>
      <sz val="15"/>
      <color rgb="FF000000"/>
      <name val="Aptos Narrow"/>
      <family val="2"/>
      <charset val="1"/>
    </font>
    <font>
      <b val="true"/>
      <u val="single"/>
      <sz val="9"/>
      <color rgb="FF000000"/>
      <name val="Aptos Narrow"/>
      <family val="2"/>
      <charset val="1"/>
    </font>
    <font>
      <b val="true"/>
      <sz val="9"/>
      <color rgb="FF000000"/>
      <name val="Aptos Narrow"/>
      <family val="2"/>
      <charset val="1"/>
    </font>
    <font>
      <sz val="15"/>
      <color rgb="FF000000"/>
      <name val="Aptos Narrow"/>
      <family val="2"/>
      <charset val="1"/>
    </font>
    <font>
      <b val="true"/>
      <sz val="11"/>
      <color rgb="FF000000"/>
      <name val="Arial"/>
      <family val="2"/>
      <charset val="1"/>
    </font>
    <font>
      <sz val="11"/>
      <color rgb="FF000000"/>
      <name val="Calibri"/>
      <family val="2"/>
      <charset val="1"/>
    </font>
    <font>
      <b val="true"/>
      <sz val="11"/>
      <color rgb="FF000000"/>
      <name val="Calibri"/>
      <family val="2"/>
      <charset val="1"/>
    </font>
    <font>
      <b val="true"/>
      <sz val="16"/>
      <color rgb="FF000000"/>
      <name val="Calibri"/>
      <family val="2"/>
      <charset val="1"/>
    </font>
    <font>
      <sz val="10"/>
      <color rgb="FF000000"/>
      <name val="Arial"/>
      <family val="2"/>
      <charset val="1"/>
    </font>
    <font>
      <b val="true"/>
      <sz val="12"/>
      <color rgb="FF000000"/>
      <name val="Calibri"/>
      <family val="2"/>
      <charset val="1"/>
    </font>
    <font>
      <b val="true"/>
      <sz val="12"/>
      <color rgb="FF000000"/>
      <name val="Arial"/>
      <family val="2"/>
      <charset val="1"/>
    </font>
    <font>
      <b val="true"/>
      <sz val="12"/>
      <name val="Calibri"/>
      <family val="2"/>
      <charset val="1"/>
    </font>
    <font>
      <sz val="11"/>
      <name val="Calibri"/>
      <family val="2"/>
      <charset val="1"/>
    </font>
    <font>
      <sz val="11"/>
      <name val="Arial"/>
      <family val="2"/>
      <charset val="1"/>
    </font>
    <font>
      <b val="true"/>
      <sz val="14"/>
      <color rgb="FF000000"/>
      <name val="Calibri"/>
      <family val="2"/>
      <charset val="1"/>
    </font>
    <font>
      <strike val="true"/>
      <sz val="11"/>
      <color rgb="FF000000"/>
      <name val="Calibri"/>
      <family val="2"/>
      <charset val="1"/>
    </font>
    <font>
      <sz val="11"/>
      <name val="Aptos Narrow"/>
      <family val="2"/>
      <charset val="1"/>
    </font>
    <font>
      <b val="true"/>
      <sz val="11"/>
      <name val="Aptos Narrow"/>
      <family val="2"/>
      <charset val="1"/>
    </font>
    <font>
      <b val="true"/>
      <sz val="16"/>
      <color rgb="FF000000"/>
      <name val="Aptos Narrow"/>
      <family val="2"/>
      <charset val="1"/>
    </font>
    <font>
      <b val="true"/>
      <sz val="10"/>
      <name val="Arial"/>
      <family val="2"/>
      <charset val="1"/>
    </font>
    <font>
      <b val="true"/>
      <strike val="true"/>
      <sz val="11"/>
      <color rgb="FF000000"/>
      <name val="Calibri"/>
      <family val="2"/>
      <charset val="1"/>
    </font>
    <font>
      <b val="true"/>
      <strike val="true"/>
      <sz val="10"/>
      <name val="Arial"/>
      <family val="2"/>
      <charset val="1"/>
    </font>
    <font>
      <sz val="11"/>
      <color rgb="FF000000"/>
      <name val="Calibri Light"/>
      <family val="2"/>
      <charset val="1"/>
    </font>
    <font>
      <b val="true"/>
      <sz val="11"/>
      <name val="Calibri"/>
      <family val="2"/>
      <charset val="1"/>
    </font>
    <font>
      <b val="true"/>
      <sz val="11"/>
      <color rgb="FF242424"/>
      <name val="Aptos Narrow"/>
      <family val="2"/>
      <charset val="1"/>
    </font>
    <font>
      <b val="true"/>
      <sz val="16"/>
      <color rgb="FF000000"/>
      <name val="Arial"/>
      <family val="2"/>
      <charset val="1"/>
    </font>
    <font>
      <b val="true"/>
      <sz val="12"/>
      <name val="Arial"/>
      <family val="2"/>
      <charset val="1"/>
    </font>
    <font>
      <b val="true"/>
      <sz val="18"/>
      <color rgb="FF000000"/>
      <name val="Calibri"/>
      <family val="2"/>
      <charset val="1"/>
    </font>
    <font>
      <b val="true"/>
      <sz val="14"/>
      <color rgb="FF000000"/>
      <name val="Arial   "/>
      <family val="0"/>
      <charset val="1"/>
    </font>
    <font>
      <sz val="12"/>
      <name val="Aptos Narrow"/>
      <family val="2"/>
      <charset val="1"/>
    </font>
    <font>
      <sz val="12"/>
      <name val="Arial"/>
      <family val="2"/>
      <charset val="1"/>
    </font>
    <font>
      <sz val="11"/>
      <name val="Consolas"/>
      <family val="3"/>
      <charset val="1"/>
    </font>
    <font>
      <sz val="10"/>
      <name val="Consolas"/>
      <family val="3"/>
      <charset val="1"/>
    </font>
    <font>
      <sz val="11"/>
      <color rgb="FF161616"/>
      <name val="Aptos Narrow"/>
      <family val="2"/>
      <charset val="1"/>
    </font>
    <font>
      <sz val="11"/>
      <color rgb="FF12501A"/>
      <name val="Aptos Narrow"/>
      <family val="2"/>
      <charset val="1"/>
    </font>
    <font>
      <sz val="11"/>
      <color rgb="FF000000"/>
      <name val="Arial   "/>
      <family val="0"/>
      <charset val="1"/>
    </font>
    <font>
      <sz val="18"/>
      <color rgb="FF000000"/>
      <name val="Calibri"/>
      <family val="2"/>
      <charset val="1"/>
    </font>
    <font>
      <sz val="16"/>
      <color rgb="FF000000"/>
      <name val="Calibri"/>
      <family val="2"/>
      <charset val="1"/>
    </font>
    <font>
      <b val="true"/>
      <sz val="16"/>
      <name val="Calibri"/>
      <family val="2"/>
      <charset val="1"/>
    </font>
    <font>
      <sz val="17"/>
      <color rgb="FF000000"/>
      <name val="Calibri"/>
      <family val="2"/>
      <charset val="1"/>
    </font>
    <font>
      <sz val="16"/>
      <color rgb="FF000000"/>
      <name val="Arial"/>
      <family val="2"/>
      <charset val="1"/>
    </font>
    <font>
      <sz val="16"/>
      <color rgb="FF000000"/>
      <name val="Arial    "/>
      <family val="0"/>
      <charset val="1"/>
    </font>
    <font>
      <sz val="17"/>
      <color rgb="FF000000"/>
      <name val="Arial"/>
      <family val="2"/>
      <charset val="1"/>
    </font>
    <font>
      <sz val="11"/>
      <color rgb="FF242424"/>
      <name val="Aptos Narrow"/>
      <family val="2"/>
      <charset val="1"/>
    </font>
    <font>
      <sz val="10"/>
      <color rgb="FF000000"/>
      <name val="Calibri"/>
      <family val="2"/>
      <charset val="1"/>
    </font>
    <font>
      <b val="true"/>
      <sz val="10"/>
      <color rgb="FF000000"/>
      <name val="Calibri"/>
      <family val="2"/>
      <charset val="1"/>
    </font>
    <font>
      <sz val="10"/>
      <name val="Calibri"/>
      <family val="2"/>
      <charset val="1"/>
    </font>
    <font>
      <b val="true"/>
      <u val="single"/>
      <sz val="10"/>
      <color rgb="FF006EAF"/>
      <name val="Calibri"/>
      <family val="2"/>
      <charset val="1"/>
    </font>
    <font>
      <b val="true"/>
      <sz val="12"/>
      <color rgb="FF000000"/>
      <name val="Aptos Narrow"/>
      <family val="2"/>
      <charset val="1"/>
    </font>
    <font>
      <sz val="11"/>
      <color rgb="FFFFFFFF"/>
      <name val="Aptos Narrow"/>
      <family val="2"/>
      <charset val="1"/>
    </font>
    <font>
      <sz val="20"/>
      <color rgb="FF595959"/>
      <name val="Aptos Narrow"/>
      <family val="2"/>
    </font>
    <font>
      <sz val="16"/>
      <color rgb="FF404040"/>
      <name val="Aptos Narrow"/>
      <family val="2"/>
    </font>
    <font>
      <sz val="16"/>
      <color rgb="FF595959"/>
      <name val="Aptos Narrow"/>
      <family val="2"/>
    </font>
    <font>
      <b val="true"/>
      <sz val="10"/>
      <color rgb="FF000000"/>
      <name val="Aptos Narrow"/>
      <family val="2"/>
      <charset val="1"/>
    </font>
    <font>
      <b val="true"/>
      <sz val="14"/>
      <color rgb="FF000000"/>
      <name val="Aptos Narrow"/>
      <family val="2"/>
      <charset val="1"/>
    </font>
    <font>
      <sz val="14"/>
      <color rgb="FF000000"/>
      <name val="Aptos Narrow"/>
      <family val="2"/>
      <charset val="1"/>
    </font>
    <font>
      <sz val="14"/>
      <color rgb="FF595959"/>
      <name val="Aptos Narrow"/>
      <family val="2"/>
    </font>
    <font>
      <sz val="9"/>
      <color rgb="FF404040"/>
      <name val="Aptos Narrow"/>
      <family val="2"/>
    </font>
    <font>
      <sz val="9"/>
      <color rgb="FF595959"/>
      <name val="Aptos Narrow"/>
      <family val="2"/>
    </font>
    <font>
      <b val="true"/>
      <sz val="10"/>
      <color rgb="FF000000"/>
      <name val="Arial"/>
      <family val="2"/>
      <charset val="1"/>
    </font>
    <font>
      <sz val="9"/>
      <color rgb="FF000000"/>
      <name val="Calibri"/>
      <family val="2"/>
      <charset val="1"/>
    </font>
    <font>
      <sz val="10"/>
      <color rgb="FFFF0000"/>
      <name val="Arial"/>
      <family val="2"/>
      <charset val="1"/>
    </font>
    <font>
      <b val="true"/>
      <sz val="9"/>
      <color rgb="FF000000"/>
      <name val="Calibri"/>
      <family val="2"/>
      <charset val="1"/>
    </font>
  </fonts>
  <fills count="15">
    <fill>
      <patternFill patternType="none"/>
    </fill>
    <fill>
      <patternFill patternType="gray125"/>
    </fill>
    <fill>
      <patternFill patternType="solid">
        <fgColor rgb="FFFFC000"/>
        <bgColor rgb="FFFF9900"/>
      </patternFill>
    </fill>
    <fill>
      <patternFill patternType="solid">
        <fgColor rgb="FFFFFFFF"/>
        <bgColor rgb="FFF5F5F5"/>
      </patternFill>
    </fill>
    <fill>
      <patternFill patternType="solid">
        <fgColor rgb="FFFBE3D6"/>
        <bgColor rgb="FFF5F5F5"/>
      </patternFill>
    </fill>
    <fill>
      <patternFill patternType="solid">
        <fgColor rgb="FF92D050"/>
        <bgColor rgb="FF8ED973"/>
      </patternFill>
    </fill>
    <fill>
      <patternFill patternType="solid">
        <fgColor rgb="FF8ED973"/>
        <bgColor rgb="FF92D050"/>
      </patternFill>
    </fill>
    <fill>
      <patternFill patternType="solid">
        <fgColor rgb="FF61CBF4"/>
        <bgColor rgb="FF83CBEB"/>
      </patternFill>
    </fill>
    <fill>
      <patternFill patternType="solid">
        <fgColor rgb="FFA6A6A6"/>
        <bgColor rgb="FFBBBBBB"/>
      </patternFill>
    </fill>
    <fill>
      <patternFill patternType="solid">
        <fgColor rgb="FF46B1E1"/>
        <bgColor rgb="FF61CBF4"/>
      </patternFill>
    </fill>
    <fill>
      <patternFill patternType="solid">
        <fgColor rgb="FFFFFF00"/>
        <bgColor rgb="FFFFFF00"/>
      </patternFill>
    </fill>
    <fill>
      <patternFill patternType="solid">
        <fgColor rgb="FF83CBEB"/>
        <bgColor rgb="FF61CBF4"/>
      </patternFill>
    </fill>
    <fill>
      <patternFill patternType="solid">
        <fgColor rgb="FFF5F5F5"/>
        <bgColor rgb="FFFFFFFF"/>
      </patternFill>
    </fill>
    <fill>
      <patternFill patternType="solid">
        <fgColor rgb="FFFF0000"/>
        <bgColor rgb="FF9C0006"/>
      </patternFill>
    </fill>
    <fill>
      <patternFill patternType="solid">
        <fgColor rgb="FFD9D9D9"/>
        <bgColor rgb="FFC6EFCE"/>
      </patternFill>
    </fill>
  </fills>
  <borders count="64">
    <border diagonalUp="false" diagonalDown="false">
      <left/>
      <right/>
      <top/>
      <bottom/>
      <diagonal/>
    </border>
    <border diagonalUp="false" diagonalDown="false">
      <left style="medium"/>
      <right style="thin"/>
      <top style="medium"/>
      <bottom style="medium"/>
      <diagonal/>
    </border>
    <border diagonalUp="false" diagonalDown="false">
      <left style="thin"/>
      <right style="medium"/>
      <top style="medium"/>
      <bottom style="medium"/>
      <diagonal/>
    </border>
    <border diagonalUp="false" diagonalDown="false">
      <left style="thin"/>
      <right style="thin"/>
      <top/>
      <bottom style="thin"/>
      <diagonal/>
    </border>
    <border diagonalUp="false" diagonalDown="false">
      <left style="thin"/>
      <right style="thin"/>
      <top style="thin"/>
      <bottom style="thin"/>
      <diagonal/>
    </border>
    <border diagonalUp="false" diagonalDown="false">
      <left/>
      <right/>
      <top style="thin"/>
      <bottom/>
      <diagonal/>
    </border>
    <border diagonalUp="false" diagonalDown="false">
      <left style="thin"/>
      <right style="thin"/>
      <top style="thin"/>
      <bottom style="double"/>
      <diagonal/>
    </border>
    <border diagonalUp="false" diagonalDown="false">
      <left style="thin"/>
      <right/>
      <top/>
      <bottom/>
      <diagonal/>
    </border>
    <border diagonalUp="false" diagonalDown="false">
      <left style="thin"/>
      <right/>
      <top/>
      <bottom style="thin"/>
      <diagonal/>
    </border>
    <border diagonalUp="false" diagonalDown="false">
      <left/>
      <right/>
      <top/>
      <bottom style="thin"/>
      <diagonal/>
    </border>
    <border diagonalUp="false" diagonalDown="false">
      <left/>
      <right style="thin"/>
      <top/>
      <bottom style="thin"/>
      <diagonal/>
    </border>
    <border diagonalUp="false" diagonalDown="false">
      <left/>
      <right style="double"/>
      <top style="double"/>
      <bottom/>
      <diagonal/>
    </border>
    <border diagonalUp="false" diagonalDown="false">
      <left style="double"/>
      <right style="double"/>
      <top style="double"/>
      <bottom/>
      <diagonal/>
    </border>
    <border diagonalUp="false" diagonalDown="false">
      <left style="thin"/>
      <right/>
      <top style="thin"/>
      <bottom style="thin"/>
      <diagonal/>
    </border>
    <border diagonalUp="false" diagonalDown="false">
      <left/>
      <right style="thin"/>
      <top style="thin"/>
      <bottom style="thin"/>
      <diagonal/>
    </border>
    <border diagonalUp="false" diagonalDown="false">
      <left/>
      <right style="thin"/>
      <top style="thin"/>
      <bottom/>
      <diagonal/>
    </border>
    <border diagonalUp="false" diagonalDown="false">
      <left style="medium"/>
      <right style="medium"/>
      <top style="medium"/>
      <bottom style="medium"/>
      <diagonal/>
    </border>
    <border diagonalUp="false" diagonalDown="false">
      <left style="medium"/>
      <right/>
      <top style="medium"/>
      <bottom/>
      <diagonal/>
    </border>
    <border diagonalUp="false" diagonalDown="false">
      <left style="medium"/>
      <right style="thin"/>
      <top style="medium"/>
      <bottom style="thin"/>
      <diagonal/>
    </border>
    <border diagonalUp="false" diagonalDown="false">
      <left style="thin"/>
      <right style="medium"/>
      <top style="medium"/>
      <bottom style="thin"/>
      <diagonal/>
    </border>
    <border diagonalUp="false" diagonalDown="false">
      <left style="medium"/>
      <right/>
      <top/>
      <bottom/>
      <diagonal/>
    </border>
    <border diagonalUp="false" diagonalDown="false">
      <left style="medium"/>
      <right style="thin"/>
      <top style="thin"/>
      <bottom style="thin"/>
      <diagonal/>
    </border>
    <border diagonalUp="false" diagonalDown="false">
      <left style="thin"/>
      <right style="medium"/>
      <top style="thin"/>
      <bottom style="thin"/>
      <diagonal/>
    </border>
    <border diagonalUp="false" diagonalDown="false">
      <left style="medium"/>
      <right/>
      <top/>
      <bottom style="medium"/>
      <diagonal/>
    </border>
    <border diagonalUp="false" diagonalDown="false">
      <left style="medium"/>
      <right style="thin"/>
      <top style="thin"/>
      <bottom style="medium"/>
      <diagonal/>
    </border>
    <border diagonalUp="false" diagonalDown="false">
      <left style="thin"/>
      <right style="medium"/>
      <top style="thin"/>
      <bottom style="medium"/>
      <diagonal/>
    </border>
    <border diagonalUp="false" diagonalDown="false">
      <left style="thin"/>
      <right style="thin"/>
      <top style="thin"/>
      <bottom/>
      <diagonal/>
    </border>
    <border diagonalUp="false" diagonalDown="false">
      <left style="thin"/>
      <right/>
      <top style="thin"/>
      <bottom/>
      <diagonal/>
    </border>
    <border diagonalUp="false" diagonalDown="false">
      <left/>
      <right/>
      <top style="thin"/>
      <bottom style="thin"/>
      <diagonal/>
    </border>
    <border diagonalUp="false" diagonalDown="false">
      <left style="thin"/>
      <right style="thin"/>
      <top/>
      <bottom/>
      <diagonal/>
    </border>
    <border diagonalUp="false" diagonalDown="false">
      <left/>
      <right style="thin"/>
      <top/>
      <bottom/>
      <diagonal/>
    </border>
    <border diagonalUp="false" diagonalDown="false">
      <left style="thin"/>
      <right style="thin"/>
      <top style="medium"/>
      <bottom style="thin"/>
      <diagonal/>
    </border>
    <border diagonalUp="false" diagonalDown="false">
      <left style="medium"/>
      <right style="thin"/>
      <top style="thin"/>
      <bottom/>
      <diagonal/>
    </border>
    <border diagonalUp="false" diagonalDown="false">
      <left/>
      <right style="thin">
        <color rgb="FFBBBBBB"/>
      </right>
      <top style="thin">
        <color rgb="FFBBBBBB"/>
      </top>
      <bottom/>
      <diagonal/>
    </border>
    <border diagonalUp="false" diagonalDown="false">
      <left style="thin">
        <color rgb="FFBBBBBB"/>
      </left>
      <right style="thin">
        <color rgb="FFBBBBBB"/>
      </right>
      <top style="thin">
        <color rgb="FFBBBBBB"/>
      </top>
      <bottom/>
      <diagonal/>
    </border>
    <border diagonalUp="false" diagonalDown="false">
      <left style="thin">
        <color rgb="FFBBBBBB"/>
      </left>
      <right style="thin">
        <color rgb="FFBBBBBB"/>
      </right>
      <top/>
      <bottom/>
      <diagonal/>
    </border>
    <border diagonalUp="false" diagonalDown="false">
      <left style="thin">
        <color rgb="FFBBBBBB"/>
      </left>
      <right style="thin">
        <color rgb="FFBBBBBB"/>
      </right>
      <top style="thin">
        <color rgb="FFBBBBBB"/>
      </top>
      <bottom style="thin">
        <color rgb="FFBBBBBB"/>
      </bottom>
      <diagonal/>
    </border>
    <border diagonalUp="false" diagonalDown="false">
      <left/>
      <right style="thin">
        <color rgb="FFBBBBBB"/>
      </right>
      <top style="thin">
        <color rgb="FFBBBBBB"/>
      </top>
      <bottom style="thin">
        <color rgb="FFBBBBBB"/>
      </bottom>
      <diagonal/>
    </border>
    <border diagonalUp="false" diagonalDown="false">
      <left/>
      <right style="thin">
        <color rgb="FFBBBBBB"/>
      </right>
      <top/>
      <bottom style="thin">
        <color rgb="FFBBBBBB"/>
      </bottom>
      <diagonal/>
    </border>
    <border diagonalUp="false" diagonalDown="false">
      <left style="thin"/>
      <right style="thin"/>
      <top style="medium"/>
      <bottom style="medium"/>
      <diagonal/>
    </border>
    <border diagonalUp="false" diagonalDown="false">
      <left style="thin"/>
      <right/>
      <top style="medium"/>
      <bottom style="medium"/>
      <diagonal/>
    </border>
    <border diagonalUp="false" diagonalDown="false">
      <left style="medium"/>
      <right style="thin"/>
      <top/>
      <bottom style="thin"/>
      <diagonal/>
    </border>
    <border diagonalUp="false" diagonalDown="false">
      <left style="thin"/>
      <right style="medium"/>
      <top/>
      <bottom style="thin"/>
      <diagonal/>
    </border>
    <border diagonalUp="false" diagonalDown="false">
      <left/>
      <right style="medium"/>
      <top style="medium"/>
      <bottom style="medium"/>
      <diagonal/>
    </border>
    <border diagonalUp="false" diagonalDown="false">
      <left style="medium"/>
      <right style="medium"/>
      <top/>
      <bottom style="thin"/>
      <diagonal/>
    </border>
    <border diagonalUp="false" diagonalDown="false">
      <left/>
      <right style="medium"/>
      <top/>
      <bottom style="thin"/>
      <diagonal/>
    </border>
    <border diagonalUp="false" diagonalDown="false">
      <left/>
      <right style="medium"/>
      <top style="medium"/>
      <bottom style="thin"/>
      <diagonal/>
    </border>
    <border diagonalUp="false" diagonalDown="false">
      <left style="medium"/>
      <right style="medium"/>
      <top style="thin"/>
      <bottom style="medium"/>
      <diagonal/>
    </border>
    <border diagonalUp="false" diagonalDown="false">
      <left/>
      <right style="medium"/>
      <top style="thin"/>
      <bottom style="medium"/>
      <diagonal/>
    </border>
    <border diagonalUp="false" diagonalDown="false">
      <left style="medium"/>
      <right/>
      <top style="medium"/>
      <bottom style="thin"/>
      <diagonal/>
    </border>
    <border diagonalUp="false" diagonalDown="false">
      <left style="medium"/>
      <right style="medium"/>
      <top style="medium"/>
      <bottom style="thin"/>
      <diagonal/>
    </border>
    <border diagonalUp="false" diagonalDown="false">
      <left style="medium"/>
      <right/>
      <top/>
      <bottom style="thin"/>
      <diagonal/>
    </border>
    <border diagonalUp="false" diagonalDown="false">
      <left style="medium"/>
      <right style="medium"/>
      <top style="thin"/>
      <bottom style="thin"/>
      <diagonal/>
    </border>
    <border diagonalUp="false" diagonalDown="false">
      <left style="medium"/>
      <right/>
      <top style="thin"/>
      <bottom style="thin"/>
      <diagonal/>
    </border>
    <border diagonalUp="false" diagonalDown="false">
      <left style="medium"/>
      <right/>
      <top style="thin"/>
      <bottom style="medium"/>
      <diagonal/>
    </border>
    <border diagonalUp="false" diagonalDown="false">
      <left/>
      <right style="medium"/>
      <top style="thin"/>
      <bottom style="thin"/>
      <diagonal/>
    </border>
    <border diagonalUp="false" diagonalDown="false">
      <left/>
      <right style="medium"/>
      <top style="medium"/>
      <bottom/>
      <diagonal/>
    </border>
    <border diagonalUp="false" diagonalDown="false">
      <left/>
      <right style="medium"/>
      <top/>
      <bottom style="medium"/>
      <diagonal/>
    </border>
    <border diagonalUp="false" diagonalDown="false">
      <left style="medium"/>
      <right/>
      <top style="medium"/>
      <bottom style="medium"/>
      <diagonal/>
    </border>
    <border diagonalUp="false" diagonalDown="false">
      <left style="medium"/>
      <right style="medium"/>
      <top style="medium"/>
      <bottom/>
      <diagonal/>
    </border>
    <border diagonalUp="false" diagonalDown="false">
      <left style="medium"/>
      <right style="medium"/>
      <top/>
      <bottom/>
      <diagonal/>
    </border>
    <border diagonalUp="false" diagonalDown="false">
      <left/>
      <right/>
      <top style="medium"/>
      <bottom/>
      <diagonal/>
    </border>
    <border diagonalUp="false" diagonalDown="false">
      <left/>
      <right/>
      <top style="thin"/>
      <bottom style="medium"/>
      <diagonal/>
    </border>
    <border diagonalUp="false" diagonalDown="false">
      <left style="medium"/>
      <right style="medium"/>
      <top/>
      <bottom style="medium"/>
      <diagonal/>
    </border>
  </borders>
  <cellStyleXfs count="3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165" fontId="0" fillId="0" borderId="0" applyFont="true" applyBorder="false" applyAlignment="true" applyProtection="false">
      <alignment horizontal="general" vertical="bottom" textRotation="0" wrapText="false" indent="0" shrinkToFit="false"/>
    </xf>
    <xf numFmtId="164" fontId="4" fillId="0" borderId="0" applyFont="true" applyBorder="false" applyAlignment="true" applyProtection="false">
      <alignment horizontal="general" vertical="bottom" textRotation="0" wrapText="false" indent="0" shrinkToFit="false"/>
    </xf>
    <xf numFmtId="164" fontId="4" fillId="0" borderId="0" applyFont="true" applyBorder="false" applyAlignment="true" applyProtection="false">
      <alignment horizontal="general" vertical="bottom" textRotation="0" wrapText="false" indent="0" shrinkToFit="false"/>
    </xf>
    <xf numFmtId="164" fontId="5" fillId="0" borderId="0" applyFont="true" applyBorder="true" applyAlignment="true" applyProtection="true">
      <alignment horizontal="general" vertical="bottom" textRotation="0" wrapText="false" indent="0" shrinkToFit="false"/>
      <protection locked="true" hidden="false"/>
    </xf>
    <xf numFmtId="164" fontId="6" fillId="0" borderId="0" applyFont="true" applyBorder="true" applyAlignment="true" applyProtection="true">
      <alignment horizontal="general" vertical="bottom" textRotation="0" wrapText="false" indent="0" shrinkToFit="false"/>
      <protection locked="true" hidden="false"/>
    </xf>
    <xf numFmtId="164" fontId="7" fillId="0" borderId="0" applyFont="true" applyBorder="true" applyAlignment="true" applyProtection="true">
      <alignment horizontal="general" vertical="bottom" textRotation="0" wrapText="false" indent="0" shrinkToFit="false"/>
      <protection locked="true" hidden="false"/>
    </xf>
    <xf numFmtId="164" fontId="8" fillId="0" borderId="0" applyFont="true" applyBorder="true" applyAlignment="true" applyProtection="true">
      <alignment horizontal="general" vertical="bottom" textRotation="0" wrapText="false" indent="0" shrinkToFit="false"/>
      <protection locked="true" hidden="false"/>
    </xf>
    <xf numFmtId="164" fontId="6"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false" applyAlignment="true" applyProtection="false">
      <alignment horizontal="general" vertical="bottom" textRotation="0" wrapText="false" indent="0" shrinkToFit="false"/>
    </xf>
    <xf numFmtId="173" fontId="0" fillId="0" borderId="0" applyFont="true" applyBorder="false" applyAlignment="true" applyProtection="false">
      <alignment horizontal="general" vertical="bottom" textRotation="0" wrapText="false" indent="0" shrinkToFit="false"/>
    </xf>
  </cellStyleXfs>
  <cellXfs count="618">
    <xf numFmtId="164" fontId="0" fillId="0" borderId="0" xfId="0" applyFont="false" applyBorder="false" applyAlignment="false" applyProtection="false">
      <alignment horizontal="general" vertical="bottom" textRotation="0" wrapText="false" indent="0" shrinkToFit="false"/>
      <protection locked="true" hidden="false"/>
    </xf>
    <xf numFmtId="164" fontId="9" fillId="2" borderId="1" xfId="0" applyFont="true" applyBorder="true" applyAlignment="true" applyProtection="false">
      <alignment horizontal="center" vertical="center" textRotation="0" wrapText="false" indent="0" shrinkToFit="false"/>
      <protection locked="true" hidden="false"/>
    </xf>
    <xf numFmtId="164" fontId="9" fillId="2" borderId="2" xfId="0" applyFont="true" applyBorder="true" applyAlignment="true" applyProtection="false">
      <alignment horizontal="center" vertical="center" textRotation="0" wrapText="false" indent="0" shrinkToFit="false"/>
      <protection locked="true" hidden="false"/>
    </xf>
    <xf numFmtId="164" fontId="0" fillId="0" borderId="3" xfId="0" applyFont="true" applyBorder="true" applyAlignment="true" applyProtection="false">
      <alignment horizontal="center" vertical="center" textRotation="0" wrapText="false" indent="0" shrinkToFit="false"/>
      <protection locked="true" hidden="false"/>
    </xf>
    <xf numFmtId="164" fontId="0" fillId="0" borderId="3" xfId="0" applyFont="true" applyBorder="true" applyAlignment="true" applyProtection="false">
      <alignment horizontal="left" vertical="center" textRotation="0" wrapText="true" indent="0" shrinkToFit="false"/>
      <protection locked="true" hidden="false"/>
    </xf>
    <xf numFmtId="166" fontId="0" fillId="0" borderId="3" xfId="0" applyFont="false" applyBorder="true" applyAlignment="true" applyProtection="false">
      <alignment horizontal="left" vertical="center" textRotation="0" wrapText="true" indent="0" shrinkToFit="false"/>
      <protection locked="true" hidden="false"/>
    </xf>
    <xf numFmtId="164" fontId="0" fillId="0" borderId="3" xfId="0" applyFont="false" applyBorder="true" applyAlignment="true" applyProtection="false">
      <alignment horizontal="left" vertical="center" textRotation="0" wrapText="false" indent="0" shrinkToFit="false"/>
      <protection locked="true" hidden="false"/>
    </xf>
    <xf numFmtId="164" fontId="0" fillId="0" borderId="4" xfId="0" applyFont="true" applyBorder="true" applyAlignment="true" applyProtection="false">
      <alignment horizontal="left" vertical="center" textRotation="0" wrapText="true" indent="0" shrinkToFit="false"/>
      <protection locked="true" hidden="false"/>
    </xf>
    <xf numFmtId="166" fontId="0" fillId="0" borderId="4" xfId="0" applyFont="false" applyBorder="true" applyAlignment="true" applyProtection="false">
      <alignment horizontal="left" vertical="center" textRotation="0" wrapText="true" indent="0" shrinkToFit="false"/>
      <protection locked="true" hidden="false"/>
    </xf>
    <xf numFmtId="164" fontId="0" fillId="0" borderId="4" xfId="0" applyFont="false" applyBorder="true" applyAlignment="true" applyProtection="false">
      <alignment horizontal="left" vertical="center" textRotation="0" wrapText="false" indent="0" shrinkToFit="false"/>
      <protection locked="true" hidden="false"/>
    </xf>
    <xf numFmtId="164" fontId="0" fillId="0" borderId="4" xfId="0" applyFont="false" applyBorder="true" applyAlignment="true" applyProtection="false">
      <alignment horizontal="center" vertical="center" textRotation="0" wrapText="false" indent="0" shrinkToFit="false"/>
      <protection locked="true" hidden="false"/>
    </xf>
    <xf numFmtId="164" fontId="10" fillId="0" borderId="0" xfId="0" applyFont="true" applyBorder="false" applyAlignment="true" applyProtection="false">
      <alignment horizontal="left" vertical="bottom" textRotation="0" wrapText="false" indent="0" shrinkToFit="false"/>
      <protection locked="true" hidden="false"/>
    </xf>
    <xf numFmtId="164" fontId="11" fillId="3" borderId="5" xfId="0" applyFont="true" applyBorder="true" applyAlignment="true" applyProtection="false">
      <alignment horizontal="left" vertical="center" textRotation="0" wrapText="false" indent="0" shrinkToFit="false"/>
      <protection locked="true" hidden="false"/>
    </xf>
    <xf numFmtId="164" fontId="9" fillId="3" borderId="5" xfId="0" applyFont="true" applyBorder="true" applyAlignment="true" applyProtection="false">
      <alignment horizontal="general" vertical="center" textRotation="0" wrapText="false" indent="0" shrinkToFit="false"/>
      <protection locked="true" hidden="false"/>
    </xf>
    <xf numFmtId="164" fontId="12" fillId="4" borderId="6" xfId="0" applyFont="true" applyBorder="true" applyAlignment="true" applyProtection="false">
      <alignment horizontal="left" vertical="top" textRotation="0" wrapText="true" indent="0" shrinkToFit="false"/>
      <protection locked="true" hidden="false"/>
    </xf>
    <xf numFmtId="164" fontId="13" fillId="4" borderId="4" xfId="0" applyFont="true" applyBorder="true" applyAlignment="true" applyProtection="false">
      <alignment horizontal="left" vertical="top" textRotation="0" wrapText="true" indent="0" shrinkToFit="false"/>
      <protection locked="true" hidden="false"/>
    </xf>
    <xf numFmtId="164" fontId="11" fillId="3" borderId="7" xfId="0" applyFont="true" applyBorder="true" applyAlignment="true" applyProtection="false">
      <alignment horizontal="left" vertical="bottom" textRotation="0" wrapText="false" indent="0" shrinkToFit="false"/>
      <protection locked="true" hidden="false"/>
    </xf>
    <xf numFmtId="164" fontId="9" fillId="3" borderId="0" xfId="0" applyFont="true" applyBorder="false" applyAlignment="true" applyProtection="false">
      <alignment horizontal="center" vertical="center" textRotation="0" wrapText="false" indent="0" shrinkToFit="false"/>
      <protection locked="true" hidden="false"/>
    </xf>
    <xf numFmtId="164" fontId="9" fillId="3" borderId="0" xfId="0" applyFont="true" applyBorder="false" applyAlignment="true" applyProtection="false">
      <alignment horizontal="general" vertical="center" textRotation="0" wrapText="false" indent="0" shrinkToFit="false"/>
      <protection locked="true" hidden="false"/>
    </xf>
    <xf numFmtId="164" fontId="9" fillId="3" borderId="7" xfId="0" applyFont="true" applyBorder="true" applyAlignment="true" applyProtection="false">
      <alignment horizontal="left" vertical="center" textRotation="0" wrapText="false" indent="0" shrinkToFit="false"/>
      <protection locked="true" hidden="false"/>
    </xf>
    <xf numFmtId="164" fontId="9" fillId="3" borderId="0" xfId="0" applyFont="true" applyBorder="false" applyAlignment="true" applyProtection="false">
      <alignment horizontal="left" vertical="center" textRotation="0" wrapText="false" indent="0" shrinkToFit="false"/>
      <protection locked="true" hidden="false"/>
    </xf>
    <xf numFmtId="164" fontId="11" fillId="3" borderId="7" xfId="0" applyFont="true" applyBorder="true" applyAlignment="true" applyProtection="false">
      <alignment horizontal="general" vertical="top" textRotation="0" wrapText="false" indent="0" shrinkToFit="false"/>
      <protection locked="true" hidden="false"/>
    </xf>
    <xf numFmtId="164" fontId="9" fillId="3" borderId="0" xfId="0" applyFont="true" applyBorder="false" applyAlignment="true" applyProtection="false">
      <alignment horizontal="general" vertical="top" textRotation="0" wrapText="false" indent="0" shrinkToFit="false"/>
      <protection locked="true" hidden="false"/>
    </xf>
    <xf numFmtId="164" fontId="11" fillId="3" borderId="8" xfId="0" applyFont="true" applyBorder="true" applyAlignment="true" applyProtection="false">
      <alignment horizontal="general" vertical="top" textRotation="0" wrapText="true" indent="0" shrinkToFit="false"/>
      <protection locked="true" hidden="false"/>
    </xf>
    <xf numFmtId="164" fontId="11" fillId="3" borderId="9" xfId="0" applyFont="true" applyBorder="true" applyAlignment="true" applyProtection="false">
      <alignment horizontal="center" vertical="center" textRotation="0" wrapText="false" indent="0" shrinkToFit="false"/>
      <protection locked="true" hidden="false"/>
    </xf>
    <xf numFmtId="164" fontId="9" fillId="3" borderId="9" xfId="0" applyFont="true" applyBorder="true" applyAlignment="true" applyProtection="false">
      <alignment horizontal="general" vertical="top" textRotation="0" wrapText="false" indent="0" shrinkToFit="false"/>
      <protection locked="true" hidden="false"/>
    </xf>
    <xf numFmtId="164" fontId="9" fillId="3" borderId="10" xfId="0" applyFont="true" applyBorder="true" applyAlignment="true" applyProtection="false">
      <alignment horizontal="general" vertical="top" textRotation="0" wrapText="false" indent="0" shrinkToFit="false"/>
      <protection locked="true" hidden="false"/>
    </xf>
    <xf numFmtId="164" fontId="0" fillId="0" borderId="0" xfId="0" applyFont="false" applyBorder="false" applyAlignment="true" applyProtection="false">
      <alignment horizontal="center" vertical="center"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9" fillId="2" borderId="11" xfId="0" applyFont="true" applyBorder="true" applyAlignment="true" applyProtection="false">
      <alignment horizontal="center" vertical="center" textRotation="0" wrapText="false" indent="0" shrinkToFit="false"/>
      <protection locked="true" hidden="false"/>
    </xf>
    <xf numFmtId="164" fontId="15" fillId="2" borderId="12" xfId="0" applyFont="true" applyBorder="true" applyAlignment="true" applyProtection="false">
      <alignment horizontal="center" vertical="center" textRotation="0" wrapText="true" indent="0" shrinkToFit="false"/>
      <protection locked="true" hidden="false"/>
    </xf>
    <xf numFmtId="164" fontId="9" fillId="2" borderId="4" xfId="0" applyFont="true" applyBorder="true" applyAlignment="true" applyProtection="false">
      <alignment horizontal="center" vertical="center" textRotation="0" wrapText="true" indent="0" shrinkToFit="false"/>
      <protection locked="true" hidden="false"/>
    </xf>
    <xf numFmtId="167" fontId="9" fillId="2" borderId="4" xfId="0" applyFont="true" applyBorder="true" applyAlignment="true" applyProtection="false">
      <alignment horizontal="center" vertical="center" textRotation="0" wrapText="false" indent="0" shrinkToFit="false"/>
      <protection locked="true" hidden="false"/>
    </xf>
    <xf numFmtId="164" fontId="9" fillId="2" borderId="4" xfId="0" applyFont="true" applyBorder="true" applyAlignment="true" applyProtection="false">
      <alignment horizontal="center" vertical="center" textRotation="0" wrapText="false" indent="0" shrinkToFit="false"/>
      <protection locked="true" hidden="false"/>
    </xf>
    <xf numFmtId="164" fontId="9" fillId="2" borderId="12" xfId="0" applyFont="true" applyBorder="true" applyAlignment="true" applyProtection="false">
      <alignment horizontal="center" vertical="center" textRotation="0" wrapText="false" indent="0" shrinkToFit="false"/>
      <protection locked="true" hidden="false"/>
    </xf>
    <xf numFmtId="164" fontId="16" fillId="3" borderId="13" xfId="0" applyFont="true" applyBorder="true" applyAlignment="true" applyProtection="false">
      <alignment horizontal="center" vertical="center" textRotation="0" wrapText="false" indent="0" shrinkToFit="false"/>
      <protection locked="true" hidden="false"/>
    </xf>
    <xf numFmtId="164" fontId="9" fillId="5" borderId="4" xfId="0" applyFont="true" applyBorder="true" applyAlignment="true" applyProtection="false">
      <alignment horizontal="center" vertical="center" textRotation="0" wrapText="false" indent="0" shrinkToFit="false"/>
      <protection locked="true" hidden="false"/>
    </xf>
    <xf numFmtId="164" fontId="0" fillId="0" borderId="4" xfId="0" applyFont="true" applyBorder="true" applyAlignment="true" applyProtection="false">
      <alignment horizontal="center" vertical="center" textRotation="0" wrapText="true" indent="0" shrinkToFit="false"/>
      <protection locked="true" hidden="false"/>
    </xf>
    <xf numFmtId="164" fontId="9" fillId="0" borderId="4" xfId="0" applyFont="true" applyBorder="true" applyAlignment="true" applyProtection="false">
      <alignment horizontal="center" vertical="center" textRotation="0" wrapText="false" indent="0" shrinkToFit="false"/>
      <protection locked="true" hidden="false"/>
    </xf>
    <xf numFmtId="164" fontId="0" fillId="0" borderId="14" xfId="0" applyFont="false" applyBorder="true" applyAlignment="true" applyProtection="false">
      <alignment horizontal="center" vertical="center" textRotation="0" wrapText="false" indent="0" shrinkToFit="false"/>
      <protection locked="true" hidden="false"/>
    </xf>
    <xf numFmtId="164" fontId="16" fillId="3" borderId="13" xfId="0" applyFont="true" applyBorder="true" applyAlignment="true" applyProtection="false">
      <alignment horizontal="center" vertical="center" textRotation="0" wrapText="true" indent="0" shrinkToFit="false"/>
      <protection locked="true" hidden="false"/>
    </xf>
    <xf numFmtId="164" fontId="9" fillId="0" borderId="0" xfId="0" applyFont="true" applyBorder="false" applyAlignment="true" applyProtection="false">
      <alignment horizontal="center" vertical="center" textRotation="0" wrapText="false" indent="0" shrinkToFit="false"/>
      <protection locked="true" hidden="false"/>
    </xf>
    <xf numFmtId="164" fontId="9" fillId="5" borderId="4" xfId="0" applyFont="true" applyBorder="true" applyAlignment="true" applyProtection="false">
      <alignment horizontal="center" vertical="center" textRotation="0" wrapText="true" indent="0" shrinkToFit="false"/>
      <protection locked="true" hidden="false"/>
    </xf>
    <xf numFmtId="164" fontId="9" fillId="0" borderId="4" xfId="0" applyFont="true" applyBorder="true" applyAlignment="true" applyProtection="false">
      <alignment horizontal="center" vertical="center" textRotation="0" wrapText="true" indent="0" shrinkToFit="false"/>
      <protection locked="true" hidden="false"/>
    </xf>
    <xf numFmtId="164" fontId="16" fillId="3" borderId="4" xfId="0" applyFont="true" applyBorder="true" applyAlignment="true" applyProtection="false">
      <alignment horizontal="center" vertical="center" textRotation="0" wrapText="true" indent="0" shrinkToFit="false"/>
      <protection locked="true" hidden="false"/>
    </xf>
    <xf numFmtId="164" fontId="0" fillId="5" borderId="4" xfId="0" applyFont="true" applyBorder="true" applyAlignment="true" applyProtection="false">
      <alignment horizontal="center" vertical="center" textRotation="0" wrapText="false" indent="0" shrinkToFit="false"/>
      <protection locked="true" hidden="false"/>
    </xf>
    <xf numFmtId="164" fontId="0" fillId="0" borderId="15" xfId="0" applyFont="false" applyBorder="true" applyAlignment="true" applyProtection="false">
      <alignment horizontal="center" vertical="center" textRotation="0" wrapText="false" indent="0" shrinkToFit="false"/>
      <protection locked="true" hidden="false"/>
    </xf>
    <xf numFmtId="164" fontId="16" fillId="3" borderId="4" xfId="0" applyFont="true" applyBorder="true" applyAlignment="true" applyProtection="false">
      <alignment horizontal="center" vertical="center" textRotation="0" wrapText="false" indent="0" shrinkToFit="false"/>
      <protection locked="true" hidden="false"/>
    </xf>
    <xf numFmtId="164" fontId="0" fillId="0" borderId="4" xfId="0" applyFont="true" applyBorder="true" applyAlignment="true" applyProtection="false">
      <alignment horizontal="center" vertical="center" textRotation="0" wrapText="false" indent="0" shrinkToFit="false"/>
      <protection locked="true" hidden="false"/>
    </xf>
    <xf numFmtId="164" fontId="0" fillId="0" borderId="0" xfId="0" applyFont="false" applyBorder="false" applyAlignment="true" applyProtection="false">
      <alignment horizontal="left" vertical="center" textRotation="0" wrapText="false" indent="0" shrinkToFit="false"/>
      <protection locked="true" hidden="false"/>
    </xf>
    <xf numFmtId="164" fontId="15" fillId="0" borderId="0" xfId="23" applyFont="true" applyBorder="false" applyAlignment="false" applyProtection="false">
      <alignment horizontal="general" vertical="bottom" textRotation="0" wrapText="false" indent="0" shrinkToFit="false"/>
      <protection locked="true" hidden="false"/>
    </xf>
    <xf numFmtId="164" fontId="6" fillId="0" borderId="0" xfId="23" applyFont="true" applyBorder="false" applyAlignment="false" applyProtection="false">
      <alignment horizontal="general" vertical="bottom" textRotation="0" wrapText="false" indent="0" shrinkToFit="false"/>
      <protection locked="true" hidden="false"/>
    </xf>
    <xf numFmtId="164" fontId="6" fillId="0" borderId="0" xfId="23" applyFont="true" applyBorder="false" applyAlignment="true" applyProtection="false">
      <alignment horizontal="center" vertical="bottom" textRotation="0" wrapText="false" indent="0" shrinkToFit="false"/>
      <protection locked="true" hidden="false"/>
    </xf>
    <xf numFmtId="164" fontId="17" fillId="0" borderId="16" xfId="23" applyFont="true" applyBorder="true" applyAlignment="true" applyProtection="false">
      <alignment horizontal="center" vertical="bottom" textRotation="0" wrapText="false" indent="0" shrinkToFit="false"/>
      <protection locked="true" hidden="false"/>
    </xf>
    <xf numFmtId="164" fontId="18" fillId="0" borderId="17" xfId="23" applyFont="true" applyBorder="true" applyAlignment="true" applyProtection="false">
      <alignment horizontal="center" vertical="top" textRotation="0" wrapText="true" indent="0" shrinkToFit="false"/>
      <protection locked="true" hidden="false"/>
    </xf>
    <xf numFmtId="166" fontId="19" fillId="3" borderId="18" xfId="23" applyFont="true" applyBorder="true" applyAlignment="true" applyProtection="false">
      <alignment horizontal="general" vertical="center" textRotation="0" wrapText="true" indent="0" shrinkToFit="false"/>
      <protection locked="true" hidden="false"/>
    </xf>
    <xf numFmtId="166" fontId="19" fillId="6" borderId="19" xfId="23" applyFont="true" applyBorder="true" applyAlignment="true" applyProtection="false">
      <alignment horizontal="center" vertical="center" textRotation="0" wrapText="true" indent="0" shrinkToFit="false"/>
      <protection locked="true" hidden="false"/>
    </xf>
    <xf numFmtId="164" fontId="16" fillId="0" borderId="16" xfId="23" applyFont="true" applyBorder="true" applyAlignment="true" applyProtection="false">
      <alignment horizontal="center" vertical="bottom" textRotation="0" wrapText="false" indent="0" shrinkToFit="false"/>
      <protection locked="true" hidden="false"/>
    </xf>
    <xf numFmtId="164" fontId="16" fillId="0" borderId="0" xfId="23" applyFont="true" applyBorder="false" applyAlignment="false" applyProtection="false">
      <alignment horizontal="general" vertical="bottom" textRotation="0" wrapText="false" indent="0" shrinkToFit="false"/>
      <protection locked="true" hidden="false"/>
    </xf>
    <xf numFmtId="164" fontId="6" fillId="0" borderId="20" xfId="23" applyFont="true" applyBorder="true" applyAlignment="false" applyProtection="false">
      <alignment horizontal="general" vertical="bottom" textRotation="0" wrapText="false" indent="0" shrinkToFit="false"/>
      <protection locked="true" hidden="false"/>
    </xf>
    <xf numFmtId="164" fontId="20" fillId="0" borderId="0" xfId="23" applyFont="true" applyBorder="false" applyAlignment="true" applyProtection="false">
      <alignment horizontal="general" vertical="top" textRotation="0" wrapText="true" indent="0" shrinkToFit="false"/>
      <protection locked="true" hidden="false"/>
    </xf>
    <xf numFmtId="164" fontId="20" fillId="0" borderId="0" xfId="23" applyFont="true" applyBorder="false" applyAlignment="true" applyProtection="false">
      <alignment horizontal="center" vertical="top" textRotation="0" wrapText="true" indent="0" shrinkToFit="false"/>
      <protection locked="true" hidden="false"/>
    </xf>
    <xf numFmtId="166" fontId="19" fillId="3" borderId="21" xfId="23" applyFont="true" applyBorder="true" applyAlignment="true" applyProtection="false">
      <alignment horizontal="general" vertical="top" textRotation="0" wrapText="true" indent="0" shrinkToFit="false"/>
      <protection locked="true" hidden="false"/>
    </xf>
    <xf numFmtId="166" fontId="19" fillId="7" borderId="22" xfId="23" applyFont="true" applyBorder="true" applyAlignment="true" applyProtection="false">
      <alignment horizontal="center" vertical="top" textRotation="0" wrapText="true" indent="0" shrinkToFit="false"/>
      <protection locked="true" hidden="false"/>
    </xf>
    <xf numFmtId="164" fontId="16" fillId="0" borderId="0" xfId="23" applyFont="true" applyBorder="false" applyAlignment="true" applyProtection="false">
      <alignment horizontal="general" vertical="top" textRotation="0" wrapText="false" indent="0" shrinkToFit="false"/>
      <protection locked="true" hidden="false"/>
    </xf>
    <xf numFmtId="164" fontId="6" fillId="0" borderId="4" xfId="23" applyFont="true" applyBorder="true" applyAlignment="true" applyProtection="false">
      <alignment horizontal="left" vertical="center" textRotation="0" wrapText="false" indent="0" shrinkToFit="false"/>
      <protection locked="true" hidden="false"/>
    </xf>
    <xf numFmtId="164" fontId="6" fillId="0" borderId="0" xfId="23" applyFont="true" applyBorder="false" applyAlignment="true" applyProtection="false">
      <alignment horizontal="left" vertical="center" textRotation="0" wrapText="false" indent="0" shrinkToFit="false"/>
      <protection locked="true" hidden="false"/>
    </xf>
    <xf numFmtId="164" fontId="6" fillId="0" borderId="4" xfId="23" applyFont="true" applyBorder="true" applyAlignment="true" applyProtection="false">
      <alignment horizontal="center" vertical="center" textRotation="0" wrapText="false" indent="0" shrinkToFit="false"/>
      <protection locked="true" hidden="false"/>
    </xf>
    <xf numFmtId="164" fontId="21" fillId="0" borderId="20" xfId="23" applyFont="true" applyBorder="true" applyAlignment="true" applyProtection="false">
      <alignment horizontal="center" vertical="bottom" textRotation="0" wrapText="false" indent="0" shrinkToFit="false"/>
      <protection locked="true" hidden="false"/>
    </xf>
    <xf numFmtId="166" fontId="19" fillId="8" borderId="22" xfId="23" applyFont="true" applyBorder="true" applyAlignment="true" applyProtection="false">
      <alignment horizontal="center" vertical="top" textRotation="0" wrapText="true" indent="0" shrinkToFit="false"/>
      <protection locked="true" hidden="false"/>
    </xf>
    <xf numFmtId="166" fontId="22" fillId="0" borderId="20" xfId="23" applyFont="true" applyBorder="true" applyAlignment="true" applyProtection="false">
      <alignment horizontal="left" vertical="top" textRotation="0" wrapText="true" indent="0" shrinkToFit="false"/>
      <protection locked="true" hidden="false"/>
    </xf>
    <xf numFmtId="166" fontId="22" fillId="0" borderId="0" xfId="23" applyFont="true" applyBorder="false" applyAlignment="true" applyProtection="false">
      <alignment horizontal="left" vertical="top" textRotation="0" wrapText="true" indent="0" shrinkToFit="false"/>
      <protection locked="true" hidden="false"/>
    </xf>
    <xf numFmtId="166" fontId="22" fillId="0" borderId="0" xfId="23" applyFont="true" applyBorder="false" applyAlignment="true" applyProtection="false">
      <alignment horizontal="center" vertical="top" textRotation="0" wrapText="true" indent="0" shrinkToFit="false"/>
      <protection locked="true" hidden="false"/>
    </xf>
    <xf numFmtId="166" fontId="7" fillId="3" borderId="21" xfId="23" applyFont="true" applyBorder="true" applyAlignment="true" applyProtection="false">
      <alignment horizontal="general" vertical="top" textRotation="0" wrapText="true" indent="0" shrinkToFit="false"/>
      <protection locked="true" hidden="false"/>
    </xf>
    <xf numFmtId="166" fontId="7" fillId="9" borderId="22" xfId="23" applyFont="true" applyBorder="true" applyAlignment="true" applyProtection="false">
      <alignment horizontal="center" vertical="top" textRotation="0" wrapText="true" indent="0" shrinkToFit="false"/>
      <protection locked="true" hidden="false"/>
    </xf>
    <xf numFmtId="164" fontId="23" fillId="0" borderId="0" xfId="23" applyFont="true" applyBorder="false" applyAlignment="true" applyProtection="false">
      <alignment horizontal="general" vertical="top" textRotation="0" wrapText="false" indent="0" shrinkToFit="false"/>
      <protection locked="true" hidden="false"/>
    </xf>
    <xf numFmtId="164" fontId="24" fillId="0" borderId="0" xfId="23" applyFont="true" applyBorder="false" applyAlignment="false" applyProtection="false">
      <alignment horizontal="general" vertical="bottom" textRotation="0" wrapText="false" indent="0" shrinkToFit="false"/>
      <protection locked="true" hidden="false"/>
    </xf>
    <xf numFmtId="164" fontId="25" fillId="0" borderId="23" xfId="23" applyFont="true" applyBorder="true" applyAlignment="true" applyProtection="false">
      <alignment horizontal="center" vertical="top" textRotation="0" wrapText="false" indent="0" shrinkToFit="false"/>
      <protection locked="true" hidden="false"/>
    </xf>
    <xf numFmtId="164" fontId="16" fillId="0" borderId="24" xfId="23" applyFont="true" applyBorder="true" applyAlignment="true" applyProtection="false">
      <alignment horizontal="general" vertical="top" textRotation="0" wrapText="false" indent="0" shrinkToFit="false"/>
      <protection locked="true" hidden="false"/>
    </xf>
    <xf numFmtId="164" fontId="26" fillId="0" borderId="25" xfId="23" applyFont="true" applyBorder="true" applyAlignment="true" applyProtection="false">
      <alignment horizontal="center" vertical="top" textRotation="0" wrapText="false" indent="0" shrinkToFit="false"/>
      <protection locked="true" hidden="false"/>
    </xf>
    <xf numFmtId="164" fontId="17" fillId="0" borderId="0" xfId="23" applyFont="true" applyBorder="false" applyAlignment="true" applyProtection="false">
      <alignment horizontal="center" vertical="top" textRotation="0" wrapText="false" indent="0" shrinkToFit="false"/>
      <protection locked="true" hidden="false"/>
    </xf>
    <xf numFmtId="164" fontId="16" fillId="0" borderId="0" xfId="23" applyFont="true" applyBorder="false" applyAlignment="true" applyProtection="false">
      <alignment horizontal="center" vertical="top" textRotation="0" wrapText="false" indent="0" shrinkToFit="false"/>
      <protection locked="true" hidden="false"/>
    </xf>
    <xf numFmtId="164" fontId="16" fillId="0" borderId="0" xfId="23" applyFont="true" applyBorder="false" applyAlignment="true" applyProtection="false">
      <alignment horizontal="center" vertical="center" textRotation="0" wrapText="false" indent="0" shrinkToFit="false"/>
      <protection locked="true" hidden="false"/>
    </xf>
    <xf numFmtId="164" fontId="17" fillId="10" borderId="26" xfId="23" applyFont="true" applyBorder="true" applyAlignment="true" applyProtection="false">
      <alignment horizontal="center" vertical="top" textRotation="0" wrapText="false" indent="0" shrinkToFit="false"/>
      <protection locked="true" hidden="false"/>
    </xf>
    <xf numFmtId="164" fontId="17" fillId="10" borderId="27" xfId="23" applyFont="true" applyBorder="true" applyAlignment="true" applyProtection="false">
      <alignment horizontal="center" vertical="top" textRotation="0" wrapText="false" indent="0" shrinkToFit="false"/>
      <protection locked="true" hidden="false"/>
    </xf>
    <xf numFmtId="164" fontId="17" fillId="10" borderId="14" xfId="23" applyFont="true" applyBorder="true" applyAlignment="true" applyProtection="false">
      <alignment horizontal="center" vertical="top" textRotation="0" wrapText="false" indent="0" shrinkToFit="false"/>
      <protection locked="true" hidden="false"/>
    </xf>
    <xf numFmtId="164" fontId="18" fillId="11" borderId="4" xfId="23" applyFont="true" applyBorder="true" applyAlignment="true" applyProtection="false">
      <alignment horizontal="center" vertical="top" textRotation="0" wrapText="false" indent="0" shrinkToFit="false"/>
      <protection locked="true" hidden="false"/>
    </xf>
    <xf numFmtId="164" fontId="18" fillId="11" borderId="4" xfId="23" applyFont="true" applyBorder="true" applyAlignment="true" applyProtection="false">
      <alignment horizontal="general" vertical="top" textRotation="0" wrapText="false" indent="0" shrinkToFit="false"/>
      <protection locked="true" hidden="false"/>
    </xf>
    <xf numFmtId="164" fontId="17" fillId="11" borderId="0" xfId="23" applyFont="true" applyBorder="false" applyAlignment="true" applyProtection="false">
      <alignment horizontal="center" vertical="top" textRotation="0" wrapText="false" indent="0" shrinkToFit="false"/>
      <protection locked="true" hidden="false"/>
    </xf>
    <xf numFmtId="164" fontId="17" fillId="11" borderId="14" xfId="23" applyFont="true" applyBorder="true" applyAlignment="true" applyProtection="false">
      <alignment horizontal="center" vertical="top" textRotation="0" wrapText="false" indent="0" shrinkToFit="false"/>
      <protection locked="true" hidden="false"/>
    </xf>
    <xf numFmtId="164" fontId="17" fillId="11" borderId="4" xfId="23" applyFont="true" applyBorder="true" applyAlignment="true" applyProtection="false">
      <alignment horizontal="center" vertical="top" textRotation="0" wrapText="false" indent="0" shrinkToFit="false"/>
      <protection locked="true" hidden="false"/>
    </xf>
    <xf numFmtId="164" fontId="6" fillId="11" borderId="0" xfId="23" applyFont="true" applyBorder="false" applyAlignment="false" applyProtection="false">
      <alignment horizontal="general" vertical="bottom" textRotation="0" wrapText="false" indent="0" shrinkToFit="false"/>
      <protection locked="true" hidden="false"/>
    </xf>
    <xf numFmtId="164" fontId="6" fillId="11" borderId="0" xfId="23" applyFont="true" applyBorder="false" applyAlignment="true" applyProtection="false">
      <alignment horizontal="left" vertical="center" textRotation="0" wrapText="false" indent="0" shrinkToFit="false"/>
      <protection locked="true" hidden="false"/>
    </xf>
    <xf numFmtId="164" fontId="6" fillId="11" borderId="4" xfId="23" applyFont="true" applyBorder="true" applyAlignment="true" applyProtection="false">
      <alignment horizontal="center" vertical="center" textRotation="0" wrapText="false" indent="0" shrinkToFit="false"/>
      <protection locked="true" hidden="false"/>
    </xf>
    <xf numFmtId="164" fontId="0" fillId="0" borderId="4" xfId="23" applyFont="true" applyBorder="true" applyAlignment="true" applyProtection="false">
      <alignment horizontal="general" vertical="top" textRotation="0" wrapText="false" indent="0" shrinkToFit="false"/>
      <protection locked="true" hidden="false"/>
    </xf>
    <xf numFmtId="164" fontId="0" fillId="3" borderId="4" xfId="23" applyFont="true" applyBorder="true" applyAlignment="true" applyProtection="false">
      <alignment horizontal="center" vertical="top" textRotation="0" wrapText="false" indent="0" shrinkToFit="false"/>
      <protection locked="true" hidden="false"/>
    </xf>
    <xf numFmtId="164" fontId="0" fillId="3" borderId="4" xfId="23" applyFont="true" applyBorder="true" applyAlignment="true" applyProtection="false">
      <alignment horizontal="general" vertical="top" textRotation="0" wrapText="true" indent="0" shrinkToFit="false"/>
      <protection locked="true" hidden="false"/>
    </xf>
    <xf numFmtId="168" fontId="27" fillId="3" borderId="4" xfId="24" applyFont="true" applyBorder="true" applyAlignment="true" applyProtection="false">
      <alignment horizontal="center" vertical="center" textRotation="0" wrapText="false" indent="0" shrinkToFit="false"/>
      <protection locked="true" hidden="false"/>
    </xf>
    <xf numFmtId="166" fontId="27" fillId="3" borderId="4" xfId="24" applyFont="true" applyBorder="true" applyAlignment="true" applyProtection="false">
      <alignment horizontal="center" vertical="center" textRotation="0" wrapText="false" indent="0" shrinkToFit="false"/>
      <protection locked="true" hidden="false"/>
    </xf>
    <xf numFmtId="168" fontId="28" fillId="3" borderId="4" xfId="24" applyFont="true" applyBorder="true" applyAlignment="true" applyProtection="false">
      <alignment horizontal="center" vertical="center" textRotation="0" wrapText="false" indent="0" shrinkToFit="false"/>
      <protection locked="true" hidden="false"/>
    </xf>
    <xf numFmtId="164" fontId="0" fillId="3" borderId="4" xfId="23" applyFont="true" applyBorder="true" applyAlignment="true" applyProtection="false">
      <alignment horizontal="center" vertical="center" textRotation="0" wrapText="false" indent="0" shrinkToFit="false"/>
      <protection locked="true" hidden="false"/>
    </xf>
    <xf numFmtId="166" fontId="0" fillId="3" borderId="4" xfId="23" applyFont="true" applyBorder="true" applyAlignment="true" applyProtection="false">
      <alignment horizontal="center" vertical="center" textRotation="0" wrapText="false" indent="0" shrinkToFit="false"/>
      <protection locked="true" hidden="false"/>
    </xf>
    <xf numFmtId="166" fontId="9" fillId="3" borderId="4" xfId="23" applyFont="true" applyBorder="true" applyAlignment="true" applyProtection="false">
      <alignment horizontal="center" vertical="center" textRotation="0" wrapText="false" indent="0" shrinkToFit="false"/>
      <protection locked="true" hidden="false"/>
    </xf>
    <xf numFmtId="166" fontId="16" fillId="3" borderId="4" xfId="23" applyFont="true" applyBorder="true" applyAlignment="true" applyProtection="false">
      <alignment horizontal="center" vertical="center" textRotation="0" wrapText="false" indent="0" shrinkToFit="false"/>
      <protection locked="true" hidden="false"/>
    </xf>
    <xf numFmtId="164" fontId="16" fillId="3" borderId="4" xfId="23" applyFont="true" applyBorder="true" applyAlignment="true" applyProtection="false">
      <alignment horizontal="center" vertical="center" textRotation="0" wrapText="false" indent="0" shrinkToFit="false"/>
      <protection locked="true" hidden="false"/>
    </xf>
    <xf numFmtId="164" fontId="9" fillId="3" borderId="4" xfId="23" applyFont="true" applyBorder="true" applyAlignment="true" applyProtection="false">
      <alignment horizontal="center" vertical="center" textRotation="0" wrapText="false" indent="0" shrinkToFit="false"/>
      <protection locked="true" hidden="false"/>
    </xf>
    <xf numFmtId="164" fontId="0" fillId="3" borderId="4" xfId="23" applyFont="true" applyBorder="true" applyAlignment="true" applyProtection="false">
      <alignment horizontal="general" vertical="top" textRotation="0" wrapText="false" indent="0" shrinkToFit="false"/>
      <protection locked="true" hidden="false"/>
    </xf>
    <xf numFmtId="164" fontId="0" fillId="3" borderId="4" xfId="23" applyFont="true" applyBorder="true" applyAlignment="true" applyProtection="false">
      <alignment horizontal="left" vertical="top" textRotation="0" wrapText="false" indent="0" shrinkToFit="false"/>
      <protection locked="true" hidden="false"/>
    </xf>
    <xf numFmtId="164" fontId="0" fillId="0" borderId="4" xfId="23" applyFont="true" applyBorder="true" applyAlignment="true" applyProtection="false">
      <alignment horizontal="center" vertical="center" textRotation="0" wrapText="false" indent="0" shrinkToFit="false"/>
      <protection locked="true" hidden="false"/>
    </xf>
    <xf numFmtId="164" fontId="9" fillId="0" borderId="4" xfId="23" applyFont="true" applyBorder="true" applyAlignment="true" applyProtection="false">
      <alignment horizontal="center" vertical="center" textRotation="0" wrapText="false" indent="0" shrinkToFit="false"/>
      <protection locked="true" hidden="false"/>
    </xf>
    <xf numFmtId="164" fontId="16" fillId="0" borderId="4" xfId="23" applyFont="true" applyBorder="true" applyAlignment="true" applyProtection="false">
      <alignment horizontal="center" vertical="center" textRotation="0" wrapText="false" indent="0" shrinkToFit="false"/>
      <protection locked="true" hidden="false"/>
    </xf>
    <xf numFmtId="166" fontId="28" fillId="3" borderId="4" xfId="24" applyFont="true" applyBorder="true" applyAlignment="true" applyProtection="false">
      <alignment horizontal="center" vertical="center" textRotation="0" wrapText="false" indent="0" shrinkToFit="false"/>
      <protection locked="true" hidden="false"/>
    </xf>
    <xf numFmtId="168" fontId="27" fillId="3" borderId="26" xfId="24" applyFont="true" applyBorder="true" applyAlignment="true" applyProtection="false">
      <alignment horizontal="center" vertical="center" textRotation="0" wrapText="false" indent="0" shrinkToFit="false"/>
      <protection locked="true" hidden="false"/>
    </xf>
    <xf numFmtId="166" fontId="27" fillId="3" borderId="26" xfId="24" applyFont="true" applyBorder="true" applyAlignment="true" applyProtection="false">
      <alignment horizontal="center" vertical="center" textRotation="0" wrapText="false" indent="0" shrinkToFit="false"/>
      <protection locked="true" hidden="false"/>
    </xf>
    <xf numFmtId="168" fontId="28" fillId="3" borderId="0" xfId="24" applyFont="true" applyBorder="false" applyAlignment="true" applyProtection="false">
      <alignment horizontal="center" vertical="center" textRotation="0" wrapText="false" indent="0" shrinkToFit="false"/>
      <protection locked="true" hidden="false"/>
    </xf>
    <xf numFmtId="164" fontId="0" fillId="0" borderId="4" xfId="23" applyFont="true" applyBorder="true" applyAlignment="true" applyProtection="false">
      <alignment horizontal="left" vertical="top" textRotation="0" wrapText="false" indent="0" shrinkToFit="false"/>
      <protection locked="true" hidden="false"/>
    </xf>
    <xf numFmtId="164" fontId="0" fillId="3" borderId="26" xfId="23" applyFont="true" applyBorder="true" applyAlignment="true" applyProtection="false">
      <alignment horizontal="left" vertical="top" textRotation="0" wrapText="false" indent="0" shrinkToFit="false"/>
      <protection locked="true" hidden="false"/>
    </xf>
    <xf numFmtId="164" fontId="0" fillId="0" borderId="26" xfId="23" applyFont="true" applyBorder="true" applyAlignment="true" applyProtection="false">
      <alignment horizontal="general" vertical="top" textRotation="0" wrapText="false" indent="0" shrinkToFit="false"/>
      <protection locked="true" hidden="false"/>
    </xf>
    <xf numFmtId="168" fontId="28" fillId="3" borderId="26" xfId="24" applyFont="true" applyBorder="true" applyAlignment="true" applyProtection="false">
      <alignment horizontal="center" vertical="center" textRotation="0" wrapText="false" indent="0" shrinkToFit="false"/>
      <protection locked="true" hidden="false"/>
    </xf>
    <xf numFmtId="164" fontId="0" fillId="0" borderId="13" xfId="23" applyFont="true" applyBorder="true" applyAlignment="true" applyProtection="false">
      <alignment horizontal="left" vertical="top" textRotation="0" wrapText="false" indent="0" shrinkToFit="false"/>
      <protection locked="true" hidden="false"/>
    </xf>
    <xf numFmtId="164" fontId="0" fillId="0" borderId="0" xfId="23" applyFont="true" applyBorder="false" applyAlignment="true" applyProtection="false">
      <alignment horizontal="general" vertical="top" textRotation="0" wrapText="false" indent="0" shrinkToFit="false"/>
      <protection locked="true" hidden="false"/>
    </xf>
    <xf numFmtId="164" fontId="9" fillId="0" borderId="4" xfId="23" applyFont="true" applyBorder="true" applyAlignment="true" applyProtection="false">
      <alignment horizontal="general" vertical="top" textRotation="0" wrapText="false" indent="0" shrinkToFit="false"/>
      <protection locked="true" hidden="false"/>
    </xf>
    <xf numFmtId="168" fontId="28" fillId="3" borderId="28" xfId="24" applyFont="true" applyBorder="true" applyAlignment="true" applyProtection="false">
      <alignment horizontal="center" vertical="center" textRotation="0" wrapText="false" indent="0" shrinkToFit="false"/>
      <protection locked="true" hidden="false"/>
    </xf>
    <xf numFmtId="164" fontId="29" fillId="11" borderId="13" xfId="23" applyFont="true" applyBorder="true" applyAlignment="true" applyProtection="false">
      <alignment horizontal="center" vertical="center" textRotation="0" wrapText="false" indent="0" shrinkToFit="false"/>
      <protection locked="true" hidden="false"/>
    </xf>
    <xf numFmtId="164" fontId="29" fillId="11" borderId="28" xfId="23" applyFont="true" applyBorder="true" applyAlignment="true" applyProtection="false">
      <alignment horizontal="general" vertical="center" textRotation="0" wrapText="false" indent="0" shrinkToFit="false"/>
      <protection locked="true" hidden="false"/>
    </xf>
    <xf numFmtId="164" fontId="0" fillId="11" borderId="28" xfId="23" applyFont="true" applyBorder="true" applyAlignment="true" applyProtection="false">
      <alignment horizontal="general" vertical="top" textRotation="0" wrapText="false" indent="0" shrinkToFit="false"/>
      <protection locked="true" hidden="false"/>
    </xf>
    <xf numFmtId="164" fontId="0" fillId="11" borderId="14" xfId="23" applyFont="true" applyBorder="true" applyAlignment="true" applyProtection="false">
      <alignment horizontal="general" vertical="top" textRotation="0" wrapText="false" indent="0" shrinkToFit="false"/>
      <protection locked="true" hidden="false"/>
    </xf>
    <xf numFmtId="164" fontId="17" fillId="0" borderId="4" xfId="23" applyFont="true" applyBorder="true" applyAlignment="true" applyProtection="false">
      <alignment horizontal="general" vertical="top" textRotation="0" wrapText="false" indent="0" shrinkToFit="false"/>
      <protection locked="true" hidden="false"/>
    </xf>
    <xf numFmtId="164" fontId="16" fillId="3" borderId="4" xfId="23" applyFont="true" applyBorder="true" applyAlignment="true" applyProtection="false">
      <alignment horizontal="center" vertical="top" textRotation="0" wrapText="false" indent="0" shrinkToFit="false"/>
      <protection locked="true" hidden="false"/>
    </xf>
    <xf numFmtId="164" fontId="16" fillId="3" borderId="4" xfId="23" applyFont="true" applyBorder="true" applyAlignment="true" applyProtection="false">
      <alignment horizontal="general" vertical="top" textRotation="0" wrapText="true" indent="0" shrinkToFit="false"/>
      <protection locked="true" hidden="false"/>
    </xf>
    <xf numFmtId="168" fontId="30" fillId="3" borderId="4" xfId="24" applyFont="true" applyBorder="true" applyAlignment="true" applyProtection="false">
      <alignment horizontal="center" vertical="center" textRotation="0" wrapText="false" indent="0" shrinkToFit="false"/>
      <protection locked="true" hidden="false"/>
    </xf>
    <xf numFmtId="168" fontId="7" fillId="3" borderId="4" xfId="24" applyFont="true" applyBorder="true" applyAlignment="true" applyProtection="false">
      <alignment horizontal="center" vertical="center" textRotation="0" wrapText="false" indent="0" shrinkToFit="false"/>
      <protection locked="true" hidden="false"/>
    </xf>
    <xf numFmtId="168" fontId="16" fillId="3" borderId="4" xfId="23" applyFont="true" applyBorder="true" applyAlignment="true" applyProtection="false">
      <alignment horizontal="center" vertical="top" textRotation="0" wrapText="false" indent="0" shrinkToFit="false"/>
      <protection locked="true" hidden="false"/>
    </xf>
    <xf numFmtId="166" fontId="16" fillId="3" borderId="4" xfId="23" applyFont="true" applyBorder="true" applyAlignment="true" applyProtection="false">
      <alignment horizontal="center" vertical="top" textRotation="0" wrapText="false" indent="0" shrinkToFit="false"/>
      <protection locked="true" hidden="false"/>
    </xf>
    <xf numFmtId="164" fontId="17" fillId="3" borderId="4" xfId="23" applyFont="true" applyBorder="true" applyAlignment="true" applyProtection="false">
      <alignment horizontal="center" vertical="center" textRotation="0" wrapText="false" indent="0" shrinkToFit="false"/>
      <protection locked="true" hidden="false"/>
    </xf>
    <xf numFmtId="166" fontId="17" fillId="3" borderId="4" xfId="23" applyFont="true" applyBorder="true" applyAlignment="true" applyProtection="false">
      <alignment horizontal="center" vertical="top" textRotation="0" wrapText="false" indent="0" shrinkToFit="false"/>
      <protection locked="true" hidden="false"/>
    </xf>
    <xf numFmtId="166" fontId="17" fillId="3" borderId="4" xfId="23" applyFont="true" applyBorder="true" applyAlignment="true" applyProtection="false">
      <alignment horizontal="center" vertical="center" textRotation="0" wrapText="false" indent="0" shrinkToFit="false"/>
      <protection locked="true" hidden="false"/>
    </xf>
    <xf numFmtId="166" fontId="16" fillId="3" borderId="4" xfId="23" applyFont="true" applyBorder="true" applyAlignment="true" applyProtection="false">
      <alignment horizontal="general" vertical="top" textRotation="0" wrapText="false" indent="0" shrinkToFit="false"/>
      <protection locked="true" hidden="false"/>
    </xf>
    <xf numFmtId="164" fontId="16" fillId="3" borderId="4" xfId="23" applyFont="true" applyBorder="true" applyAlignment="true" applyProtection="false">
      <alignment horizontal="general" vertical="top" textRotation="0" wrapText="false" indent="0" shrinkToFit="false"/>
      <protection locked="true" hidden="false"/>
    </xf>
    <xf numFmtId="164" fontId="17" fillId="0" borderId="4" xfId="23" applyFont="true" applyBorder="true" applyAlignment="true" applyProtection="false">
      <alignment horizontal="left" vertical="center" textRotation="0" wrapText="false" indent="0" shrinkToFit="false"/>
      <protection locked="true" hidden="false"/>
    </xf>
    <xf numFmtId="164" fontId="17" fillId="0" borderId="0" xfId="23" applyFont="true" applyBorder="false" applyAlignment="true" applyProtection="false">
      <alignment horizontal="center" vertical="center" textRotation="0" wrapText="false" indent="0" shrinkToFit="false"/>
      <protection locked="true" hidden="false"/>
    </xf>
    <xf numFmtId="164" fontId="17" fillId="0" borderId="4" xfId="23" applyFont="true" applyBorder="true" applyAlignment="true" applyProtection="false">
      <alignment horizontal="general" vertical="center" textRotation="0" wrapText="false" indent="0" shrinkToFit="false"/>
      <protection locked="true" hidden="false"/>
    </xf>
    <xf numFmtId="164" fontId="16" fillId="3" borderId="4" xfId="23" applyFont="true" applyBorder="true" applyAlignment="true" applyProtection="false">
      <alignment horizontal="left" vertical="center" textRotation="0" wrapText="true" indent="0" shrinkToFit="false"/>
      <protection locked="true" hidden="false"/>
    </xf>
    <xf numFmtId="168" fontId="16" fillId="3" borderId="4" xfId="23" applyFont="true" applyBorder="true" applyAlignment="true" applyProtection="false">
      <alignment horizontal="center" vertical="center" textRotation="0" wrapText="false" indent="0" shrinkToFit="false"/>
      <protection locked="true" hidden="false"/>
    </xf>
    <xf numFmtId="166" fontId="16" fillId="0" borderId="4" xfId="23" applyFont="true" applyBorder="true" applyAlignment="true" applyProtection="false">
      <alignment horizontal="center" vertical="center" textRotation="0" wrapText="false" indent="0" shrinkToFit="false"/>
      <protection locked="true" hidden="false"/>
    </xf>
    <xf numFmtId="166" fontId="17" fillId="0" borderId="4" xfId="23" applyFont="true" applyBorder="true" applyAlignment="true" applyProtection="false">
      <alignment horizontal="center" vertical="center" textRotation="0" wrapText="false" indent="0" shrinkToFit="false"/>
      <protection locked="true" hidden="false"/>
    </xf>
    <xf numFmtId="164" fontId="16" fillId="3" borderId="4" xfId="23" applyFont="true" applyBorder="true" applyAlignment="true" applyProtection="false">
      <alignment horizontal="left" vertical="top" textRotation="0" wrapText="false" indent="0" shrinkToFit="false"/>
      <protection locked="true" hidden="false"/>
    </xf>
    <xf numFmtId="164" fontId="17" fillId="3" borderId="4" xfId="23" applyFont="true" applyBorder="true" applyAlignment="true" applyProtection="false">
      <alignment horizontal="center" vertical="top" textRotation="0" wrapText="false" indent="0" shrinkToFit="false"/>
      <protection locked="true" hidden="false"/>
    </xf>
    <xf numFmtId="164" fontId="6" fillId="0" borderId="4" xfId="23" applyFont="true" applyBorder="true" applyAlignment="false" applyProtection="false">
      <alignment horizontal="general" vertical="bottom" textRotation="0" wrapText="false" indent="0" shrinkToFit="false"/>
      <protection locked="true" hidden="false"/>
    </xf>
    <xf numFmtId="166" fontId="16" fillId="3" borderId="3" xfId="23" applyFont="true" applyBorder="true" applyAlignment="true" applyProtection="false">
      <alignment horizontal="center" vertical="center" textRotation="0" wrapText="false" indent="0" shrinkToFit="false"/>
      <protection locked="true" hidden="false"/>
    </xf>
    <xf numFmtId="164" fontId="17" fillId="3" borderId="3" xfId="23" applyFont="true" applyBorder="true" applyAlignment="true" applyProtection="false">
      <alignment horizontal="center" vertical="center" textRotation="0" wrapText="false" indent="0" shrinkToFit="false"/>
      <protection locked="true" hidden="false"/>
    </xf>
    <xf numFmtId="164" fontId="16" fillId="3" borderId="4" xfId="23" applyFont="true" applyBorder="true" applyAlignment="true" applyProtection="false">
      <alignment horizontal="center" vertical="center" textRotation="0" wrapText="true" indent="0" shrinkToFit="false"/>
      <protection locked="true" hidden="false"/>
    </xf>
    <xf numFmtId="164" fontId="16" fillId="0" borderId="4" xfId="23" applyFont="true" applyBorder="true" applyAlignment="true" applyProtection="false">
      <alignment horizontal="center" vertical="top" textRotation="0" wrapText="false" indent="0" shrinkToFit="false"/>
      <protection locked="true" hidden="false"/>
    </xf>
    <xf numFmtId="164" fontId="16" fillId="3" borderId="4" xfId="23" applyFont="true" applyBorder="true" applyAlignment="true" applyProtection="false">
      <alignment horizontal="left" vertical="top" textRotation="0" wrapText="true" indent="0" shrinkToFit="false"/>
      <protection locked="true" hidden="false"/>
    </xf>
    <xf numFmtId="164" fontId="16" fillId="3" borderId="4" xfId="23" applyFont="true" applyBorder="true" applyAlignment="true" applyProtection="false">
      <alignment horizontal="left" vertical="center" textRotation="0" wrapText="false" indent="0" shrinkToFit="false"/>
      <protection locked="true" hidden="false"/>
    </xf>
    <xf numFmtId="164" fontId="17" fillId="0" borderId="4" xfId="23" applyFont="true" applyBorder="true" applyAlignment="true" applyProtection="false">
      <alignment horizontal="center" vertical="center" textRotation="0" wrapText="false" indent="0" shrinkToFit="false"/>
      <protection locked="true" hidden="false"/>
    </xf>
    <xf numFmtId="164" fontId="16" fillId="0" borderId="4" xfId="23" applyFont="true" applyBorder="true" applyAlignment="true" applyProtection="false">
      <alignment horizontal="general" vertical="top" textRotation="0" wrapText="false" indent="0" shrinkToFit="false"/>
      <protection locked="true" hidden="false"/>
    </xf>
    <xf numFmtId="166" fontId="7" fillId="3" borderId="4" xfId="24" applyFont="true" applyBorder="true" applyAlignment="true" applyProtection="false">
      <alignment horizontal="center" vertical="center" textRotation="0" wrapText="false" indent="0" shrinkToFit="false"/>
      <protection locked="true" hidden="false"/>
    </xf>
    <xf numFmtId="164" fontId="18" fillId="11" borderId="13" xfId="23" applyFont="true" applyBorder="true" applyAlignment="true" applyProtection="false">
      <alignment horizontal="center" vertical="center" textRotation="0" wrapText="false" indent="0" shrinkToFit="false"/>
      <protection locked="true" hidden="false"/>
    </xf>
    <xf numFmtId="164" fontId="18" fillId="11" borderId="28" xfId="23" applyFont="true" applyBorder="true" applyAlignment="true" applyProtection="false">
      <alignment horizontal="general" vertical="center" textRotation="0" wrapText="false" indent="0" shrinkToFit="false"/>
      <protection locked="true" hidden="false"/>
    </xf>
    <xf numFmtId="164" fontId="18" fillId="11" borderId="14" xfId="23" applyFont="true" applyBorder="true" applyAlignment="true" applyProtection="false">
      <alignment horizontal="general" vertical="center" textRotation="0" wrapText="false" indent="0" shrinkToFit="false"/>
      <protection locked="true" hidden="false"/>
    </xf>
    <xf numFmtId="164" fontId="17" fillId="11" borderId="9" xfId="23" applyFont="true" applyBorder="true" applyAlignment="true" applyProtection="false">
      <alignment horizontal="general" vertical="center" textRotation="0" wrapText="false" indent="0" shrinkToFit="false"/>
      <protection locked="true" hidden="false"/>
    </xf>
    <xf numFmtId="164" fontId="16" fillId="3" borderId="4" xfId="23" applyFont="true" applyBorder="true" applyAlignment="true" applyProtection="false">
      <alignment horizontal="center" vertical="top" textRotation="0" wrapText="true" indent="0" shrinkToFit="false"/>
      <protection locked="true" hidden="false"/>
    </xf>
    <xf numFmtId="164" fontId="31" fillId="0" borderId="4" xfId="23" applyFont="true" applyBorder="true" applyAlignment="true" applyProtection="false">
      <alignment horizontal="general" vertical="top" textRotation="0" wrapText="false" indent="0" shrinkToFit="false"/>
      <protection locked="true" hidden="false"/>
    </xf>
    <xf numFmtId="164" fontId="26" fillId="3" borderId="4" xfId="23" applyFont="true" applyBorder="true" applyAlignment="true" applyProtection="false">
      <alignment horizontal="center" vertical="top" textRotation="0" wrapText="false" indent="0" shrinkToFit="false"/>
      <protection locked="true" hidden="false"/>
    </xf>
    <xf numFmtId="164" fontId="26" fillId="3" borderId="4" xfId="23" applyFont="true" applyBorder="true" applyAlignment="true" applyProtection="false">
      <alignment horizontal="general" vertical="top" textRotation="0" wrapText="true" indent="0" shrinkToFit="false"/>
      <protection locked="true" hidden="false"/>
    </xf>
    <xf numFmtId="168" fontId="32" fillId="3" borderId="4" xfId="24" applyFont="true" applyBorder="true" applyAlignment="true" applyProtection="false">
      <alignment horizontal="center" vertical="center" textRotation="0" wrapText="false" indent="0" shrinkToFit="false"/>
      <protection locked="true" hidden="false"/>
    </xf>
    <xf numFmtId="168" fontId="28" fillId="3" borderId="4" xfId="24" applyFont="true" applyBorder="true" applyAlignment="true" applyProtection="false">
      <alignment horizontal="left" vertical="center" textRotation="0" wrapText="false" indent="0" shrinkToFit="false"/>
      <protection locked="true" hidden="false"/>
    </xf>
    <xf numFmtId="164" fontId="26" fillId="3" borderId="4" xfId="23" applyFont="true" applyBorder="true" applyAlignment="true" applyProtection="false">
      <alignment horizontal="general" vertical="top" textRotation="0" wrapText="false" indent="0" shrinkToFit="false"/>
      <protection locked="true" hidden="false"/>
    </xf>
    <xf numFmtId="164" fontId="26" fillId="3" borderId="4" xfId="23" applyFont="true" applyBorder="true" applyAlignment="true" applyProtection="false">
      <alignment horizontal="left" vertical="top" textRotation="0" wrapText="false" indent="0" shrinkToFit="false"/>
      <protection locked="true" hidden="false"/>
    </xf>
    <xf numFmtId="164" fontId="26" fillId="3" borderId="4" xfId="23" applyFont="true" applyBorder="true" applyAlignment="true" applyProtection="false">
      <alignment horizontal="center" vertical="top" textRotation="0" wrapText="true" indent="0" shrinkToFit="false"/>
      <protection locked="true" hidden="false"/>
    </xf>
    <xf numFmtId="166" fontId="26" fillId="3" borderId="4" xfId="23" applyFont="true" applyBorder="true" applyAlignment="true" applyProtection="false">
      <alignment horizontal="center" vertical="top" textRotation="0" wrapText="false" indent="0" shrinkToFit="false"/>
      <protection locked="true" hidden="false"/>
    </xf>
    <xf numFmtId="164" fontId="31" fillId="3" borderId="4" xfId="23" applyFont="true" applyBorder="true" applyAlignment="true" applyProtection="false">
      <alignment horizontal="center" vertical="center" textRotation="0" wrapText="false" indent="0" shrinkToFit="false"/>
      <protection locked="true" hidden="false"/>
    </xf>
    <xf numFmtId="164" fontId="26" fillId="3" borderId="4" xfId="23" applyFont="true" applyBorder="true" applyAlignment="true" applyProtection="false">
      <alignment horizontal="center" vertical="center" textRotation="0" wrapText="false" indent="0" shrinkToFit="false"/>
      <protection locked="true" hidden="false"/>
    </xf>
    <xf numFmtId="166" fontId="31" fillId="3" borderId="4" xfId="23" applyFont="true" applyBorder="true" applyAlignment="true" applyProtection="false">
      <alignment horizontal="center" vertical="center" textRotation="0" wrapText="false" indent="0" shrinkToFit="false"/>
      <protection locked="true" hidden="false"/>
    </xf>
    <xf numFmtId="166" fontId="26" fillId="3" borderId="4" xfId="23" applyFont="true" applyBorder="true" applyAlignment="true" applyProtection="false">
      <alignment horizontal="general" vertical="top" textRotation="0" wrapText="false" indent="0" shrinkToFit="false"/>
      <protection locked="true" hidden="false"/>
    </xf>
    <xf numFmtId="166" fontId="26" fillId="3" borderId="4" xfId="23" applyFont="true" applyBorder="true" applyAlignment="true" applyProtection="false">
      <alignment horizontal="center" vertical="center" textRotation="0" wrapText="false" indent="0" shrinkToFit="false"/>
      <protection locked="true" hidden="false"/>
    </xf>
    <xf numFmtId="164" fontId="31" fillId="0" borderId="4" xfId="23" applyFont="true" applyBorder="true" applyAlignment="true" applyProtection="false">
      <alignment horizontal="center" vertical="center" textRotation="0" wrapText="false" indent="0" shrinkToFit="false"/>
      <protection locked="true" hidden="false"/>
    </xf>
    <xf numFmtId="164" fontId="26" fillId="0" borderId="4" xfId="23" applyFont="true" applyBorder="true" applyAlignment="true" applyProtection="false">
      <alignment horizontal="center" vertical="center" textRotation="0" wrapText="false" indent="0" shrinkToFit="false"/>
      <protection locked="true" hidden="false"/>
    </xf>
    <xf numFmtId="164" fontId="26" fillId="0" borderId="4" xfId="23" applyFont="true" applyBorder="true" applyAlignment="true" applyProtection="false">
      <alignment horizontal="general" vertical="top" textRotation="0" wrapText="false" indent="0" shrinkToFit="false"/>
      <protection locked="true" hidden="false"/>
    </xf>
    <xf numFmtId="164" fontId="16" fillId="3" borderId="26" xfId="23" applyFont="true" applyBorder="true" applyAlignment="true" applyProtection="false">
      <alignment horizontal="center" vertical="top" textRotation="0" wrapText="false" indent="0" shrinkToFit="false"/>
      <protection locked="true" hidden="false"/>
    </xf>
    <xf numFmtId="164" fontId="16" fillId="3" borderId="26" xfId="23" applyFont="true" applyBorder="true" applyAlignment="true" applyProtection="false">
      <alignment horizontal="left" vertical="top" textRotation="0" wrapText="false" indent="0" shrinkToFit="false"/>
      <protection locked="true" hidden="false"/>
    </xf>
    <xf numFmtId="164" fontId="16" fillId="3" borderId="26" xfId="23" applyFont="true" applyBorder="true" applyAlignment="true" applyProtection="false">
      <alignment horizontal="center" vertical="top" textRotation="0" wrapText="true" indent="0" shrinkToFit="false"/>
      <protection locked="true" hidden="false"/>
    </xf>
    <xf numFmtId="166" fontId="16" fillId="3" borderId="26" xfId="23" applyFont="true" applyBorder="true" applyAlignment="true" applyProtection="false">
      <alignment horizontal="center" vertical="top" textRotation="0" wrapText="false" indent="0" shrinkToFit="false"/>
      <protection locked="true" hidden="false"/>
    </xf>
    <xf numFmtId="166" fontId="16" fillId="0" borderId="4" xfId="23" applyFont="true" applyBorder="true" applyAlignment="true" applyProtection="false">
      <alignment horizontal="general" vertical="top" textRotation="0" wrapText="false" indent="0" shrinkToFit="false"/>
      <protection locked="true" hidden="false"/>
    </xf>
    <xf numFmtId="164" fontId="33" fillId="3" borderId="4" xfId="23" applyFont="true" applyBorder="true" applyAlignment="true" applyProtection="false">
      <alignment horizontal="center" vertical="top" textRotation="0" wrapText="false" indent="0" shrinkToFit="false"/>
      <protection locked="true" hidden="false"/>
    </xf>
    <xf numFmtId="164" fontId="33" fillId="3" borderId="4" xfId="23" applyFont="true" applyBorder="true" applyAlignment="true" applyProtection="false">
      <alignment horizontal="left" vertical="top" textRotation="0" wrapText="false" indent="0" shrinkToFit="false"/>
      <protection locked="true" hidden="false"/>
    </xf>
    <xf numFmtId="164" fontId="33" fillId="3" borderId="26" xfId="23" applyFont="true" applyBorder="true" applyAlignment="true" applyProtection="false">
      <alignment horizontal="center" vertical="top" textRotation="0" wrapText="true" indent="0" shrinkToFit="false"/>
      <protection locked="true" hidden="false"/>
    </xf>
    <xf numFmtId="166" fontId="16" fillId="3" borderId="3" xfId="23" applyFont="true" applyBorder="true" applyAlignment="true" applyProtection="false">
      <alignment horizontal="center" vertical="top" textRotation="0" wrapText="false" indent="0" shrinkToFit="false"/>
      <protection locked="true" hidden="false"/>
    </xf>
    <xf numFmtId="164" fontId="17" fillId="0" borderId="3" xfId="23" applyFont="true" applyBorder="true" applyAlignment="true" applyProtection="false">
      <alignment horizontal="general" vertical="top" textRotation="0" wrapText="false" indent="0" shrinkToFit="false"/>
      <protection locked="true" hidden="false"/>
    </xf>
    <xf numFmtId="164" fontId="16" fillId="3" borderId="3" xfId="23" applyFont="true" applyBorder="true" applyAlignment="true" applyProtection="false">
      <alignment horizontal="center" vertical="top" textRotation="0" wrapText="false" indent="0" shrinkToFit="false"/>
      <protection locked="true" hidden="false"/>
    </xf>
    <xf numFmtId="164" fontId="17" fillId="3" borderId="3" xfId="23" applyFont="true" applyBorder="true" applyAlignment="true" applyProtection="false">
      <alignment horizontal="center" vertical="top" textRotation="0" wrapText="false" indent="0" shrinkToFit="false"/>
      <protection locked="true" hidden="false"/>
    </xf>
    <xf numFmtId="164" fontId="18" fillId="11" borderId="4" xfId="23" applyFont="true" applyBorder="true" applyAlignment="true" applyProtection="false">
      <alignment horizontal="general" vertical="center" textRotation="0" wrapText="false" indent="0" shrinkToFit="false"/>
      <protection locked="true" hidden="false"/>
    </xf>
    <xf numFmtId="168" fontId="27" fillId="11" borderId="14" xfId="24" applyFont="true" applyBorder="true" applyAlignment="true" applyProtection="false">
      <alignment horizontal="center" vertical="center" textRotation="0" wrapText="false" indent="0" shrinkToFit="false"/>
      <protection locked="true" hidden="false"/>
    </xf>
    <xf numFmtId="164" fontId="34" fillId="0" borderId="4" xfId="23" applyFont="true" applyBorder="true" applyAlignment="true" applyProtection="false">
      <alignment horizontal="left" vertical="top" textRotation="0" wrapText="false" indent="1" shrinkToFit="false"/>
      <protection locked="true" hidden="false"/>
    </xf>
    <xf numFmtId="164" fontId="30" fillId="3" borderId="4" xfId="23" applyFont="true" applyBorder="true" applyAlignment="false" applyProtection="false">
      <alignment horizontal="general" vertical="bottom" textRotation="0" wrapText="false" indent="0" shrinkToFit="false"/>
      <protection locked="true" hidden="false"/>
    </xf>
    <xf numFmtId="164" fontId="34" fillId="0" borderId="4" xfId="23" applyFont="true" applyBorder="true" applyAlignment="true" applyProtection="false">
      <alignment horizontal="left" vertical="center" textRotation="0" wrapText="false" indent="1" shrinkToFit="false"/>
      <protection locked="true" hidden="false"/>
    </xf>
    <xf numFmtId="164" fontId="30" fillId="3" borderId="3" xfId="23" applyFont="true" applyBorder="true" applyAlignment="true" applyProtection="false">
      <alignment horizontal="justify" vertical="bottom" textRotation="0" wrapText="true" indent="0" shrinkToFit="false"/>
      <protection locked="true" hidden="false"/>
    </xf>
    <xf numFmtId="164" fontId="30" fillId="3" borderId="3" xfId="23" applyFont="true" applyBorder="true" applyAlignment="false" applyProtection="false">
      <alignment horizontal="general" vertical="bottom" textRotation="0" wrapText="false" indent="0" shrinkToFit="false"/>
      <protection locked="true" hidden="false"/>
    </xf>
    <xf numFmtId="164" fontId="17" fillId="0" borderId="4" xfId="23" applyFont="true" applyBorder="true" applyAlignment="true" applyProtection="false">
      <alignment horizontal="left" vertical="top" textRotation="0" wrapText="false" indent="1" shrinkToFit="false"/>
      <protection locked="true" hidden="false"/>
    </xf>
    <xf numFmtId="164" fontId="30" fillId="3" borderId="0" xfId="23" applyFont="true" applyBorder="false" applyAlignment="true" applyProtection="false">
      <alignment horizontal="general" vertical="bottom" textRotation="0" wrapText="true" indent="0" shrinkToFit="false"/>
      <protection locked="true" hidden="false"/>
    </xf>
    <xf numFmtId="164" fontId="16" fillId="3" borderId="26" xfId="23" applyFont="true" applyBorder="true" applyAlignment="true" applyProtection="false">
      <alignment horizontal="center" vertical="center" textRotation="0" wrapText="false" indent="0" shrinkToFit="false"/>
      <protection locked="true" hidden="false"/>
    </xf>
    <xf numFmtId="164" fontId="17" fillId="0" borderId="26" xfId="23" applyFont="true" applyBorder="true" applyAlignment="true" applyProtection="false">
      <alignment horizontal="left" vertical="top" textRotation="0" wrapText="false" indent="1" shrinkToFit="false"/>
      <protection locked="true" hidden="false"/>
    </xf>
    <xf numFmtId="164" fontId="30" fillId="3" borderId="26" xfId="23" applyFont="true" applyBorder="true" applyAlignment="true" applyProtection="false">
      <alignment horizontal="general" vertical="bottom" textRotation="0" wrapText="true" indent="0" shrinkToFit="false"/>
      <protection locked="true" hidden="false"/>
    </xf>
    <xf numFmtId="168" fontId="30" fillId="3" borderId="27" xfId="24" applyFont="true" applyBorder="true" applyAlignment="true" applyProtection="false">
      <alignment horizontal="center" vertical="center" textRotation="0" wrapText="false" indent="0" shrinkToFit="false"/>
      <protection locked="true" hidden="false"/>
    </xf>
    <xf numFmtId="166" fontId="16" fillId="3" borderId="14" xfId="23" applyFont="true" applyBorder="true" applyAlignment="true" applyProtection="false">
      <alignment horizontal="center" vertical="center" textRotation="0" wrapText="false" indent="0" shrinkToFit="false"/>
      <protection locked="true" hidden="false"/>
    </xf>
    <xf numFmtId="164" fontId="17" fillId="3" borderId="4" xfId="23" applyFont="true" applyBorder="true" applyAlignment="true" applyProtection="false">
      <alignment horizontal="left" vertical="top" textRotation="0" wrapText="false" indent="0" shrinkToFit="false"/>
      <protection locked="true" hidden="false"/>
    </xf>
    <xf numFmtId="168" fontId="30" fillId="3" borderId="13" xfId="24" applyFont="true" applyBorder="true" applyAlignment="true" applyProtection="false">
      <alignment horizontal="center" vertical="center" textRotation="0" wrapText="false" indent="0" shrinkToFit="false"/>
      <protection locked="true" hidden="false"/>
    </xf>
    <xf numFmtId="164" fontId="0" fillId="0" borderId="4" xfId="23" applyFont="true" applyBorder="true" applyAlignment="true" applyProtection="false">
      <alignment horizontal="center" vertical="bottom" textRotation="0" wrapText="false" indent="0" shrinkToFit="false"/>
      <protection locked="true" hidden="false"/>
    </xf>
    <xf numFmtId="166" fontId="0" fillId="0" borderId="4" xfId="23" applyFont="true" applyBorder="true" applyAlignment="true" applyProtection="false">
      <alignment horizontal="center" vertical="bottom" textRotation="0" wrapText="false" indent="0" shrinkToFit="false"/>
      <protection locked="true" hidden="false"/>
    </xf>
    <xf numFmtId="164" fontId="15" fillId="0" borderId="4" xfId="23" applyFont="true" applyBorder="true" applyAlignment="false" applyProtection="false">
      <alignment horizontal="general" vertical="bottom" textRotation="0" wrapText="false" indent="0" shrinkToFit="false"/>
      <protection locked="true" hidden="false"/>
    </xf>
    <xf numFmtId="164" fontId="6" fillId="3" borderId="4" xfId="23" applyFont="true" applyBorder="true" applyAlignment="false" applyProtection="false">
      <alignment horizontal="general" vertical="bottom" textRotation="0" wrapText="false" indent="0" shrinkToFit="false"/>
      <protection locked="true" hidden="false"/>
    </xf>
    <xf numFmtId="164" fontId="6" fillId="0" borderId="4" xfId="23" applyFont="true" applyBorder="true" applyAlignment="true" applyProtection="false">
      <alignment horizontal="center" vertical="bottom" textRotation="0" wrapText="false" indent="0" shrinkToFit="false"/>
      <protection locked="true" hidden="false"/>
    </xf>
    <xf numFmtId="164" fontId="35" fillId="3" borderId="4" xfId="23" applyFont="true" applyBorder="true" applyAlignment="false" applyProtection="false">
      <alignment horizontal="general" vertical="bottom" textRotation="0" wrapText="false" indent="0" shrinkToFit="false"/>
      <protection locked="true" hidden="false"/>
    </xf>
    <xf numFmtId="164" fontId="15" fillId="0" borderId="4" xfId="23" applyFont="true" applyBorder="true" applyAlignment="true" applyProtection="false">
      <alignment horizontal="center" vertical="bottom" textRotation="0" wrapText="false" indent="0" shrinkToFit="false"/>
      <protection locked="true" hidden="false"/>
    </xf>
    <xf numFmtId="164" fontId="9" fillId="0" borderId="4" xfId="23" applyFont="true" applyBorder="true" applyAlignment="true" applyProtection="false">
      <alignment horizontal="left" vertical="top" textRotation="0" wrapText="false" indent="1" shrinkToFit="false"/>
      <protection locked="true" hidden="false"/>
    </xf>
    <xf numFmtId="164" fontId="9" fillId="0" borderId="3" xfId="23" applyFont="true" applyBorder="true" applyAlignment="true" applyProtection="false">
      <alignment horizontal="left" vertical="top" textRotation="0" wrapText="false" indent="1" shrinkToFit="false"/>
      <protection locked="true" hidden="false"/>
    </xf>
    <xf numFmtId="164" fontId="16" fillId="3" borderId="29" xfId="23" applyFont="true" applyBorder="true" applyAlignment="true" applyProtection="false">
      <alignment horizontal="center" vertical="top" textRotation="0" wrapText="false" indent="0" shrinkToFit="false"/>
      <protection locked="true" hidden="false"/>
    </xf>
    <xf numFmtId="169" fontId="6" fillId="0" borderId="4" xfId="23" applyFont="true" applyBorder="true" applyAlignment="true" applyProtection="false">
      <alignment horizontal="center" vertical="bottom" textRotation="0" wrapText="false" indent="0" shrinkToFit="false"/>
      <protection locked="true" hidden="false"/>
    </xf>
    <xf numFmtId="164" fontId="9" fillId="3" borderId="4" xfId="23" applyFont="true" applyBorder="true" applyAlignment="true" applyProtection="false">
      <alignment horizontal="left" vertical="top" textRotation="0" wrapText="false" indent="0" shrinkToFit="false"/>
      <protection locked="true" hidden="false"/>
    </xf>
    <xf numFmtId="164" fontId="15" fillId="0" borderId="13" xfId="23" applyFont="true" applyBorder="true" applyAlignment="true" applyProtection="false">
      <alignment horizontal="center" vertical="bottom" textRotation="0" wrapText="false" indent="0" shrinkToFit="false"/>
      <protection locked="true" hidden="false"/>
    </xf>
    <xf numFmtId="169" fontId="6" fillId="0" borderId="3" xfId="23" applyFont="true" applyBorder="true" applyAlignment="true" applyProtection="false">
      <alignment horizontal="center" vertical="bottom" textRotation="0" wrapText="false" indent="0" shrinkToFit="false"/>
      <protection locked="true" hidden="false"/>
    </xf>
    <xf numFmtId="164" fontId="16" fillId="3" borderId="13" xfId="23" applyFont="true" applyBorder="true" applyAlignment="true" applyProtection="false">
      <alignment horizontal="center" vertical="top" textRotation="0" wrapText="false" indent="0" shrinkToFit="false"/>
      <protection locked="true" hidden="false"/>
    </xf>
    <xf numFmtId="164" fontId="35" fillId="3" borderId="4" xfId="23" applyFont="true" applyBorder="true" applyAlignment="true" applyProtection="false">
      <alignment horizontal="left" vertical="bottom" textRotation="0" wrapText="false" indent="0" shrinkToFit="false"/>
      <protection locked="true" hidden="false"/>
    </xf>
    <xf numFmtId="164" fontId="17" fillId="3" borderId="13" xfId="23" applyFont="true" applyBorder="true" applyAlignment="true" applyProtection="false">
      <alignment horizontal="center" vertical="top" textRotation="0" wrapText="false" indent="0" shrinkToFit="false"/>
      <protection locked="true" hidden="false"/>
    </xf>
    <xf numFmtId="166" fontId="16" fillId="3" borderId="14" xfId="23" applyFont="true" applyBorder="true" applyAlignment="true" applyProtection="false">
      <alignment horizontal="general" vertical="top" textRotation="0" wrapText="false" indent="0" shrinkToFit="false"/>
      <protection locked="true" hidden="false"/>
    </xf>
    <xf numFmtId="164" fontId="17" fillId="0" borderId="26" xfId="23" applyFont="true" applyBorder="true" applyAlignment="true" applyProtection="false">
      <alignment horizontal="general" vertical="top" textRotation="0" wrapText="false" indent="0" shrinkToFit="false"/>
      <protection locked="true" hidden="false"/>
    </xf>
    <xf numFmtId="164" fontId="16" fillId="3" borderId="27" xfId="23" applyFont="true" applyBorder="true" applyAlignment="true" applyProtection="false">
      <alignment horizontal="center" vertical="top" textRotation="0" wrapText="false" indent="0" shrinkToFit="false"/>
      <protection locked="true" hidden="false"/>
    </xf>
    <xf numFmtId="164" fontId="9" fillId="3" borderId="26" xfId="23" applyFont="true" applyBorder="true" applyAlignment="true" applyProtection="false">
      <alignment horizontal="left" vertical="top" textRotation="0" wrapText="false" indent="0" shrinkToFit="false"/>
      <protection locked="true" hidden="false"/>
    </xf>
    <xf numFmtId="164" fontId="17" fillId="3" borderId="27" xfId="23" applyFont="true" applyBorder="true" applyAlignment="true" applyProtection="false">
      <alignment horizontal="center" vertical="top" textRotation="0" wrapText="false" indent="0" shrinkToFit="false"/>
      <protection locked="true" hidden="false"/>
    </xf>
    <xf numFmtId="164" fontId="0" fillId="0" borderId="26" xfId="23" applyFont="true" applyBorder="true" applyAlignment="true" applyProtection="false">
      <alignment horizontal="center" vertical="bottom" textRotation="0" wrapText="false" indent="0" shrinkToFit="false"/>
      <protection locked="true" hidden="false"/>
    </xf>
    <xf numFmtId="166" fontId="0" fillId="0" borderId="26" xfId="23" applyFont="true" applyBorder="true" applyAlignment="true" applyProtection="false">
      <alignment horizontal="center" vertical="bottom" textRotation="0" wrapText="false" indent="0" shrinkToFit="false"/>
      <protection locked="true" hidden="false"/>
    </xf>
    <xf numFmtId="166" fontId="16" fillId="3" borderId="15" xfId="23" applyFont="true" applyBorder="true" applyAlignment="true" applyProtection="false">
      <alignment horizontal="general" vertical="top" textRotation="0" wrapText="false" indent="0" shrinkToFit="false"/>
      <protection locked="true" hidden="false"/>
    </xf>
    <xf numFmtId="164" fontId="16" fillId="0" borderId="26" xfId="23" applyFont="true" applyBorder="true" applyAlignment="true" applyProtection="false">
      <alignment horizontal="general" vertical="top" textRotation="0" wrapText="false" indent="0" shrinkToFit="false"/>
      <protection locked="true" hidden="false"/>
    </xf>
    <xf numFmtId="164" fontId="16" fillId="0" borderId="26" xfId="23" applyFont="true" applyBorder="true" applyAlignment="true" applyProtection="false">
      <alignment horizontal="center" vertical="center" textRotation="0" wrapText="false" indent="0" shrinkToFit="false"/>
      <protection locked="true" hidden="false"/>
    </xf>
    <xf numFmtId="164" fontId="17" fillId="0" borderId="26" xfId="23" applyFont="true" applyBorder="true" applyAlignment="true" applyProtection="false">
      <alignment horizontal="center" vertical="center" textRotation="0" wrapText="false" indent="0" shrinkToFit="false"/>
      <protection locked="true" hidden="false"/>
    </xf>
    <xf numFmtId="164" fontId="17" fillId="11" borderId="28" xfId="23" applyFont="true" applyBorder="true" applyAlignment="true" applyProtection="false">
      <alignment horizontal="general" vertical="top" textRotation="0" wrapText="false" indent="0" shrinkToFit="false"/>
      <protection locked="true" hidden="false"/>
    </xf>
    <xf numFmtId="164" fontId="17" fillId="11" borderId="14" xfId="23" applyFont="true" applyBorder="true" applyAlignment="true" applyProtection="false">
      <alignment horizontal="general" vertical="top" textRotation="0" wrapText="false" indent="0" shrinkToFit="false"/>
      <protection locked="true" hidden="false"/>
    </xf>
    <xf numFmtId="164" fontId="6" fillId="0" borderId="0" xfId="23" applyFont="true" applyBorder="false" applyAlignment="true" applyProtection="false">
      <alignment horizontal="center" vertical="center" textRotation="0" wrapText="false" indent="0" shrinkToFit="false"/>
      <protection locked="true" hidden="false"/>
    </xf>
    <xf numFmtId="164" fontId="16" fillId="0" borderId="4" xfId="23" applyFont="true" applyBorder="true" applyAlignment="true" applyProtection="false">
      <alignment horizontal="left" vertical="top" textRotation="0" wrapText="false" indent="0" shrinkToFit="false"/>
      <protection locked="true" hidden="false"/>
    </xf>
    <xf numFmtId="164" fontId="16" fillId="0" borderId="4" xfId="23" applyFont="true" applyBorder="true" applyAlignment="true" applyProtection="false">
      <alignment horizontal="left" vertical="top" textRotation="0" wrapText="true" indent="0" shrinkToFit="false"/>
      <protection locked="true" hidden="false"/>
    </xf>
    <xf numFmtId="164" fontId="16" fillId="0" borderId="4" xfId="23" applyFont="true" applyBorder="true" applyAlignment="true" applyProtection="false">
      <alignment horizontal="left" vertical="center" textRotation="0" wrapText="true" indent="0" shrinkToFit="false"/>
      <protection locked="true" hidden="false"/>
    </xf>
    <xf numFmtId="164" fontId="17" fillId="0" borderId="4" xfId="23" applyFont="true" applyBorder="true" applyAlignment="true" applyProtection="false">
      <alignment horizontal="center" vertical="top" textRotation="0" wrapText="false" indent="0" shrinkToFit="false"/>
      <protection locked="true" hidden="false"/>
    </xf>
    <xf numFmtId="166" fontId="16" fillId="0" borderId="0" xfId="23" applyFont="true" applyBorder="false" applyAlignment="true" applyProtection="false">
      <alignment horizontal="general" vertical="top" textRotation="0" wrapText="false" indent="0" shrinkToFit="false"/>
      <protection locked="true" hidden="false"/>
    </xf>
    <xf numFmtId="164" fontId="17" fillId="0" borderId="0" xfId="23" applyFont="true" applyBorder="false" applyAlignment="true" applyProtection="false">
      <alignment horizontal="general" vertical="top" textRotation="0" wrapText="false" indent="0" shrinkToFit="false"/>
      <protection locked="true" hidden="false"/>
    </xf>
    <xf numFmtId="164" fontId="16" fillId="0" borderId="26" xfId="23" applyFont="true" applyBorder="true" applyAlignment="true" applyProtection="false">
      <alignment horizontal="left" vertical="top" textRotation="0" wrapText="false" indent="0" shrinkToFit="false"/>
      <protection locked="true" hidden="false"/>
    </xf>
    <xf numFmtId="164" fontId="17" fillId="3" borderId="26" xfId="23" applyFont="true" applyBorder="true" applyAlignment="true" applyProtection="false">
      <alignment horizontal="center" vertical="center" textRotation="0" wrapText="false" indent="0" shrinkToFit="false"/>
      <protection locked="true" hidden="false"/>
    </xf>
    <xf numFmtId="164" fontId="36" fillId="11" borderId="13" xfId="23" applyFont="true" applyBorder="true" applyAlignment="true" applyProtection="false">
      <alignment horizontal="general" vertical="center" textRotation="0" wrapText="false" indent="0" shrinkToFit="false"/>
      <protection locked="true" hidden="false"/>
    </xf>
    <xf numFmtId="164" fontId="36" fillId="11" borderId="28" xfId="23" applyFont="true" applyBorder="true" applyAlignment="true" applyProtection="false">
      <alignment horizontal="general" vertical="center" textRotation="0" wrapText="false" indent="0" shrinkToFit="false"/>
      <protection locked="true" hidden="false"/>
    </xf>
    <xf numFmtId="164" fontId="36" fillId="11" borderId="14" xfId="23" applyFont="true" applyBorder="true" applyAlignment="true" applyProtection="false">
      <alignment horizontal="general" vertical="center" textRotation="0" wrapText="false" indent="0" shrinkToFit="false"/>
      <protection locked="true" hidden="false"/>
    </xf>
    <xf numFmtId="164" fontId="15" fillId="11" borderId="4" xfId="23" applyFont="true" applyBorder="true" applyAlignment="false" applyProtection="false">
      <alignment horizontal="general" vertical="bottom" textRotation="0" wrapText="false" indent="0" shrinkToFit="false"/>
      <protection locked="true" hidden="false"/>
    </xf>
    <xf numFmtId="164" fontId="16" fillId="3" borderId="29" xfId="23" applyFont="true" applyBorder="true" applyAlignment="true" applyProtection="false">
      <alignment horizontal="general" vertical="top" textRotation="0" wrapText="true" indent="0" shrinkToFit="false"/>
      <protection locked="true" hidden="false"/>
    </xf>
    <xf numFmtId="164" fontId="17" fillId="3" borderId="4" xfId="23" applyFont="true" applyBorder="true" applyAlignment="true" applyProtection="false">
      <alignment horizontal="general" vertical="top" textRotation="0" wrapText="false" indent="0" shrinkToFit="false"/>
      <protection locked="true" hidden="false"/>
    </xf>
    <xf numFmtId="164" fontId="36" fillId="11" borderId="13" xfId="23" applyFont="true" applyBorder="true" applyAlignment="true" applyProtection="false">
      <alignment horizontal="center" vertical="center" textRotation="0" wrapText="false" indent="0" shrinkToFit="false"/>
      <protection locked="true" hidden="false"/>
    </xf>
    <xf numFmtId="164" fontId="36" fillId="11" borderId="4" xfId="23" applyFont="true" applyBorder="true" applyAlignment="true" applyProtection="false">
      <alignment horizontal="general" vertical="center" textRotation="0" wrapText="false" indent="0" shrinkToFit="false"/>
      <protection locked="true" hidden="false"/>
    </xf>
    <xf numFmtId="166" fontId="6" fillId="0" borderId="0" xfId="23" applyFont="true" applyBorder="false" applyAlignment="false" applyProtection="false">
      <alignment horizontal="general" vertical="bottom" textRotation="0" wrapText="false" indent="0" shrinkToFit="false"/>
      <protection locked="true" hidden="false"/>
    </xf>
    <xf numFmtId="164" fontId="17" fillId="3" borderId="0" xfId="23" applyFont="true" applyBorder="false" applyAlignment="true" applyProtection="false">
      <alignment horizontal="general" vertical="top" textRotation="0" wrapText="false" indent="0" shrinkToFit="false"/>
      <protection locked="true" hidden="false"/>
    </xf>
    <xf numFmtId="164" fontId="16" fillId="3" borderId="0" xfId="23" applyFont="true" applyBorder="false" applyAlignment="true" applyProtection="false">
      <alignment horizontal="center" vertical="center" textRotation="0" wrapText="false" indent="0" shrinkToFit="false"/>
      <protection locked="true" hidden="false"/>
    </xf>
    <xf numFmtId="164" fontId="16" fillId="3" borderId="0" xfId="23" applyFont="true" applyBorder="false" applyAlignment="true" applyProtection="false">
      <alignment horizontal="left" vertical="top" textRotation="0" wrapText="false" indent="0" shrinkToFit="false"/>
      <protection locked="true" hidden="false"/>
    </xf>
    <xf numFmtId="168" fontId="30" fillId="3" borderId="0" xfId="24" applyFont="true" applyBorder="false" applyAlignment="true" applyProtection="false">
      <alignment horizontal="center" vertical="center" textRotation="0" wrapText="false" indent="0" shrinkToFit="false"/>
      <protection locked="true" hidden="false"/>
    </xf>
    <xf numFmtId="168" fontId="27" fillId="3" borderId="0" xfId="24" applyFont="true" applyBorder="false" applyAlignment="true" applyProtection="false">
      <alignment horizontal="center" vertical="center" textRotation="0" wrapText="false" indent="0" shrinkToFit="false"/>
      <protection locked="true" hidden="false"/>
    </xf>
    <xf numFmtId="166" fontId="16" fillId="3" borderId="0" xfId="23" applyFont="true" applyBorder="false" applyAlignment="true" applyProtection="false">
      <alignment horizontal="center" vertical="top" textRotation="0" wrapText="false" indent="0" shrinkToFit="false"/>
      <protection locked="true" hidden="false"/>
    </xf>
    <xf numFmtId="164" fontId="17" fillId="3" borderId="0" xfId="23" applyFont="true" applyBorder="false" applyAlignment="true" applyProtection="false">
      <alignment horizontal="center" vertical="center" textRotation="0" wrapText="false" indent="0" shrinkToFit="false"/>
      <protection locked="true" hidden="false"/>
    </xf>
    <xf numFmtId="166" fontId="16" fillId="3" borderId="0" xfId="23" applyFont="true" applyBorder="false" applyAlignment="true" applyProtection="false">
      <alignment horizontal="general" vertical="top" textRotation="0" wrapText="false" indent="0" shrinkToFit="false"/>
      <protection locked="true" hidden="false"/>
    </xf>
    <xf numFmtId="166" fontId="17" fillId="3" borderId="0" xfId="23" applyFont="true" applyBorder="false" applyAlignment="true" applyProtection="false">
      <alignment horizontal="center" vertical="center" textRotation="0" wrapText="false" indent="0" shrinkToFit="false"/>
      <protection locked="true" hidden="false"/>
    </xf>
    <xf numFmtId="164" fontId="16" fillId="3" borderId="0" xfId="23" applyFont="true" applyBorder="false" applyAlignment="true" applyProtection="false">
      <alignment horizontal="general" vertical="top" textRotation="0" wrapText="false" indent="0" shrinkToFit="false"/>
      <protection locked="true" hidden="false"/>
    </xf>
    <xf numFmtId="166" fontId="17" fillId="3" borderId="0" xfId="23" applyFont="true" applyBorder="false" applyAlignment="true" applyProtection="false">
      <alignment horizontal="center" vertical="top" textRotation="0" wrapText="false" indent="0" shrinkToFit="false"/>
      <protection locked="true" hidden="false"/>
    </xf>
    <xf numFmtId="164" fontId="17" fillId="3" borderId="0" xfId="23" applyFont="true" applyBorder="false" applyAlignment="true" applyProtection="false">
      <alignment horizontal="center" vertical="top" textRotation="0" wrapText="false" indent="0" shrinkToFit="false"/>
      <protection locked="true" hidden="false"/>
    </xf>
    <xf numFmtId="164" fontId="24" fillId="3" borderId="4" xfId="24" applyFont="true" applyBorder="true" applyAlignment="true" applyProtection="false">
      <alignment horizontal="center" vertical="center" textRotation="0" wrapText="true" indent="0" shrinkToFit="false"/>
      <protection locked="true" hidden="false"/>
    </xf>
    <xf numFmtId="170" fontId="20" fillId="0" borderId="4" xfId="23" applyFont="true" applyBorder="true" applyAlignment="true" applyProtection="false">
      <alignment horizontal="center" vertical="center" textRotation="0" wrapText="false" indent="0" shrinkToFit="false"/>
      <protection locked="true" hidden="false"/>
    </xf>
    <xf numFmtId="171" fontId="37" fillId="3" borderId="4" xfId="28" applyFont="true" applyBorder="true" applyAlignment="true" applyProtection="true">
      <alignment horizontal="center" vertical="center" textRotation="0" wrapText="false" indent="0" shrinkToFit="false"/>
      <protection locked="true" hidden="false"/>
    </xf>
    <xf numFmtId="164" fontId="0" fillId="0" borderId="0" xfId="0" applyFont="false" applyBorder="false" applyAlignment="true" applyProtection="false">
      <alignment horizontal="left" vertical="center" textRotation="0" wrapText="false" indent="1" shrinkToFit="false"/>
      <protection locked="true" hidden="false"/>
    </xf>
    <xf numFmtId="166" fontId="0" fillId="0" borderId="0" xfId="0" applyFont="false" applyBorder="false" applyAlignment="true" applyProtection="false">
      <alignment horizontal="center" vertical="center" textRotation="0" wrapText="false" indent="0" shrinkToFit="false"/>
      <protection locked="true" hidden="false"/>
    </xf>
    <xf numFmtId="164" fontId="38" fillId="0" borderId="0" xfId="0" applyFont="true" applyBorder="false" applyAlignment="true" applyProtection="false">
      <alignment horizontal="center" vertical="center" textRotation="0" wrapText="false" indent="0" shrinkToFit="false"/>
      <protection locked="true" hidden="false"/>
    </xf>
    <xf numFmtId="164" fontId="39" fillId="2" borderId="30" xfId="26" applyFont="true" applyBorder="true" applyAlignment="true" applyProtection="false">
      <alignment horizontal="center" vertical="center" textRotation="0" wrapText="true" indent="0" shrinkToFit="false"/>
      <protection locked="true" hidden="false"/>
    </xf>
    <xf numFmtId="164" fontId="39" fillId="2" borderId="29" xfId="26" applyFont="true" applyBorder="true" applyAlignment="true" applyProtection="false">
      <alignment horizontal="center" vertical="center" textRotation="0" wrapText="true" indent="0" shrinkToFit="false"/>
      <protection locked="true" hidden="false"/>
    </xf>
    <xf numFmtId="164" fontId="39" fillId="2" borderId="29" xfId="26" applyFont="true" applyBorder="true" applyAlignment="true" applyProtection="false">
      <alignment horizontal="center" vertical="center" textRotation="0" wrapText="true" indent="1" shrinkToFit="false"/>
      <protection locked="true" hidden="false"/>
    </xf>
    <xf numFmtId="166" fontId="39" fillId="2" borderId="29" xfId="26" applyFont="true" applyBorder="true" applyAlignment="true" applyProtection="false">
      <alignment horizontal="center" vertical="center" textRotation="0" wrapText="true" indent="0" shrinkToFit="false"/>
      <protection locked="true" hidden="false"/>
    </xf>
    <xf numFmtId="166" fontId="39" fillId="2" borderId="7" xfId="26" applyFont="true" applyBorder="true" applyAlignment="true" applyProtection="false">
      <alignment horizontal="center" vertical="center" textRotation="0" wrapText="true" indent="0" shrinkToFit="false"/>
      <protection locked="true" hidden="false"/>
    </xf>
    <xf numFmtId="164" fontId="39" fillId="2" borderId="7" xfId="26" applyFont="true" applyBorder="true" applyAlignment="true" applyProtection="false">
      <alignment horizontal="center" vertical="center" textRotation="0" wrapText="true" indent="0" shrinkToFit="false"/>
      <protection locked="true" hidden="false"/>
    </xf>
    <xf numFmtId="164" fontId="10" fillId="0" borderId="4" xfId="0" applyFont="true" applyBorder="true" applyAlignment="true" applyProtection="false">
      <alignment horizontal="center" vertical="center" textRotation="0" wrapText="true" indent="0" shrinkToFit="false"/>
      <protection locked="true" hidden="false"/>
    </xf>
    <xf numFmtId="164" fontId="40" fillId="0" borderId="4" xfId="0" applyFont="true" applyBorder="true" applyAlignment="true" applyProtection="false">
      <alignment horizontal="left" vertical="center" textRotation="0" wrapText="true" indent="0" shrinkToFit="false"/>
      <protection locked="true" hidden="false"/>
    </xf>
    <xf numFmtId="164" fontId="40" fillId="0" borderId="4" xfId="0" applyFont="true" applyBorder="true" applyAlignment="true" applyProtection="false">
      <alignment horizontal="center" vertical="center" textRotation="0" wrapText="true" indent="0" shrinkToFit="false"/>
      <protection locked="true" hidden="false"/>
    </xf>
    <xf numFmtId="164" fontId="41" fillId="0" borderId="4" xfId="0" applyFont="true" applyBorder="true" applyAlignment="true" applyProtection="false">
      <alignment horizontal="center" vertical="center" textRotation="0" wrapText="true" indent="0" shrinkToFit="false"/>
      <protection locked="true" hidden="false"/>
    </xf>
    <xf numFmtId="166" fontId="40" fillId="0" borderId="4" xfId="0" applyFont="true" applyBorder="true" applyAlignment="true" applyProtection="false">
      <alignment horizontal="center" vertical="center" textRotation="0" wrapText="true" indent="0" shrinkToFit="false"/>
      <protection locked="true" hidden="false"/>
    </xf>
    <xf numFmtId="164" fontId="40" fillId="0" borderId="4" xfId="0" applyFont="true" applyBorder="true" applyAlignment="true" applyProtection="false">
      <alignment horizontal="general" vertical="center" textRotation="0" wrapText="true" indent="0" shrinkToFit="false"/>
      <protection locked="true" hidden="false"/>
    </xf>
    <xf numFmtId="164" fontId="27" fillId="0" borderId="4" xfId="0" applyFont="true" applyBorder="true" applyAlignment="true" applyProtection="false">
      <alignment horizontal="left" vertical="center" textRotation="0" wrapText="true" indent="0" shrinkToFit="false"/>
      <protection locked="true" hidden="false"/>
    </xf>
    <xf numFmtId="164" fontId="27" fillId="0" borderId="4" xfId="0" applyFont="true" applyBorder="true" applyAlignment="true" applyProtection="false">
      <alignment horizontal="center" vertical="center" textRotation="0" wrapText="true" indent="0" shrinkToFit="false"/>
      <protection locked="true" hidden="false"/>
    </xf>
    <xf numFmtId="164" fontId="24" fillId="0" borderId="4" xfId="0" applyFont="true" applyBorder="true" applyAlignment="true" applyProtection="false">
      <alignment horizontal="center" vertical="center" textRotation="0" wrapText="true" indent="0" shrinkToFit="false"/>
      <protection locked="true" hidden="false"/>
    </xf>
    <xf numFmtId="166" fontId="27" fillId="0" borderId="4" xfId="0" applyFont="true" applyBorder="true" applyAlignment="true" applyProtection="false">
      <alignment horizontal="center" vertical="center" textRotation="0" wrapText="true" indent="0" shrinkToFit="false"/>
      <protection locked="true" hidden="false"/>
    </xf>
    <xf numFmtId="164" fontId="27" fillId="0" borderId="4" xfId="0" applyFont="true" applyBorder="true" applyAlignment="true" applyProtection="false">
      <alignment horizontal="general" vertical="center" textRotation="0" wrapText="true" indent="0" shrinkToFit="false"/>
      <protection locked="true" hidden="false"/>
    </xf>
    <xf numFmtId="164" fontId="0" fillId="0" borderId="4" xfId="0" applyFont="true" applyBorder="true" applyAlignment="true" applyProtection="false">
      <alignment horizontal="general" vertical="center" textRotation="0" wrapText="true" indent="0" shrinkToFit="false"/>
      <protection locked="true" hidden="false"/>
    </xf>
    <xf numFmtId="164" fontId="16" fillId="0" borderId="4" xfId="0" applyFont="true" applyBorder="true" applyAlignment="true" applyProtection="false">
      <alignment horizontal="left" vertical="center" textRotation="0" wrapText="true" indent="0" shrinkToFit="false"/>
      <protection locked="true" hidden="false"/>
    </xf>
    <xf numFmtId="166" fontId="0" fillId="0" borderId="4" xfId="0" applyFont="true" applyBorder="true" applyAlignment="true" applyProtection="false">
      <alignment horizontal="center" vertical="center" textRotation="0" wrapText="true" indent="0" shrinkToFit="false"/>
      <protection locked="true" hidden="false"/>
    </xf>
    <xf numFmtId="164" fontId="42" fillId="0" borderId="4" xfId="0" applyFont="true" applyBorder="true" applyAlignment="true" applyProtection="false">
      <alignment horizontal="left" vertical="center" textRotation="0" wrapText="true" indent="0" shrinkToFit="false"/>
      <protection locked="true" hidden="false"/>
    </xf>
    <xf numFmtId="164" fontId="43" fillId="0" borderId="4" xfId="0" applyFont="true" applyBorder="true" applyAlignment="true" applyProtection="false">
      <alignment horizontal="left" vertical="center" textRotation="0" wrapText="true" indent="0" shrinkToFit="false"/>
      <protection locked="true" hidden="false"/>
    </xf>
    <xf numFmtId="164" fontId="24" fillId="0" borderId="4" xfId="0" applyFont="true" applyBorder="true" applyAlignment="true" applyProtection="false">
      <alignment horizontal="left" vertical="center" textRotation="0" wrapText="true" indent="0" shrinkToFit="false"/>
      <protection locked="true" hidden="false"/>
    </xf>
    <xf numFmtId="164" fontId="44" fillId="0" borderId="4" xfId="0" applyFont="true" applyBorder="true" applyAlignment="true" applyProtection="false">
      <alignment horizontal="left" vertical="center" textRotation="0" wrapText="true" indent="0" shrinkToFit="false"/>
      <protection locked="true" hidden="false"/>
    </xf>
    <xf numFmtId="164" fontId="45" fillId="0" borderId="4" xfId="0" applyFont="true" applyBorder="true" applyAlignment="true" applyProtection="false">
      <alignment horizontal="left" vertical="center" textRotation="0" wrapText="true" indent="0" shrinkToFit="false"/>
      <protection locked="true" hidden="false"/>
    </xf>
    <xf numFmtId="164" fontId="6" fillId="0" borderId="4" xfId="0" applyFont="true" applyBorder="true" applyAlignment="true" applyProtection="false">
      <alignment horizontal="left" vertical="center" textRotation="0" wrapText="true" indent="0" shrinkToFit="false"/>
      <protection locked="true" hidden="false"/>
    </xf>
    <xf numFmtId="164" fontId="19" fillId="0" borderId="4" xfId="0" applyFont="true" applyBorder="true" applyAlignment="true" applyProtection="false">
      <alignment horizontal="center" vertical="center" textRotation="0" wrapText="true" indent="0" shrinkToFit="false"/>
      <protection locked="true" hidden="false"/>
    </xf>
    <xf numFmtId="164" fontId="6" fillId="0" borderId="4" xfId="0" applyFont="true" applyBorder="true" applyAlignment="true" applyProtection="false">
      <alignment horizontal="center" vertical="center" textRotation="0" wrapText="true" indent="0" shrinkToFit="false"/>
      <protection locked="true" hidden="false"/>
    </xf>
    <xf numFmtId="164" fontId="46" fillId="0" borderId="4" xfId="0" applyFont="true" applyBorder="true" applyAlignment="true" applyProtection="false">
      <alignment horizontal="center" vertical="center" textRotation="0" wrapText="true" indent="0" shrinkToFit="false"/>
      <protection locked="true" hidden="false"/>
    </xf>
    <xf numFmtId="164" fontId="0" fillId="0" borderId="4" xfId="0" applyFont="false" applyBorder="true" applyAlignment="true" applyProtection="false">
      <alignment horizontal="center" vertical="center" textRotation="0" wrapText="true" indent="1" shrinkToFit="false"/>
      <protection locked="true" hidden="false"/>
    </xf>
    <xf numFmtId="172" fontId="0" fillId="0" borderId="4" xfId="0" applyFont="false" applyBorder="true" applyAlignment="true" applyProtection="false">
      <alignment horizontal="center" vertical="center" textRotation="0" wrapText="true" indent="0" shrinkToFit="false"/>
      <protection locked="true" hidden="false"/>
    </xf>
    <xf numFmtId="164" fontId="23" fillId="0" borderId="4" xfId="0" applyFont="true" applyBorder="true" applyAlignment="true" applyProtection="false">
      <alignment horizontal="center" vertical="center" textRotation="0" wrapText="true" indent="0" shrinkToFit="false"/>
      <protection locked="true" hidden="false"/>
    </xf>
    <xf numFmtId="164" fontId="16" fillId="0" borderId="4" xfId="0" applyFont="true" applyBorder="true" applyAlignment="true" applyProtection="false">
      <alignment horizontal="center" vertical="center" textRotation="0" wrapText="true" indent="0" shrinkToFit="false"/>
      <protection locked="true" hidden="false"/>
    </xf>
    <xf numFmtId="164" fontId="16" fillId="0" borderId="4" xfId="0" applyFont="true" applyBorder="true" applyAlignment="true" applyProtection="false">
      <alignment horizontal="general" vertical="center" textRotation="0" wrapText="tru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64" fontId="47" fillId="0" borderId="0" xfId="0" applyFont="true" applyBorder="false" applyAlignment="false" applyProtection="false">
      <alignment horizontal="general" vertical="bottom" textRotation="0" wrapText="false" indent="0" shrinkToFit="false"/>
      <protection locked="true" hidden="false"/>
    </xf>
    <xf numFmtId="164" fontId="18" fillId="0" borderId="0" xfId="0" applyFont="true" applyBorder="true" applyAlignment="true" applyProtection="false">
      <alignment horizontal="left" vertical="center" textRotation="0" wrapText="true" indent="0" shrinkToFit="false"/>
      <protection locked="true" hidden="false"/>
    </xf>
    <xf numFmtId="164" fontId="48" fillId="0" borderId="0" xfId="0" applyFont="true" applyBorder="false" applyAlignment="true" applyProtection="false">
      <alignment horizontal="general" vertical="center" textRotation="0" wrapText="true" indent="0" shrinkToFit="false"/>
      <protection locked="true" hidden="false"/>
    </xf>
    <xf numFmtId="164" fontId="16" fillId="0" borderId="0" xfId="0" applyFont="true" applyBorder="false" applyAlignment="true" applyProtection="false">
      <alignment horizontal="general" vertical="center" textRotation="0" wrapText="true" indent="0" shrinkToFit="false"/>
      <protection locked="true" hidden="false"/>
    </xf>
    <xf numFmtId="164" fontId="16" fillId="0" borderId="0" xfId="0" applyFont="true" applyBorder="false" applyAlignment="true" applyProtection="false">
      <alignment horizontal="center" vertical="center" textRotation="0" wrapText="true" indent="0" shrinkToFit="false"/>
      <protection locked="true" hidden="false"/>
    </xf>
    <xf numFmtId="168" fontId="16" fillId="0" borderId="0" xfId="29" applyFont="true" applyBorder="true" applyAlignment="true" applyProtection="true">
      <alignment horizontal="general" vertical="center" textRotation="0" wrapText="true" indent="0" shrinkToFit="false"/>
      <protection locked="true" hidden="false"/>
    </xf>
    <xf numFmtId="164" fontId="49" fillId="2" borderId="18" xfId="0" applyFont="true" applyBorder="true" applyAlignment="true" applyProtection="false">
      <alignment horizontal="center" vertical="center" textRotation="0" wrapText="false" indent="0" shrinkToFit="false"/>
      <protection locked="true" hidden="false"/>
    </xf>
    <xf numFmtId="164" fontId="49" fillId="2" borderId="31" xfId="0" applyFont="true" applyBorder="true" applyAlignment="true" applyProtection="false">
      <alignment horizontal="center" vertical="center" textRotation="0" wrapText="false" indent="0" shrinkToFit="false"/>
      <protection locked="true" hidden="false"/>
    </xf>
    <xf numFmtId="164" fontId="49" fillId="2" borderId="31" xfId="0" applyFont="true" applyBorder="true" applyAlignment="true" applyProtection="false">
      <alignment horizontal="center" vertical="center" textRotation="0" wrapText="true" indent="0" shrinkToFit="false"/>
      <protection locked="true" hidden="false"/>
    </xf>
    <xf numFmtId="164" fontId="49" fillId="2" borderId="19" xfId="0" applyFont="true" applyBorder="true" applyAlignment="true" applyProtection="false">
      <alignment horizontal="center" vertical="center" textRotation="0" wrapText="true" indent="0" shrinkToFit="false"/>
      <protection locked="true" hidden="false"/>
    </xf>
    <xf numFmtId="174" fontId="48" fillId="0" borderId="4" xfId="0" applyFont="true" applyBorder="true" applyAlignment="true" applyProtection="false">
      <alignment horizontal="center" vertical="center" textRotation="0" wrapText="true" indent="0" shrinkToFit="false"/>
      <protection locked="true" hidden="false"/>
    </xf>
    <xf numFmtId="170" fontId="48" fillId="0" borderId="4" xfId="0" applyFont="true" applyBorder="true" applyAlignment="true" applyProtection="false">
      <alignment horizontal="center" vertical="center" textRotation="0" wrapText="false" indent="0" shrinkToFit="false"/>
      <protection locked="true" hidden="false"/>
    </xf>
    <xf numFmtId="175" fontId="48" fillId="0" borderId="21" xfId="0" applyFont="true" applyBorder="true" applyAlignment="true" applyProtection="false">
      <alignment horizontal="center" vertical="center" textRotation="0" wrapText="true" indent="0" shrinkToFit="false"/>
      <protection locked="true" hidden="false"/>
    </xf>
    <xf numFmtId="164" fontId="50" fillId="0" borderId="4" xfId="0" applyFont="true" applyBorder="true" applyAlignment="true" applyProtection="false">
      <alignment horizontal="center" vertical="center" textRotation="0" wrapText="false" indent="0" shrinkToFit="false"/>
      <protection locked="true" hidden="false"/>
    </xf>
    <xf numFmtId="164" fontId="48" fillId="0" borderId="4" xfId="0" applyFont="true" applyBorder="true" applyAlignment="true" applyProtection="false">
      <alignment horizontal="general" vertical="center" textRotation="0" wrapText="true" indent="0" shrinkToFit="false"/>
      <protection locked="true" hidden="false"/>
    </xf>
    <xf numFmtId="176" fontId="48" fillId="0" borderId="4" xfId="0" applyFont="true" applyBorder="true" applyAlignment="true" applyProtection="false">
      <alignment horizontal="center" vertical="center" textRotation="0" wrapText="true" indent="0" shrinkToFit="false"/>
      <protection locked="true" hidden="false"/>
    </xf>
    <xf numFmtId="164" fontId="48" fillId="0" borderId="22" xfId="0" applyFont="true" applyBorder="true" applyAlignment="true" applyProtection="false">
      <alignment horizontal="left" vertical="center" textRotation="0" wrapText="false" indent="0" shrinkToFit="false"/>
      <protection locked="true" hidden="false"/>
    </xf>
    <xf numFmtId="164" fontId="48" fillId="0" borderId="22" xfId="0" applyFont="true" applyBorder="true" applyAlignment="true" applyProtection="false">
      <alignment horizontal="left" vertical="center" textRotation="0" wrapText="true" indent="0" shrinkToFit="false"/>
      <protection locked="true" hidden="false"/>
    </xf>
    <xf numFmtId="174" fontId="51" fillId="0" borderId="4" xfId="0" applyFont="true" applyBorder="true" applyAlignment="true" applyProtection="false">
      <alignment horizontal="center" vertical="center" textRotation="0" wrapText="true" indent="0" shrinkToFit="false"/>
      <protection locked="true" hidden="false"/>
    </xf>
    <xf numFmtId="164" fontId="50" fillId="0" borderId="4" xfId="0" applyFont="true" applyBorder="true" applyAlignment="true" applyProtection="false">
      <alignment horizontal="center" vertical="center" textRotation="0" wrapText="true" indent="0" shrinkToFit="false"/>
      <protection locked="true" hidden="false"/>
    </xf>
    <xf numFmtId="164" fontId="51" fillId="0" borderId="4" xfId="0" applyFont="true" applyBorder="true" applyAlignment="true" applyProtection="false">
      <alignment horizontal="general" vertical="center" textRotation="0" wrapText="true" indent="0" shrinkToFit="false"/>
      <protection locked="true" hidden="false"/>
    </xf>
    <xf numFmtId="166" fontId="48" fillId="0" borderId="4" xfId="0" applyFont="true" applyBorder="true" applyAlignment="true" applyProtection="false">
      <alignment horizontal="center" vertical="center" textRotation="0" wrapText="true" indent="0" shrinkToFit="false"/>
      <protection locked="true" hidden="false"/>
    </xf>
    <xf numFmtId="164" fontId="48" fillId="0" borderId="13" xfId="0" applyFont="true" applyBorder="true" applyAlignment="true" applyProtection="false">
      <alignment horizontal="left" vertical="center" textRotation="0" wrapText="true" indent="0" shrinkToFit="false"/>
      <protection locked="true" hidden="false"/>
    </xf>
    <xf numFmtId="175" fontId="48" fillId="0" borderId="14" xfId="0" applyFont="true" applyBorder="true" applyAlignment="true" applyProtection="false">
      <alignment horizontal="center" vertical="center" textRotation="0" wrapText="true" indent="0" shrinkToFit="false"/>
      <protection locked="true" hidden="false"/>
    </xf>
    <xf numFmtId="164" fontId="52" fillId="0" borderId="4" xfId="0" applyFont="true" applyBorder="true" applyAlignment="true" applyProtection="false">
      <alignment horizontal="general" vertical="center" textRotation="0" wrapText="true" indent="0" shrinkToFit="false"/>
      <protection locked="true" hidden="false"/>
    </xf>
    <xf numFmtId="174" fontId="52" fillId="0" borderId="4" xfId="0" applyFont="true" applyBorder="true" applyAlignment="true" applyProtection="false">
      <alignment horizontal="center" vertical="center" textRotation="0" wrapText="true" indent="0" shrinkToFit="false"/>
      <protection locked="true" hidden="false"/>
    </xf>
    <xf numFmtId="166" fontId="51" fillId="0" borderId="4" xfId="0" applyFont="true" applyBorder="true" applyAlignment="true" applyProtection="false">
      <alignment horizontal="center" vertical="center" textRotation="0" wrapText="true" indent="0" shrinkToFit="false"/>
      <protection locked="true" hidden="false"/>
    </xf>
    <xf numFmtId="175" fontId="51" fillId="0" borderId="21" xfId="0" applyFont="true" applyBorder="true" applyAlignment="true" applyProtection="false">
      <alignment horizontal="center" vertical="center" textRotation="0" wrapText="true" indent="0" shrinkToFit="false"/>
      <protection locked="true" hidden="false"/>
    </xf>
    <xf numFmtId="164" fontId="53" fillId="0" borderId="4" xfId="0" applyFont="true" applyBorder="true" applyAlignment="true" applyProtection="false">
      <alignment horizontal="center" vertical="center" textRotation="0" wrapText="false" indent="0" shrinkToFit="false"/>
      <protection locked="true" hidden="false"/>
    </xf>
    <xf numFmtId="164" fontId="51" fillId="0" borderId="22" xfId="0" applyFont="true" applyBorder="true" applyAlignment="true" applyProtection="false">
      <alignment horizontal="left" vertical="center" textRotation="0" wrapText="true" indent="0" shrinkToFit="false"/>
      <protection locked="true" hidden="false"/>
    </xf>
    <xf numFmtId="176" fontId="51" fillId="0" borderId="4" xfId="0" applyFont="true" applyBorder="true" applyAlignment="true" applyProtection="false">
      <alignment horizontal="center" vertical="center" textRotation="0" wrapText="true" indent="0" shrinkToFit="false"/>
      <protection locked="true" hidden="false"/>
    </xf>
    <xf numFmtId="164" fontId="54" fillId="12" borderId="0" xfId="0" applyFont="true" applyBorder="false" applyAlignment="false" applyProtection="false">
      <alignment horizontal="general" vertical="bottom" textRotation="0" wrapText="false" indent="0" shrinkToFit="false"/>
      <protection locked="true" hidden="false"/>
    </xf>
    <xf numFmtId="164" fontId="48" fillId="0" borderId="4" xfId="0" applyFont="true" applyBorder="true" applyAlignment="true" applyProtection="false">
      <alignment horizontal="left" vertical="top" textRotation="0" wrapText="true" indent="0" shrinkToFit="false"/>
      <protection locked="true" hidden="false"/>
    </xf>
    <xf numFmtId="164" fontId="54" fillId="0" borderId="0" xfId="0" applyFont="true" applyBorder="false" applyAlignment="false" applyProtection="false">
      <alignment horizontal="general" vertical="bottom" textRotation="0" wrapText="false" indent="0" shrinkToFit="false"/>
      <protection locked="true" hidden="false"/>
    </xf>
    <xf numFmtId="175" fontId="48" fillId="0" borderId="32" xfId="0" applyFont="true" applyBorder="true" applyAlignment="true" applyProtection="false">
      <alignment horizontal="center" vertical="center" textRotation="0" wrapText="true" indent="0" shrinkToFit="false"/>
      <protection locked="true" hidden="false"/>
    </xf>
    <xf numFmtId="164" fontId="50" fillId="0" borderId="26" xfId="0" applyFont="true" applyBorder="true" applyAlignment="true" applyProtection="false">
      <alignment horizontal="center" vertical="center" textRotation="0" wrapText="false" indent="0" shrinkToFit="false"/>
      <protection locked="true" hidden="false"/>
    </xf>
    <xf numFmtId="164" fontId="48" fillId="0" borderId="26" xfId="0" applyFont="true" applyBorder="true" applyAlignment="true" applyProtection="false">
      <alignment horizontal="general" vertical="center" textRotation="0" wrapText="true" indent="0" shrinkToFit="false"/>
      <protection locked="true" hidden="false"/>
    </xf>
    <xf numFmtId="174" fontId="48" fillId="0" borderId="26" xfId="0" applyFont="true" applyBorder="true" applyAlignment="true" applyProtection="false">
      <alignment horizontal="center" vertical="center" textRotation="0" wrapText="true" indent="0" shrinkToFit="false"/>
      <protection locked="true" hidden="false"/>
    </xf>
    <xf numFmtId="164" fontId="16" fillId="0" borderId="0" xfId="0" applyFont="true" applyBorder="false" applyAlignment="true" applyProtection="false">
      <alignment horizontal="general" vertical="bottom" textRotation="0" wrapText="true" indent="0" shrinkToFit="false"/>
      <protection locked="true" hidden="false"/>
    </xf>
    <xf numFmtId="164" fontId="48" fillId="0" borderId="27" xfId="0" applyFont="true" applyBorder="true" applyAlignment="true" applyProtection="false">
      <alignment horizontal="left" vertical="center" textRotation="0" wrapText="true" indent="0" shrinkToFit="false"/>
      <protection locked="true" hidden="false"/>
    </xf>
    <xf numFmtId="175" fontId="48" fillId="0" borderId="15" xfId="0" applyFont="true" applyBorder="true" applyAlignment="true" applyProtection="false">
      <alignment horizontal="center" vertical="center" textRotation="0" wrapText="true" indent="0" shrinkToFit="false"/>
      <protection locked="true" hidden="false"/>
    </xf>
    <xf numFmtId="164" fontId="55" fillId="0" borderId="0" xfId="0" applyFont="true" applyBorder="false" applyAlignment="false" applyProtection="false">
      <alignment horizontal="general" vertical="bottom" textRotation="0" wrapText="false" indent="0" shrinkToFit="false"/>
      <protection locked="true" hidden="false"/>
    </xf>
    <xf numFmtId="164" fontId="55" fillId="0" borderId="0" xfId="0" applyFont="true" applyBorder="false" applyAlignment="true" applyProtection="false">
      <alignment horizontal="center" vertical="bottom" textRotation="0" wrapText="false" indent="0" shrinkToFit="false"/>
      <protection locked="true" hidden="false"/>
    </xf>
    <xf numFmtId="164" fontId="38" fillId="0" borderId="0" xfId="0" applyFont="true" applyBorder="true" applyAlignment="true" applyProtection="false">
      <alignment horizontal="center" vertical="bottom" textRotation="0" wrapText="false" indent="0" shrinkToFit="false"/>
      <protection locked="true" hidden="false"/>
    </xf>
    <xf numFmtId="164" fontId="55" fillId="0" borderId="0" xfId="0" applyFont="true" applyBorder="true" applyAlignment="true" applyProtection="false">
      <alignment horizontal="center" vertical="bottom" textRotation="0" wrapText="false" indent="0" shrinkToFit="false"/>
      <protection locked="true" hidden="false"/>
    </xf>
    <xf numFmtId="164" fontId="56" fillId="2" borderId="14" xfId="0" applyFont="true" applyBorder="true" applyAlignment="true" applyProtection="false">
      <alignment horizontal="center" vertical="center" textRotation="0" wrapText="false" indent="0" shrinkToFit="false"/>
      <protection locked="true" hidden="false"/>
    </xf>
    <xf numFmtId="164" fontId="56" fillId="2" borderId="4" xfId="0" applyFont="true" applyBorder="true" applyAlignment="true" applyProtection="false">
      <alignment horizontal="center" vertical="center" textRotation="0" wrapText="true" indent="0" shrinkToFit="false"/>
      <protection locked="true" hidden="false"/>
    </xf>
    <xf numFmtId="164" fontId="56" fillId="2" borderId="4" xfId="0" applyFont="true" applyBorder="true" applyAlignment="true" applyProtection="false">
      <alignment horizontal="center" vertical="center" textRotation="0" wrapText="false" indent="0" shrinkToFit="false"/>
      <protection locked="true" hidden="false"/>
    </xf>
    <xf numFmtId="164" fontId="56" fillId="2" borderId="33" xfId="0" applyFont="true" applyBorder="true" applyAlignment="true" applyProtection="false">
      <alignment horizontal="center" vertical="center" textRotation="0" wrapText="false" indent="0" shrinkToFit="false"/>
      <protection locked="true" hidden="false"/>
    </xf>
    <xf numFmtId="164" fontId="56" fillId="2" borderId="34" xfId="0" applyFont="true" applyBorder="true" applyAlignment="true" applyProtection="false">
      <alignment horizontal="center" vertical="center" textRotation="0" wrapText="false" indent="0" shrinkToFit="false"/>
      <protection locked="true" hidden="false"/>
    </xf>
    <xf numFmtId="164" fontId="56" fillId="2" borderId="34" xfId="0" applyFont="true" applyBorder="true" applyAlignment="true" applyProtection="false">
      <alignment horizontal="general" vertical="center" textRotation="0" wrapText="false" indent="0" shrinkToFit="false"/>
      <protection locked="true" hidden="false"/>
    </xf>
    <xf numFmtId="164" fontId="56" fillId="2" borderId="35" xfId="0" applyFont="true" applyBorder="true" applyAlignment="true" applyProtection="false">
      <alignment horizontal="center" vertical="center" textRotation="0" wrapText="false" indent="0" shrinkToFit="false"/>
      <protection locked="true" hidden="false"/>
    </xf>
    <xf numFmtId="170" fontId="55" fillId="0" borderId="14" xfId="0" applyFont="true" applyBorder="true" applyAlignment="true" applyProtection="false">
      <alignment horizontal="center" vertical="bottom" textRotation="0" wrapText="false" indent="0" shrinkToFit="false"/>
      <protection locked="true" hidden="false"/>
    </xf>
    <xf numFmtId="164" fontId="55" fillId="0" borderId="4" xfId="0" applyFont="true" applyBorder="true" applyAlignment="true" applyProtection="false">
      <alignment horizontal="center" vertical="center" textRotation="0" wrapText="false" indent="0" shrinkToFit="false"/>
      <protection locked="true" hidden="false"/>
    </xf>
    <xf numFmtId="164" fontId="57" fillId="0" borderId="4" xfId="0" applyFont="true" applyBorder="true" applyAlignment="true" applyProtection="false">
      <alignment horizontal="left" vertical="center" textRotation="0" wrapText="false" indent="0" shrinkToFit="false"/>
      <protection locked="true" hidden="false"/>
    </xf>
    <xf numFmtId="164" fontId="58" fillId="0" borderId="4" xfId="0" applyFont="true" applyBorder="true" applyAlignment="true" applyProtection="false">
      <alignment horizontal="left" vertical="center" textRotation="0" wrapText="false" indent="0" shrinkToFit="false"/>
      <protection locked="true" hidden="false"/>
    </xf>
    <xf numFmtId="164" fontId="57" fillId="0" borderId="4" xfId="0" applyFont="true" applyBorder="true" applyAlignment="true" applyProtection="false">
      <alignment horizontal="left" vertical="center" textRotation="0" wrapText="true" indent="0" shrinkToFit="false"/>
      <protection locked="true" hidden="false"/>
    </xf>
    <xf numFmtId="164" fontId="57" fillId="0" borderId="3" xfId="0" applyFont="true" applyBorder="true" applyAlignment="true" applyProtection="false">
      <alignment horizontal="center" vertical="center" textRotation="0" wrapText="false" indent="0" shrinkToFit="false"/>
      <protection locked="true" hidden="false"/>
    </xf>
    <xf numFmtId="164" fontId="57" fillId="0" borderId="4" xfId="0" applyFont="true" applyBorder="true" applyAlignment="true" applyProtection="false">
      <alignment horizontal="center" vertical="center" textRotation="0" wrapText="false" indent="0" shrinkToFit="false"/>
      <protection locked="true" hidden="false"/>
    </xf>
    <xf numFmtId="164" fontId="55" fillId="0" borderId="15" xfId="0" applyFont="true" applyBorder="true" applyAlignment="true" applyProtection="false">
      <alignment horizontal="center" vertical="bottom" textRotation="0" wrapText="false" indent="0" shrinkToFit="false"/>
      <protection locked="true" hidden="false"/>
    </xf>
    <xf numFmtId="164" fontId="55" fillId="0" borderId="26" xfId="0" applyFont="true" applyBorder="true" applyAlignment="true" applyProtection="false">
      <alignment horizontal="center" vertical="center" textRotation="0" wrapText="false" indent="0" shrinkToFit="false"/>
      <protection locked="true" hidden="false"/>
    </xf>
    <xf numFmtId="164" fontId="57" fillId="0" borderId="26" xfId="0" applyFont="true" applyBorder="true" applyAlignment="true" applyProtection="false">
      <alignment horizontal="left" vertical="center" textRotation="0" wrapText="false" indent="0" shrinkToFit="false"/>
      <protection locked="true" hidden="false"/>
    </xf>
    <xf numFmtId="164" fontId="58" fillId="0" borderId="26" xfId="0" applyFont="true" applyBorder="true" applyAlignment="true" applyProtection="false">
      <alignment horizontal="left" vertical="center" textRotation="0" wrapText="false" indent="0" shrinkToFit="false"/>
      <protection locked="true" hidden="false"/>
    </xf>
    <xf numFmtId="164" fontId="58" fillId="0" borderId="4" xfId="20" applyFont="true" applyBorder="true" applyAlignment="true" applyProtection="true">
      <alignment horizontal="left" vertical="center" textRotation="0" wrapText="false" indent="0" shrinkToFit="false"/>
      <protection locked="true" hidden="false"/>
    </xf>
    <xf numFmtId="164" fontId="58" fillId="0" borderId="26" xfId="20" applyFont="true" applyBorder="true" applyAlignment="true" applyProtection="true">
      <alignment horizontal="left" vertical="center" textRotation="0" wrapText="false" indent="0" shrinkToFit="false"/>
      <protection locked="true" hidden="false"/>
    </xf>
    <xf numFmtId="164" fontId="58" fillId="0" borderId="4" xfId="21" applyFont="true" applyBorder="true" applyAlignment="true" applyProtection="true">
      <alignment horizontal="left" vertical="center" textRotation="0" wrapText="false" indent="0" shrinkToFit="false"/>
      <protection locked="true" hidden="false"/>
    </xf>
    <xf numFmtId="164" fontId="58" fillId="0" borderId="26" xfId="21" applyFont="true" applyBorder="true" applyAlignment="true" applyProtection="true">
      <alignment horizontal="left" vertical="center" textRotation="0" wrapText="false" indent="0" shrinkToFit="false"/>
      <protection locked="true" hidden="false"/>
    </xf>
    <xf numFmtId="164" fontId="7" fillId="0" borderId="4" xfId="0" applyFont="true" applyBorder="true" applyAlignment="true" applyProtection="false">
      <alignment horizontal="left" vertical="top" textRotation="0" wrapText="false" indent="0" shrinkToFit="false"/>
      <protection locked="true" hidden="false"/>
    </xf>
    <xf numFmtId="164" fontId="7" fillId="0" borderId="4" xfId="0" applyFont="true" applyBorder="true" applyAlignment="true" applyProtection="false">
      <alignment horizontal="left" vertical="center" textRotation="0" wrapText="false" indent="0" shrinkToFit="false"/>
      <protection locked="true" hidden="false"/>
    </xf>
    <xf numFmtId="164" fontId="7" fillId="0" borderId="36" xfId="0" applyFont="true" applyBorder="true" applyAlignment="true" applyProtection="false">
      <alignment horizontal="left" vertical="center" textRotation="0" wrapText="false" indent="0" shrinkToFit="false"/>
      <protection locked="true" hidden="false"/>
    </xf>
    <xf numFmtId="164" fontId="0" fillId="0" borderId="4" xfId="0" applyFont="false" applyBorder="true" applyAlignment="false" applyProtection="false">
      <alignment horizontal="general" vertical="bottom" textRotation="0" wrapText="false" indent="0" shrinkToFit="false"/>
      <protection locked="true" hidden="false"/>
    </xf>
    <xf numFmtId="164" fontId="0" fillId="0" borderId="4" xfId="0" applyFont="false" applyBorder="true" applyAlignment="true" applyProtection="false">
      <alignment horizontal="general" vertical="bottom" textRotation="0" wrapText="true" indent="0" shrinkToFit="false"/>
      <protection locked="true" hidden="false"/>
    </xf>
    <xf numFmtId="164" fontId="57" fillId="0" borderId="26" xfId="0" applyFont="true" applyBorder="true" applyAlignment="true" applyProtection="false">
      <alignment horizontal="left" vertical="center" textRotation="0" wrapText="true" indent="0" shrinkToFit="false"/>
      <protection locked="true" hidden="false"/>
    </xf>
    <xf numFmtId="164" fontId="41" fillId="0" borderId="37" xfId="0" applyFont="true" applyBorder="true" applyAlignment="true" applyProtection="false">
      <alignment horizontal="general" vertical="bottom" textRotation="0" wrapText="true" indent="0" shrinkToFit="false"/>
      <protection locked="true" hidden="false"/>
    </xf>
    <xf numFmtId="164" fontId="41" fillId="0" borderId="38" xfId="0" applyFont="true" applyBorder="true" applyAlignment="true" applyProtection="false">
      <alignment horizontal="general" vertical="bottom" textRotation="0" wrapText="true" indent="0" shrinkToFit="false"/>
      <protection locked="true" hidden="false"/>
    </xf>
    <xf numFmtId="164" fontId="57" fillId="0" borderId="26" xfId="0" applyFont="true" applyBorder="true" applyAlignment="true" applyProtection="false">
      <alignment horizontal="center" vertical="center" textRotation="0" wrapText="false" indent="0" shrinkToFit="false"/>
      <protection locked="true" hidden="false"/>
    </xf>
    <xf numFmtId="168" fontId="0" fillId="0" borderId="0" xfId="0" applyFont="false" applyBorder="false" applyAlignment="true" applyProtection="false">
      <alignment horizontal="center" vertical="center" textRotation="0" wrapText="false" indent="0" shrinkToFit="false"/>
      <protection locked="true" hidden="false"/>
    </xf>
    <xf numFmtId="164" fontId="0" fillId="0" borderId="0" xfId="0" applyFont="true" applyBorder="false" applyAlignment="true" applyProtection="false">
      <alignment horizontal="center" vertical="center" textRotation="0" wrapText="false" indent="0" shrinkToFit="false"/>
      <protection locked="true" hidden="false"/>
    </xf>
    <xf numFmtId="164" fontId="9" fillId="2" borderId="1" xfId="0" applyFont="true" applyBorder="true" applyAlignment="true" applyProtection="false">
      <alignment horizontal="center" vertical="center" textRotation="0" wrapText="true" indent="0" shrinkToFit="false"/>
      <protection locked="true" hidden="false"/>
    </xf>
    <xf numFmtId="164" fontId="9" fillId="2" borderId="39" xfId="0" applyFont="true" applyBorder="true" applyAlignment="true" applyProtection="false">
      <alignment horizontal="center" vertical="center" textRotation="0" wrapText="true" indent="0" shrinkToFit="false"/>
      <protection locked="true" hidden="false"/>
    </xf>
    <xf numFmtId="164" fontId="9" fillId="2" borderId="40" xfId="0" applyFont="true" applyBorder="true" applyAlignment="true" applyProtection="false">
      <alignment horizontal="center" vertical="center" textRotation="0" wrapText="true" indent="0" shrinkToFit="false"/>
      <protection locked="true" hidden="false"/>
    </xf>
    <xf numFmtId="164" fontId="9" fillId="2" borderId="2" xfId="0" applyFont="true" applyBorder="true" applyAlignment="true" applyProtection="false">
      <alignment horizontal="center" vertical="center" textRotation="0" wrapText="true" indent="0" shrinkToFit="false"/>
      <protection locked="true" hidden="false"/>
    </xf>
    <xf numFmtId="177" fontId="16" fillId="0" borderId="3" xfId="0" applyFont="true" applyBorder="true" applyAlignment="true" applyProtection="false">
      <alignment horizontal="center" vertical="center" textRotation="0" wrapText="false" indent="0" shrinkToFit="false"/>
      <protection locked="true" hidden="false"/>
    </xf>
    <xf numFmtId="177" fontId="16" fillId="0" borderId="3" xfId="0" applyFont="true" applyBorder="true" applyAlignment="true" applyProtection="false">
      <alignment horizontal="left" vertical="center" textRotation="0" wrapText="false" indent="0" shrinkToFit="false"/>
      <protection locked="true" hidden="false"/>
    </xf>
    <xf numFmtId="164" fontId="0" fillId="0" borderId="8" xfId="0" applyFont="true" applyBorder="true" applyAlignment="true" applyProtection="false">
      <alignment horizontal="center" vertical="center" textRotation="0" wrapText="false" indent="0" shrinkToFit="false"/>
      <protection locked="true" hidden="false"/>
    </xf>
    <xf numFmtId="166" fontId="16" fillId="0" borderId="8" xfId="0" applyFont="true" applyBorder="true" applyAlignment="true" applyProtection="false">
      <alignment horizontal="center" vertical="center" textRotation="0" wrapText="false" indent="0" shrinkToFit="false"/>
      <protection locked="true" hidden="false"/>
    </xf>
    <xf numFmtId="166" fontId="16" fillId="0" borderId="3" xfId="0" applyFont="true" applyBorder="true" applyAlignment="true" applyProtection="false">
      <alignment horizontal="center" vertical="center" textRotation="0" wrapText="false" indent="0" shrinkToFit="false"/>
      <protection locked="true" hidden="false"/>
    </xf>
    <xf numFmtId="168" fontId="16" fillId="0" borderId="10" xfId="0" applyFont="true" applyBorder="true" applyAlignment="true" applyProtection="false">
      <alignment horizontal="center" vertical="center" textRotation="0" wrapText="false" indent="0" shrinkToFit="false"/>
      <protection locked="true" hidden="false"/>
    </xf>
    <xf numFmtId="164" fontId="0" fillId="0" borderId="10" xfId="0" applyFont="false" applyBorder="true" applyAlignment="true" applyProtection="false">
      <alignment horizontal="left" vertical="center" textRotation="0" wrapText="true" indent="0" shrinkToFit="false"/>
      <protection locked="true" hidden="false"/>
    </xf>
    <xf numFmtId="164" fontId="59" fillId="2" borderId="1" xfId="0" applyFont="true" applyBorder="true" applyAlignment="true" applyProtection="false">
      <alignment horizontal="center" vertical="center" textRotation="0" wrapText="false" indent="0" shrinkToFit="false"/>
      <protection locked="true" hidden="false"/>
    </xf>
    <xf numFmtId="170" fontId="0" fillId="0" borderId="2" xfId="0" applyFont="false" applyBorder="true" applyAlignment="true" applyProtection="false">
      <alignment horizontal="center" vertical="center" textRotation="0" wrapText="false" indent="0" shrinkToFit="false"/>
      <protection locked="true" hidden="false"/>
    </xf>
    <xf numFmtId="177" fontId="16" fillId="0" borderId="4" xfId="0" applyFont="true" applyBorder="true" applyAlignment="true" applyProtection="false">
      <alignment horizontal="center" vertical="center" textRotation="0" wrapText="false" indent="0" shrinkToFit="false"/>
      <protection locked="true" hidden="false"/>
    </xf>
    <xf numFmtId="177" fontId="16" fillId="0" borderId="4" xfId="0" applyFont="true" applyBorder="true" applyAlignment="true" applyProtection="false">
      <alignment horizontal="left" vertical="center" textRotation="0" wrapText="false" indent="0" shrinkToFit="false"/>
      <protection locked="true" hidden="false"/>
    </xf>
    <xf numFmtId="164" fontId="0" fillId="0" borderId="13" xfId="0" applyFont="true" applyBorder="true" applyAlignment="true" applyProtection="false">
      <alignment horizontal="center" vertical="center" textRotation="0" wrapText="false" indent="0" shrinkToFit="false"/>
      <protection locked="true" hidden="false"/>
    </xf>
    <xf numFmtId="166" fontId="16" fillId="0" borderId="13" xfId="0" applyFont="true" applyBorder="true" applyAlignment="true" applyProtection="false">
      <alignment horizontal="center" vertical="center" textRotation="0" wrapText="false" indent="0" shrinkToFit="false"/>
      <protection locked="true" hidden="false"/>
    </xf>
    <xf numFmtId="166" fontId="16" fillId="0" borderId="4" xfId="0" applyFont="true" applyBorder="true" applyAlignment="true" applyProtection="false">
      <alignment horizontal="center" vertical="center" textRotation="0" wrapText="false" indent="0" shrinkToFit="false"/>
      <protection locked="true" hidden="false"/>
    </xf>
    <xf numFmtId="168" fontId="16" fillId="0" borderId="14" xfId="0" applyFont="true" applyBorder="true" applyAlignment="true" applyProtection="false">
      <alignment horizontal="center" vertical="center" textRotation="0" wrapText="false" indent="0" shrinkToFit="false"/>
      <protection locked="true" hidden="false"/>
    </xf>
    <xf numFmtId="164" fontId="60" fillId="13" borderId="14" xfId="0" applyFont="true" applyBorder="true" applyAlignment="true" applyProtection="false">
      <alignment horizontal="left" vertical="center" textRotation="0" wrapText="true" indent="0" shrinkToFit="false"/>
      <protection locked="true" hidden="false"/>
    </xf>
    <xf numFmtId="164" fontId="59" fillId="2" borderId="41" xfId="0" applyFont="true" applyBorder="true" applyAlignment="true" applyProtection="false">
      <alignment horizontal="center" vertical="center" textRotation="0" wrapText="false" indent="0" shrinkToFit="false"/>
      <protection locked="true" hidden="false"/>
    </xf>
    <xf numFmtId="170" fontId="0" fillId="0" borderId="42" xfId="0" applyFont="false" applyBorder="true" applyAlignment="true" applyProtection="false">
      <alignment horizontal="center" vertical="center" textRotation="0" wrapText="false" indent="0" shrinkToFit="false"/>
      <protection locked="true" hidden="false"/>
    </xf>
    <xf numFmtId="164" fontId="0" fillId="0" borderId="14" xfId="0" applyFont="false" applyBorder="true" applyAlignment="true" applyProtection="false">
      <alignment horizontal="left" vertical="center" textRotation="0" wrapText="true" indent="0" shrinkToFit="false"/>
      <protection locked="true" hidden="false"/>
    </xf>
    <xf numFmtId="164" fontId="0" fillId="0" borderId="0" xfId="0" applyFont="true" applyBorder="false" applyAlignment="true" applyProtection="false">
      <alignment horizontal="center" vertical="center" textRotation="0" wrapText="true" indent="0" shrinkToFit="false"/>
      <protection locked="true" hidden="false"/>
    </xf>
    <xf numFmtId="164" fontId="59" fillId="2" borderId="24" xfId="0" applyFont="true" applyBorder="true" applyAlignment="true" applyProtection="false">
      <alignment horizontal="center" vertical="center" textRotation="0" wrapText="false" indent="0" shrinkToFit="false"/>
      <protection locked="true" hidden="false"/>
    </xf>
    <xf numFmtId="170" fontId="0" fillId="0" borderId="25" xfId="0" applyFont="false" applyBorder="true" applyAlignment="true" applyProtection="false">
      <alignment horizontal="center" vertical="center" textRotation="0" wrapText="false" indent="0" shrinkToFit="false"/>
      <protection locked="true" hidden="false"/>
    </xf>
    <xf numFmtId="166" fontId="16" fillId="0" borderId="4" xfId="0" applyFont="true" applyBorder="true" applyAlignment="true" applyProtection="false">
      <alignment horizontal="center" vertical="center" textRotation="0" wrapText="true" indent="0" shrinkToFit="false"/>
      <protection locked="true" hidden="false"/>
    </xf>
    <xf numFmtId="164" fontId="60" fillId="0" borderId="14" xfId="0" applyFont="true" applyBorder="true" applyAlignment="true" applyProtection="false">
      <alignment horizontal="left" vertical="center" textRotation="0" wrapText="true" indent="0" shrinkToFit="false"/>
      <protection locked="true" hidden="false"/>
    </xf>
    <xf numFmtId="177" fontId="16" fillId="0" borderId="4" xfId="0" applyFont="true" applyBorder="true" applyAlignment="true" applyProtection="false">
      <alignment horizontal="left" vertical="center" textRotation="0" wrapText="true" indent="0" shrinkToFit="false"/>
      <protection locked="true" hidden="false"/>
    </xf>
    <xf numFmtId="166" fontId="0" fillId="0" borderId="4" xfId="0" applyFont="false" applyBorder="true" applyAlignment="true" applyProtection="false">
      <alignment horizontal="center" vertical="center" textRotation="0" wrapText="true" indent="0" shrinkToFit="false"/>
      <protection locked="true" hidden="false"/>
    </xf>
    <xf numFmtId="164" fontId="0" fillId="0" borderId="0" xfId="0" applyFont="false" applyBorder="false" applyAlignment="true" applyProtection="false">
      <alignment horizontal="center" vertical="center" textRotation="0" wrapText="true" indent="0" shrinkToFit="false"/>
      <protection locked="true" hidden="false"/>
    </xf>
    <xf numFmtId="166" fontId="0" fillId="0" borderId="13" xfId="0" applyFont="false" applyBorder="true" applyAlignment="true" applyProtection="false">
      <alignment horizontal="center" vertical="center" textRotation="0" wrapText="false" indent="0" shrinkToFit="false"/>
      <protection locked="true" hidden="false"/>
    </xf>
    <xf numFmtId="166" fontId="0" fillId="0" borderId="4" xfId="0" applyFont="false" applyBorder="true" applyAlignment="true" applyProtection="false">
      <alignment horizontal="center" vertical="center" textRotation="0" wrapText="false" indent="0" shrinkToFit="false"/>
      <protection locked="true" hidden="false"/>
    </xf>
    <xf numFmtId="164" fontId="0" fillId="10" borderId="4" xfId="0" applyFont="false" applyBorder="true" applyAlignment="true" applyProtection="false">
      <alignment horizontal="left" vertical="center" textRotation="0" wrapText="tru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4" fontId="0" fillId="0" borderId="0" xfId="0" applyFont="false" applyBorder="false" applyAlignment="true" applyProtection="false">
      <alignment horizontal="general" vertical="center" textRotation="0" wrapText="false" indent="0" shrinkToFit="false"/>
      <protection locked="true" hidden="false"/>
    </xf>
    <xf numFmtId="166" fontId="0" fillId="0" borderId="3" xfId="0" applyFont="true" applyBorder="true" applyAlignment="true" applyProtection="false">
      <alignment horizontal="center" vertical="center" textRotation="0" wrapText="true" indent="0" shrinkToFit="false"/>
      <protection locked="true" hidden="false"/>
    </xf>
    <xf numFmtId="166" fontId="16" fillId="0" borderId="3" xfId="0" applyFont="true" applyBorder="true" applyAlignment="true" applyProtection="false">
      <alignment horizontal="left" vertical="center" textRotation="0" wrapText="true" indent="0" shrinkToFit="false"/>
      <protection locked="true" hidden="false"/>
    </xf>
    <xf numFmtId="164" fontId="0" fillId="0" borderId="3" xfId="0" applyFont="true" applyBorder="true" applyAlignment="true" applyProtection="false">
      <alignment horizontal="center" vertical="center" textRotation="0" wrapText="true" indent="0" shrinkToFit="false"/>
      <protection locked="true" hidden="false"/>
    </xf>
    <xf numFmtId="168" fontId="0" fillId="0" borderId="3" xfId="0" applyFont="false" applyBorder="true" applyAlignment="true" applyProtection="false">
      <alignment horizontal="center" vertical="center" textRotation="0" wrapText="true" indent="0" shrinkToFit="false"/>
      <protection locked="true" hidden="false"/>
    </xf>
    <xf numFmtId="168" fontId="0" fillId="0" borderId="8" xfId="0" applyFont="true" applyBorder="true" applyAlignment="true" applyProtection="false">
      <alignment horizontal="center" vertical="center" textRotation="0" wrapText="true" indent="0" shrinkToFit="false"/>
      <protection locked="true" hidden="false"/>
    </xf>
    <xf numFmtId="164" fontId="59" fillId="2" borderId="16" xfId="0" applyFont="true" applyBorder="true" applyAlignment="true" applyProtection="false">
      <alignment horizontal="center" vertical="center" textRotation="0" wrapText="false" indent="0" shrinkToFit="false"/>
      <protection locked="true" hidden="false"/>
    </xf>
    <xf numFmtId="170" fontId="0" fillId="0" borderId="43" xfId="0" applyFont="false" applyBorder="true" applyAlignment="true" applyProtection="false">
      <alignment horizontal="center" vertical="center" textRotation="0" wrapText="false" indent="0" shrinkToFit="false"/>
      <protection locked="true" hidden="false"/>
    </xf>
    <xf numFmtId="166" fontId="16" fillId="0" borderId="4" xfId="0" applyFont="true" applyBorder="true" applyAlignment="true" applyProtection="false">
      <alignment horizontal="left" vertical="center" textRotation="0" wrapText="true" indent="0" shrinkToFit="false"/>
      <protection locked="true" hidden="false"/>
    </xf>
    <xf numFmtId="164" fontId="0" fillId="0" borderId="4" xfId="0" applyFont="false" applyBorder="true" applyAlignment="true" applyProtection="false">
      <alignment horizontal="center" vertical="center" textRotation="0" wrapText="true" indent="0" shrinkToFit="false"/>
      <protection locked="true" hidden="false"/>
    </xf>
    <xf numFmtId="168" fontId="0" fillId="0" borderId="4" xfId="0" applyFont="false" applyBorder="true" applyAlignment="true" applyProtection="false">
      <alignment horizontal="center" vertical="center" textRotation="0" wrapText="true" indent="0" shrinkToFit="false"/>
      <protection locked="true" hidden="false"/>
    </xf>
    <xf numFmtId="168" fontId="16" fillId="0" borderId="13" xfId="0" applyFont="true" applyBorder="true" applyAlignment="true" applyProtection="false">
      <alignment horizontal="center" vertical="center" textRotation="0" wrapText="true" indent="0" shrinkToFit="false"/>
      <protection locked="true" hidden="false"/>
    </xf>
    <xf numFmtId="164" fontId="59" fillId="2" borderId="44" xfId="0" applyFont="true" applyBorder="true" applyAlignment="true" applyProtection="false">
      <alignment horizontal="center" vertical="center" textRotation="0" wrapText="false" indent="0" shrinkToFit="false"/>
      <protection locked="true" hidden="false"/>
    </xf>
    <xf numFmtId="170" fontId="0" fillId="0" borderId="45" xfId="0" applyFont="false" applyBorder="true" applyAlignment="true" applyProtection="false">
      <alignment horizontal="center" vertical="center" textRotation="0" wrapText="false" indent="0" shrinkToFit="false"/>
      <protection locked="true" hidden="false"/>
    </xf>
    <xf numFmtId="170" fontId="0" fillId="0" borderId="46" xfId="0" applyFont="false" applyBorder="true" applyAlignment="true" applyProtection="false">
      <alignment horizontal="center" vertical="center" textRotation="0" wrapText="false" indent="0" shrinkToFit="false"/>
      <protection locked="true" hidden="false"/>
    </xf>
    <xf numFmtId="164" fontId="59" fillId="2" borderId="47" xfId="0" applyFont="true" applyBorder="true" applyAlignment="true" applyProtection="false">
      <alignment horizontal="center" vertical="center" textRotation="0" wrapText="false" indent="0" shrinkToFit="false"/>
      <protection locked="true" hidden="false"/>
    </xf>
    <xf numFmtId="170" fontId="0" fillId="0" borderId="48" xfId="0" applyFont="false" applyBorder="true" applyAlignment="true" applyProtection="false">
      <alignment horizontal="center" vertical="center" textRotation="0" wrapText="false" indent="0" shrinkToFit="false"/>
      <protection locked="true" hidden="false"/>
    </xf>
    <xf numFmtId="177" fontId="16" fillId="0" borderId="4" xfId="0" applyFont="true" applyBorder="true" applyAlignment="true" applyProtection="false">
      <alignment horizontal="center" vertical="center" textRotation="0" wrapText="true" indent="0" shrinkToFit="false"/>
      <protection locked="true" hidden="false"/>
    </xf>
    <xf numFmtId="168" fontId="0" fillId="0" borderId="13" xfId="0" applyFont="false" applyBorder="true" applyAlignment="true" applyProtection="false">
      <alignment horizontal="center" vertical="center" textRotation="0" wrapText="true" indent="0" shrinkToFit="false"/>
      <protection locked="true" hidden="false"/>
    </xf>
    <xf numFmtId="168" fontId="9" fillId="0" borderId="0" xfId="0" applyFont="true" applyBorder="false" applyAlignment="true" applyProtection="false">
      <alignment horizontal="center" vertical="center" textRotation="0" wrapText="false" indent="0" shrinkToFit="false"/>
      <protection locked="true" hidden="false"/>
    </xf>
    <xf numFmtId="168" fontId="9" fillId="2" borderId="39" xfId="0" applyFont="true" applyBorder="true" applyAlignment="true" applyProtection="false">
      <alignment horizontal="center" vertical="center" textRotation="0" wrapText="true" indent="0" shrinkToFit="false"/>
      <protection locked="true" hidden="false"/>
    </xf>
    <xf numFmtId="174" fontId="5" fillId="0" borderId="3" xfId="0" applyFont="true" applyBorder="true" applyAlignment="true" applyProtection="false">
      <alignment horizontal="center" vertical="center" textRotation="0" wrapText="false" indent="0" shrinkToFit="false"/>
      <protection locked="true" hidden="false"/>
    </xf>
    <xf numFmtId="168" fontId="5" fillId="0" borderId="3" xfId="0" applyFont="true" applyBorder="true" applyAlignment="true" applyProtection="false">
      <alignment horizontal="center" vertical="center" textRotation="0" wrapText="false" indent="0" shrinkToFit="false"/>
      <protection locked="true" hidden="false"/>
    </xf>
    <xf numFmtId="168" fontId="64" fillId="0" borderId="3" xfId="0" applyFont="true" applyBorder="true" applyAlignment="true" applyProtection="false">
      <alignment horizontal="center" vertical="center" textRotation="0" wrapText="false" indent="0" shrinkToFit="false"/>
      <protection locked="true" hidden="false"/>
    </xf>
    <xf numFmtId="174" fontId="5" fillId="0" borderId="3" xfId="0" applyFont="true" applyBorder="true" applyAlignment="true" applyProtection="false">
      <alignment horizontal="center" vertical="center" textRotation="0" wrapText="true" indent="0" shrinkToFit="false"/>
      <protection locked="true" hidden="false"/>
    </xf>
    <xf numFmtId="164" fontId="65" fillId="2" borderId="49" xfId="0" applyFont="true" applyBorder="true" applyAlignment="true" applyProtection="false">
      <alignment horizontal="center" vertical="center" textRotation="0" wrapText="false" indent="0" shrinkToFit="false"/>
      <protection locked="true" hidden="false"/>
    </xf>
    <xf numFmtId="170" fontId="66" fillId="0" borderId="50" xfId="0" applyFont="true" applyBorder="true" applyAlignment="true" applyProtection="false">
      <alignment horizontal="center" vertical="center" textRotation="0" wrapText="false" indent="0" shrinkToFit="false"/>
      <protection locked="true" hidden="false"/>
    </xf>
    <xf numFmtId="166" fontId="5" fillId="0" borderId="4" xfId="0" applyFont="true" applyBorder="true" applyAlignment="true" applyProtection="false">
      <alignment horizontal="center" vertical="center" textRotation="0" wrapText="false" indent="0" shrinkToFit="false"/>
      <protection locked="true" hidden="false"/>
    </xf>
    <xf numFmtId="168" fontId="64" fillId="0" borderId="4" xfId="0" applyFont="true" applyBorder="true" applyAlignment="true" applyProtection="false">
      <alignment horizontal="center" vertical="center" textRotation="0" wrapText="false" indent="0" shrinkToFit="false"/>
      <protection locked="true" hidden="false"/>
    </xf>
    <xf numFmtId="166" fontId="5" fillId="0" borderId="4" xfId="0" applyFont="true" applyBorder="true" applyAlignment="true" applyProtection="false">
      <alignment horizontal="center" vertical="center" textRotation="0" wrapText="true" indent="0" shrinkToFit="false"/>
      <protection locked="true" hidden="false"/>
    </xf>
    <xf numFmtId="164" fontId="65" fillId="2" borderId="51" xfId="0" applyFont="true" applyBorder="true" applyAlignment="true" applyProtection="false">
      <alignment horizontal="center" vertical="center" textRotation="0" wrapText="false" indent="0" shrinkToFit="false"/>
      <protection locked="true" hidden="false"/>
    </xf>
    <xf numFmtId="170" fontId="66" fillId="0" borderId="52" xfId="0" applyFont="true" applyBorder="true" applyAlignment="true" applyProtection="false">
      <alignment horizontal="center" vertical="center" textRotation="0" wrapText="false" indent="0" shrinkToFit="false"/>
      <protection locked="true" hidden="false"/>
    </xf>
    <xf numFmtId="174" fontId="5" fillId="0" borderId="4" xfId="0" applyFont="true" applyBorder="true" applyAlignment="true" applyProtection="false">
      <alignment horizontal="center" vertical="center" textRotation="0" wrapText="false" indent="0" shrinkToFit="false"/>
      <protection locked="true" hidden="false"/>
    </xf>
    <xf numFmtId="174" fontId="5" fillId="0" borderId="4" xfId="0" applyFont="true" applyBorder="true" applyAlignment="true" applyProtection="false">
      <alignment horizontal="center" vertical="center" textRotation="0" wrapText="true" indent="0" shrinkToFit="false"/>
      <protection locked="true" hidden="false"/>
    </xf>
    <xf numFmtId="164" fontId="65" fillId="2" borderId="53" xfId="0" applyFont="true" applyBorder="true" applyAlignment="true" applyProtection="false">
      <alignment horizontal="center" vertical="center" textRotation="0" wrapText="false" indent="0" shrinkToFit="false"/>
      <protection locked="true" hidden="false"/>
    </xf>
    <xf numFmtId="164" fontId="65" fillId="2" borderId="54" xfId="0" applyFont="true" applyBorder="true" applyAlignment="true" applyProtection="false">
      <alignment horizontal="center" vertical="center" textRotation="0" wrapText="false" indent="0" shrinkToFit="false"/>
      <protection locked="true" hidden="false"/>
    </xf>
    <xf numFmtId="170" fontId="66" fillId="0" borderId="47" xfId="0" applyFont="true" applyBorder="true" applyAlignment="true" applyProtection="false">
      <alignment horizontal="center" vertical="center" textRotation="0" wrapText="false" indent="0" shrinkToFit="false"/>
      <protection locked="true" hidden="false"/>
    </xf>
    <xf numFmtId="164" fontId="59" fillId="2" borderId="43" xfId="0" applyFont="true" applyBorder="true" applyAlignment="true" applyProtection="false">
      <alignment horizontal="center" vertical="center" textRotation="0" wrapText="false" indent="0" shrinkToFit="false"/>
      <protection locked="true" hidden="false"/>
    </xf>
    <xf numFmtId="166" fontId="59" fillId="2" borderId="44" xfId="0" applyFont="true" applyBorder="true" applyAlignment="true" applyProtection="false">
      <alignment horizontal="center" vertical="center" textRotation="0" wrapText="false" indent="0" shrinkToFit="false"/>
      <protection locked="true" hidden="false"/>
    </xf>
    <xf numFmtId="170" fontId="10" fillId="0" borderId="45" xfId="0" applyFont="true" applyBorder="true" applyAlignment="true" applyProtection="false">
      <alignment horizontal="center" vertical="center" textRotation="0" wrapText="false" indent="0" shrinkToFit="false"/>
      <protection locked="true" hidden="false"/>
    </xf>
    <xf numFmtId="174" fontId="59" fillId="2" borderId="44" xfId="0" applyFont="true" applyBorder="true" applyAlignment="true" applyProtection="false">
      <alignment horizontal="center" vertical="center" textRotation="0" wrapText="true" indent="0" shrinkToFit="false"/>
      <protection locked="true" hidden="false"/>
    </xf>
    <xf numFmtId="170" fontId="10" fillId="0" borderId="55" xfId="0" applyFont="true" applyBorder="true" applyAlignment="true" applyProtection="false">
      <alignment horizontal="center" vertical="center" textRotation="0" wrapText="false" indent="0" shrinkToFit="false"/>
      <protection locked="true" hidden="false"/>
    </xf>
    <xf numFmtId="174" fontId="59" fillId="2" borderId="52" xfId="0" applyFont="true" applyBorder="true" applyAlignment="true" applyProtection="false">
      <alignment horizontal="center" vertical="center" textRotation="0" wrapText="false" indent="0" shrinkToFit="false"/>
      <protection locked="true" hidden="false"/>
    </xf>
    <xf numFmtId="174" fontId="59" fillId="2" borderId="47" xfId="0" applyFont="true" applyBorder="true" applyAlignment="true" applyProtection="false">
      <alignment horizontal="center" vertical="center" textRotation="0" wrapText="false" indent="0" shrinkToFit="false"/>
      <protection locked="true" hidden="false"/>
    </xf>
    <xf numFmtId="170" fontId="10" fillId="0" borderId="48" xfId="0" applyFont="true" applyBorder="true" applyAlignment="true" applyProtection="false">
      <alignment horizontal="center" vertical="center" textRotation="0" wrapText="false" indent="0" shrinkToFit="false"/>
      <protection locked="true" hidden="false"/>
    </xf>
    <xf numFmtId="164" fontId="0" fillId="0" borderId="26" xfId="0" applyFont="false" applyBorder="true" applyAlignment="true" applyProtection="false">
      <alignment horizontal="left" vertical="center" textRotation="0" wrapText="false" indent="0" shrinkToFit="false"/>
      <protection locked="true" hidden="false"/>
    </xf>
    <xf numFmtId="164" fontId="0" fillId="0" borderId="26" xfId="0" applyFont="false" applyBorder="true" applyAlignment="true" applyProtection="false">
      <alignment horizontal="center" vertical="center" textRotation="0" wrapText="false" indent="0" shrinkToFit="false"/>
      <protection locked="true" hidden="false"/>
    </xf>
    <xf numFmtId="164" fontId="0" fillId="0" borderId="29" xfId="0" applyFont="false" applyBorder="true" applyAlignment="true" applyProtection="false">
      <alignment horizontal="center" vertical="center" textRotation="0" wrapText="false" indent="0" shrinkToFit="false"/>
      <protection locked="true" hidden="false"/>
    </xf>
    <xf numFmtId="174" fontId="5" fillId="0" borderId="26" xfId="0" applyFont="true" applyBorder="true" applyAlignment="true" applyProtection="false">
      <alignment horizontal="center" vertical="center" textRotation="0" wrapText="false" indent="0" shrinkToFit="false"/>
      <protection locked="true" hidden="false"/>
    </xf>
    <xf numFmtId="168" fontId="5" fillId="0" borderId="29" xfId="0" applyFont="true" applyBorder="true" applyAlignment="true" applyProtection="false">
      <alignment horizontal="center" vertical="center" textRotation="0" wrapText="false" indent="0" shrinkToFit="false"/>
      <protection locked="true" hidden="false"/>
    </xf>
    <xf numFmtId="168" fontId="64" fillId="0" borderId="26" xfId="0" applyFont="true" applyBorder="true" applyAlignment="true" applyProtection="false">
      <alignment horizontal="center" vertical="center" textRotation="0" wrapText="false" indent="0" shrinkToFit="false"/>
      <protection locked="true" hidden="false"/>
    </xf>
    <xf numFmtId="174" fontId="5" fillId="0" borderId="26" xfId="0" applyFont="true" applyBorder="true" applyAlignment="true" applyProtection="false">
      <alignment horizontal="center" vertical="center" textRotation="0" wrapText="true" indent="0" shrinkToFit="false"/>
      <protection locked="true" hidden="false"/>
    </xf>
    <xf numFmtId="164" fontId="0" fillId="0" borderId="13" xfId="0" applyFont="false" applyBorder="true" applyAlignment="true" applyProtection="false">
      <alignment horizontal="center" vertical="center" textRotation="0" wrapText="false" indent="0" shrinkToFit="false"/>
      <protection locked="true" hidden="false"/>
    </xf>
    <xf numFmtId="168" fontId="9" fillId="0" borderId="4" xfId="0" applyFont="true" applyBorder="true" applyAlignment="true" applyProtection="false">
      <alignment horizontal="center" vertical="center" textRotation="0" wrapText="false" indent="0" shrinkToFit="false"/>
      <protection locked="true" hidden="false"/>
    </xf>
    <xf numFmtId="168" fontId="5" fillId="0" borderId="4" xfId="0" applyFont="true" applyBorder="true" applyAlignment="true" applyProtection="false">
      <alignment horizontal="center" vertical="center" textRotation="0" wrapText="false" indent="0" shrinkToFit="false"/>
      <protection locked="true" hidden="false"/>
    </xf>
    <xf numFmtId="178" fontId="5" fillId="0" borderId="4" xfId="0" applyFont="true" applyBorder="true" applyAlignment="true" applyProtection="false">
      <alignment horizontal="center" vertical="center" textRotation="0" wrapText="false" indent="0" shrinkToFit="false"/>
      <protection locked="true" hidden="false"/>
    </xf>
    <xf numFmtId="178" fontId="5" fillId="0" borderId="4" xfId="0" applyFont="true" applyBorder="true" applyAlignment="true" applyProtection="false">
      <alignment horizontal="center" vertical="center" textRotation="0" wrapText="true" indent="0" shrinkToFit="false"/>
      <protection locked="true" hidden="false"/>
    </xf>
    <xf numFmtId="169" fontId="0" fillId="0" borderId="4" xfId="0" applyFont="false" applyBorder="true" applyAlignment="true" applyProtection="false">
      <alignment horizontal="center" vertical="center" textRotation="0" wrapText="false" indent="0" shrinkToFit="false"/>
      <protection locked="true" hidden="false"/>
    </xf>
    <xf numFmtId="164" fontId="0" fillId="0" borderId="4" xfId="0" applyFont="false" applyBorder="true" applyAlignment="true" applyProtection="false">
      <alignment horizontal="left" vertical="top" textRotation="0" wrapText="true" indent="0" shrinkToFit="false"/>
      <protection locked="true" hidden="false"/>
    </xf>
    <xf numFmtId="164" fontId="9" fillId="0" borderId="4" xfId="0" applyFont="true" applyBorder="true" applyAlignment="true" applyProtection="false">
      <alignment horizontal="left" vertical="center" textRotation="0" wrapText="false" indent="0" shrinkToFit="false"/>
      <protection locked="true" hidden="false"/>
    </xf>
    <xf numFmtId="164" fontId="5" fillId="0" borderId="4" xfId="0" applyFont="true" applyBorder="true" applyAlignment="true" applyProtection="false">
      <alignment horizontal="left" vertical="center" textRotation="0" wrapText="true" indent="0" shrinkToFit="false"/>
      <protection locked="true" hidden="false"/>
    </xf>
    <xf numFmtId="164" fontId="0" fillId="0" borderId="4" xfId="0" applyFont="true" applyBorder="true" applyAlignment="true" applyProtection="false">
      <alignment horizontal="left" vertical="top" textRotation="0" wrapText="true" indent="0" shrinkToFit="false"/>
      <protection locked="true" hidden="false"/>
    </xf>
    <xf numFmtId="164" fontId="5" fillId="0" borderId="3" xfId="0" applyFont="true" applyBorder="true" applyAlignment="true" applyProtection="false">
      <alignment horizontal="left" vertical="center" textRotation="0" wrapText="true" indent="0" shrinkToFit="false"/>
      <protection locked="true" hidden="false"/>
    </xf>
    <xf numFmtId="169" fontId="0" fillId="0" borderId="3" xfId="0" applyFont="false" applyBorder="true" applyAlignment="true" applyProtection="false">
      <alignment horizontal="center" vertical="center" textRotation="0" wrapText="false" indent="0" shrinkToFit="false"/>
      <protection locked="true" hidden="false"/>
    </xf>
    <xf numFmtId="166" fontId="0" fillId="0" borderId="3" xfId="0" applyFont="false" applyBorder="true" applyAlignment="true" applyProtection="false">
      <alignment horizontal="center" vertical="center"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center" textRotation="0" wrapText="false" indent="0" shrinkToFit="false"/>
      <protection locked="true" hidden="false"/>
    </xf>
    <xf numFmtId="164" fontId="5" fillId="0" borderId="0" xfId="0" applyFont="true" applyBorder="false" applyAlignment="true" applyProtection="false">
      <alignment horizontal="general" vertical="bottom" textRotation="0" wrapText="true" indent="0" shrinkToFit="false"/>
      <protection locked="true" hidden="false"/>
    </xf>
    <xf numFmtId="164" fontId="5" fillId="0" borderId="17" xfId="0" applyFont="true" applyBorder="true" applyAlignment="true" applyProtection="false">
      <alignment horizontal="right" vertical="center" textRotation="0" wrapText="false" indent="0" shrinkToFit="false"/>
      <protection locked="true" hidden="false"/>
    </xf>
    <xf numFmtId="179" fontId="5" fillId="0" borderId="56" xfId="0" applyFont="true" applyBorder="true" applyAlignment="true" applyProtection="false">
      <alignment horizontal="general" vertical="center" textRotation="0" wrapText="false" indent="0" shrinkToFit="false"/>
      <protection locked="true" hidden="false"/>
    </xf>
    <xf numFmtId="166" fontId="5" fillId="0" borderId="0" xfId="0" applyFont="true" applyBorder="false" applyAlignment="true" applyProtection="false">
      <alignment horizontal="general" vertical="center" textRotation="0" wrapText="false" indent="0" shrinkToFit="false"/>
      <protection locked="true" hidden="false"/>
    </xf>
    <xf numFmtId="164" fontId="19" fillId="0" borderId="0" xfId="0" applyFont="true" applyBorder="false" applyAlignment="false" applyProtection="false">
      <alignment horizontal="general" vertical="bottom" textRotation="0" wrapText="false" indent="0" shrinkToFit="false"/>
      <protection locked="true" hidden="false"/>
    </xf>
    <xf numFmtId="164" fontId="5" fillId="0" borderId="23" xfId="0" applyFont="true" applyBorder="true" applyAlignment="true" applyProtection="false">
      <alignment horizontal="right" vertical="center" textRotation="0" wrapText="false" indent="0" shrinkToFit="false"/>
      <protection locked="true" hidden="false"/>
    </xf>
    <xf numFmtId="179" fontId="5" fillId="0" borderId="57" xfId="0" applyFont="true" applyBorder="true" applyAlignment="true" applyProtection="false">
      <alignment horizontal="general" vertical="center" textRotation="0" wrapText="false" indent="0" shrinkToFit="false"/>
      <protection locked="true" hidden="false"/>
    </xf>
    <xf numFmtId="164" fontId="19" fillId="3" borderId="0" xfId="0" applyFont="true" applyBorder="false" applyAlignment="false" applyProtection="false">
      <alignment horizontal="general" vertical="bottom" textRotation="0" wrapText="false" indent="0" shrinkToFit="false"/>
      <protection locked="true" hidden="false"/>
    </xf>
    <xf numFmtId="164" fontId="70" fillId="2" borderId="58" xfId="0" applyFont="true" applyBorder="true" applyAlignment="true" applyProtection="false">
      <alignment horizontal="center" vertical="center" textRotation="0" wrapText="true" indent="0" shrinkToFit="false"/>
      <protection locked="true" hidden="false"/>
    </xf>
    <xf numFmtId="164" fontId="70" fillId="2" borderId="16" xfId="0" applyFont="true" applyBorder="true" applyAlignment="true" applyProtection="false">
      <alignment horizontal="center" vertical="center" textRotation="0" wrapText="true" indent="0" shrinkToFit="false"/>
      <protection locked="true" hidden="false"/>
    </xf>
    <xf numFmtId="164" fontId="70" fillId="2" borderId="56" xfId="0" applyFont="true" applyBorder="true" applyAlignment="true" applyProtection="false">
      <alignment horizontal="center" vertical="center" textRotation="0" wrapText="true" indent="0" shrinkToFit="false"/>
      <protection locked="true" hidden="false"/>
    </xf>
    <xf numFmtId="164" fontId="70" fillId="2" borderId="59" xfId="0" applyFont="true" applyBorder="true" applyAlignment="true" applyProtection="false">
      <alignment horizontal="center" vertical="center" textRotation="0" wrapText="true" indent="0" shrinkToFit="false"/>
      <protection locked="true" hidden="false"/>
    </xf>
    <xf numFmtId="164" fontId="70" fillId="2" borderId="59" xfId="0" applyFont="true" applyBorder="true" applyAlignment="true" applyProtection="false">
      <alignment horizontal="center" vertical="center" textRotation="0" wrapText="false" indent="0" shrinkToFit="false"/>
      <protection locked="true" hidden="false"/>
    </xf>
    <xf numFmtId="164" fontId="70" fillId="2" borderId="17" xfId="0" applyFont="true" applyBorder="true" applyAlignment="true" applyProtection="false">
      <alignment horizontal="center" vertical="center" textRotation="0" wrapText="false" indent="0" shrinkToFit="false"/>
      <protection locked="true" hidden="false"/>
    </xf>
    <xf numFmtId="164" fontId="70" fillId="2" borderId="60" xfId="0" applyFont="true" applyBorder="true" applyAlignment="true" applyProtection="false">
      <alignment horizontal="center" vertical="center" textRotation="0" wrapText="true" indent="0" shrinkToFit="false"/>
      <protection locked="true" hidden="false"/>
    </xf>
    <xf numFmtId="164" fontId="70" fillId="2" borderId="0" xfId="0" applyFont="true" applyBorder="false" applyAlignment="true" applyProtection="false">
      <alignment horizontal="center" vertical="center" textRotation="0" wrapText="true" indent="0" shrinkToFit="false"/>
      <protection locked="true" hidden="false"/>
    </xf>
    <xf numFmtId="164" fontId="70" fillId="2" borderId="61" xfId="0" applyFont="true" applyBorder="true" applyAlignment="true" applyProtection="false">
      <alignment horizontal="center" vertical="center" textRotation="0" wrapText="true" indent="0" shrinkToFit="false"/>
      <protection locked="true" hidden="false"/>
    </xf>
    <xf numFmtId="164" fontId="70" fillId="2" borderId="20" xfId="0" applyFont="true" applyBorder="true" applyAlignment="true" applyProtection="false">
      <alignment horizontal="center" vertical="center" textRotation="0" wrapText="true" indent="0" shrinkToFit="false"/>
      <protection locked="true" hidden="false"/>
    </xf>
    <xf numFmtId="164" fontId="70" fillId="2" borderId="17" xfId="0" applyFont="true" applyBorder="true" applyAlignment="true" applyProtection="false">
      <alignment horizontal="center" vertical="center" textRotation="0" wrapText="true" indent="0" shrinkToFit="false"/>
      <protection locked="true" hidden="false"/>
    </xf>
    <xf numFmtId="166" fontId="5" fillId="0" borderId="0" xfId="0" applyFont="true" applyBorder="false" applyAlignment="true" applyProtection="false">
      <alignment horizontal="general" vertical="center" textRotation="0" wrapText="true" indent="0" shrinkToFit="false"/>
      <protection locked="true" hidden="false"/>
    </xf>
    <xf numFmtId="164" fontId="19" fillId="0" borderId="44" xfId="22" applyFont="true" applyBorder="true" applyAlignment="false" applyProtection="false">
      <alignment horizontal="general" vertical="bottom" textRotation="0" wrapText="false" indent="0" shrinkToFit="false"/>
      <protection locked="true" hidden="false"/>
    </xf>
    <xf numFmtId="164" fontId="55" fillId="14" borderId="44" xfId="22" applyFont="true" applyBorder="true" applyAlignment="true" applyProtection="false">
      <alignment horizontal="general" vertical="center" textRotation="0" wrapText="false" indent="0" shrinkToFit="false"/>
      <protection locked="true" hidden="false"/>
    </xf>
    <xf numFmtId="164" fontId="55" fillId="5" borderId="51" xfId="22" applyFont="true" applyBorder="true" applyAlignment="true" applyProtection="false">
      <alignment horizontal="general" vertical="center" textRotation="0" wrapText="false" indent="0" shrinkToFit="false"/>
      <protection locked="true" hidden="false"/>
    </xf>
    <xf numFmtId="164" fontId="55" fillId="0" borderId="51" xfId="0" applyFont="true" applyBorder="true" applyAlignment="true" applyProtection="false">
      <alignment horizontal="general" vertical="center" textRotation="0" wrapText="true" indent="0" shrinkToFit="false"/>
      <protection locked="true" hidden="false"/>
    </xf>
    <xf numFmtId="180" fontId="19" fillId="14" borderId="51" xfId="0" applyFont="true" applyBorder="true" applyAlignment="true" applyProtection="false">
      <alignment horizontal="center" vertical="center" textRotation="0" wrapText="false" indent="0" shrinkToFit="false"/>
      <protection locked="true" hidden="false"/>
    </xf>
    <xf numFmtId="164" fontId="19" fillId="14" borderId="52" xfId="0" applyFont="true" applyBorder="true" applyAlignment="true" applyProtection="false">
      <alignment horizontal="center" vertical="center" textRotation="0" wrapText="false" indent="0" shrinkToFit="false"/>
      <protection locked="true" hidden="false"/>
    </xf>
    <xf numFmtId="180" fontId="19" fillId="14" borderId="9" xfId="0" applyFont="true" applyBorder="true" applyAlignment="true" applyProtection="false">
      <alignment horizontal="center" vertical="center" textRotation="0" wrapText="false" indent="0" shrinkToFit="false"/>
      <protection locked="true" hidden="false"/>
    </xf>
    <xf numFmtId="164" fontId="71" fillId="0" borderId="44" xfId="0" applyFont="true" applyBorder="true" applyAlignment="true" applyProtection="false">
      <alignment horizontal="left" vertical="center" textRotation="0" wrapText="false" indent="0" shrinkToFit="false"/>
      <protection locked="true" hidden="false"/>
    </xf>
    <xf numFmtId="164" fontId="71" fillId="0" borderId="44" xfId="0" applyFont="true" applyBorder="true" applyAlignment="true" applyProtection="false">
      <alignment horizontal="general" vertical="center" textRotation="0" wrapText="true" indent="0" shrinkToFit="false"/>
      <protection locked="true" hidden="false"/>
    </xf>
    <xf numFmtId="164" fontId="71" fillId="0" borderId="44" xfId="0" applyFont="true" applyBorder="true" applyAlignment="true" applyProtection="false">
      <alignment horizontal="general" vertical="center" textRotation="0" wrapText="false" indent="0" shrinkToFit="false"/>
      <protection locked="true" hidden="false"/>
    </xf>
    <xf numFmtId="164" fontId="71" fillId="0" borderId="51" xfId="0" applyFont="true" applyBorder="true" applyAlignment="true" applyProtection="false">
      <alignment horizontal="general" vertical="center" textRotation="0" wrapText="false" indent="0" shrinkToFit="false"/>
      <protection locked="true" hidden="false"/>
    </xf>
    <xf numFmtId="164" fontId="55" fillId="0" borderId="50" xfId="0" applyFont="true" applyBorder="true" applyAlignment="true" applyProtection="false">
      <alignment horizontal="general" vertical="center" textRotation="0" wrapText="true" indent="0" shrinkToFit="false"/>
      <protection locked="true" hidden="false"/>
    </xf>
    <xf numFmtId="164" fontId="55" fillId="0" borderId="9" xfId="0" applyFont="true" applyBorder="true" applyAlignment="true" applyProtection="false">
      <alignment horizontal="general" vertical="center" textRotation="0" wrapText="true" indent="0" shrinkToFit="false"/>
      <protection locked="true" hidden="false"/>
    </xf>
    <xf numFmtId="165" fontId="19" fillId="14" borderId="9" xfId="19" applyFont="true" applyBorder="true" applyAlignment="true" applyProtection="true">
      <alignment horizontal="general" vertical="bottom" textRotation="0" wrapText="false" indent="0" shrinkToFit="false"/>
      <protection locked="true" hidden="false"/>
    </xf>
    <xf numFmtId="181" fontId="55" fillId="0" borderId="44" xfId="22" applyFont="true" applyBorder="true" applyAlignment="false" applyProtection="false">
      <alignment horizontal="general" vertical="bottom" textRotation="0" wrapText="false" indent="0" shrinkToFit="false"/>
      <protection locked="true" hidden="false"/>
    </xf>
    <xf numFmtId="182" fontId="55" fillId="0" borderId="44" xfId="22" applyFont="true" applyBorder="true" applyAlignment="false" applyProtection="false">
      <alignment horizontal="general" vertical="bottom" textRotation="0" wrapText="false" indent="0" shrinkToFit="false"/>
      <protection locked="true" hidden="false"/>
    </xf>
    <xf numFmtId="183" fontId="55" fillId="14" borderId="9" xfId="0" applyFont="true" applyBorder="true" applyAlignment="false" applyProtection="false">
      <alignment horizontal="general" vertical="bottom" textRotation="0" wrapText="false" indent="0" shrinkToFit="false"/>
      <protection locked="true" hidden="false"/>
    </xf>
    <xf numFmtId="179" fontId="55" fillId="5" borderId="44" xfId="0" applyFont="true" applyBorder="true" applyAlignment="false" applyProtection="false">
      <alignment horizontal="general" vertical="bottom" textRotation="0" wrapText="false" indent="0" shrinkToFit="false"/>
      <protection locked="true" hidden="false"/>
    </xf>
    <xf numFmtId="182" fontId="55" fillId="0" borderId="45" xfId="22" applyFont="true" applyBorder="true" applyAlignment="false" applyProtection="false">
      <alignment horizontal="general" vertical="bottom" textRotation="0" wrapText="false" indent="0" shrinkToFit="false"/>
      <protection locked="true" hidden="false"/>
    </xf>
    <xf numFmtId="183" fontId="55" fillId="14" borderId="45" xfId="0" applyFont="true" applyBorder="true" applyAlignment="false" applyProtection="false">
      <alignment horizontal="general" vertical="bottom" textRotation="0" wrapText="false" indent="0" shrinkToFit="false"/>
      <protection locked="true" hidden="false"/>
    </xf>
    <xf numFmtId="184" fontId="55" fillId="0" borderId="44" xfId="22" applyFont="true" applyBorder="true" applyAlignment="false" applyProtection="false">
      <alignment horizontal="general" vertical="bottom" textRotation="0" wrapText="false" indent="0" shrinkToFit="false"/>
      <protection locked="true" hidden="false"/>
    </xf>
    <xf numFmtId="183" fontId="55" fillId="14" borderId="44" xfId="0" applyFont="true" applyBorder="true" applyAlignment="false" applyProtection="false">
      <alignment horizontal="general" vertical="bottom" textRotation="0" wrapText="false" indent="0" shrinkToFit="false"/>
      <protection locked="true" hidden="false"/>
    </xf>
    <xf numFmtId="183" fontId="55" fillId="14" borderId="51" xfId="0" applyFont="true" applyBorder="true" applyAlignment="false" applyProtection="false">
      <alignment horizontal="general" vertical="bottom" textRotation="0" wrapText="false" indent="0" shrinkToFit="false"/>
      <protection locked="true" hidden="false"/>
    </xf>
    <xf numFmtId="165" fontId="55" fillId="14" borderId="51" xfId="19" applyFont="true" applyBorder="true" applyAlignment="true" applyProtection="true">
      <alignment horizontal="general" vertical="bottom" textRotation="0" wrapText="false" indent="0" shrinkToFit="false"/>
      <protection locked="true" hidden="false"/>
    </xf>
    <xf numFmtId="164" fontId="19" fillId="0" borderId="44" xfId="0" applyFont="true" applyBorder="true" applyAlignment="false" applyProtection="false">
      <alignment horizontal="general" vertical="bottom" textRotation="0" wrapText="false" indent="0" shrinkToFit="false"/>
      <protection locked="true" hidden="false"/>
    </xf>
    <xf numFmtId="164" fontId="19" fillId="0" borderId="52" xfId="22" applyFont="true" applyBorder="true" applyAlignment="false" applyProtection="false">
      <alignment horizontal="general" vertical="bottom" textRotation="0" wrapText="false" indent="0" shrinkToFit="false"/>
      <protection locked="true" hidden="false"/>
    </xf>
    <xf numFmtId="164" fontId="55" fillId="14" borderId="52" xfId="22" applyFont="true" applyBorder="true" applyAlignment="true" applyProtection="false">
      <alignment horizontal="general" vertical="center" textRotation="0" wrapText="false" indent="0" shrinkToFit="false"/>
      <protection locked="true" hidden="false"/>
    </xf>
    <xf numFmtId="164" fontId="55" fillId="14" borderId="53" xfId="22" applyFont="true" applyBorder="true" applyAlignment="true" applyProtection="false">
      <alignment horizontal="general" vertical="center" textRotation="0" wrapText="false" indent="0" shrinkToFit="false"/>
      <protection locked="true" hidden="false"/>
    </xf>
    <xf numFmtId="164" fontId="55" fillId="0" borderId="53" xfId="0" applyFont="true" applyBorder="true" applyAlignment="true" applyProtection="false">
      <alignment horizontal="general" vertical="center" textRotation="0" wrapText="false" indent="0" shrinkToFit="false"/>
      <protection locked="true" hidden="false"/>
    </xf>
    <xf numFmtId="180" fontId="19" fillId="14" borderId="28" xfId="0" applyFont="true" applyBorder="true" applyAlignment="true" applyProtection="false">
      <alignment horizontal="center" vertical="center" textRotation="0" wrapText="false" indent="0" shrinkToFit="false"/>
      <protection locked="true" hidden="false"/>
    </xf>
    <xf numFmtId="164" fontId="71" fillId="0" borderId="52" xfId="0" applyFont="true" applyBorder="true" applyAlignment="true" applyProtection="false">
      <alignment horizontal="left" vertical="center" textRotation="0" wrapText="false" indent="0" shrinkToFit="false"/>
      <protection locked="true" hidden="false"/>
    </xf>
    <xf numFmtId="164" fontId="71" fillId="0" borderId="52" xfId="0" applyFont="true" applyBorder="true" applyAlignment="true" applyProtection="false">
      <alignment horizontal="general" vertical="center" textRotation="0" wrapText="true" indent="0" shrinkToFit="false"/>
      <protection locked="true" hidden="false"/>
    </xf>
    <xf numFmtId="164" fontId="71" fillId="0" borderId="52" xfId="0" applyFont="true" applyBorder="true" applyAlignment="true" applyProtection="false">
      <alignment horizontal="general" vertical="center" textRotation="0" wrapText="false" indent="0" shrinkToFit="false"/>
      <protection locked="true" hidden="false"/>
    </xf>
    <xf numFmtId="164" fontId="71" fillId="0" borderId="53" xfId="0" applyFont="true" applyBorder="true" applyAlignment="true" applyProtection="false">
      <alignment horizontal="general" vertical="center" textRotation="0" wrapText="false" indent="0" shrinkToFit="false"/>
      <protection locked="true" hidden="false"/>
    </xf>
    <xf numFmtId="164" fontId="55" fillId="0" borderId="52" xfId="0" applyFont="true" applyBorder="true" applyAlignment="true" applyProtection="false">
      <alignment horizontal="general" vertical="center" textRotation="0" wrapText="false" indent="0" shrinkToFit="false"/>
      <protection locked="true" hidden="false"/>
    </xf>
    <xf numFmtId="164" fontId="55" fillId="0" borderId="28" xfId="0" applyFont="true" applyBorder="true" applyAlignment="true" applyProtection="false">
      <alignment horizontal="general" vertical="center" textRotation="0" wrapText="false" indent="0" shrinkToFit="false"/>
      <protection locked="true" hidden="false"/>
    </xf>
    <xf numFmtId="165" fontId="19" fillId="14" borderId="28" xfId="19" applyFont="true" applyBorder="true" applyAlignment="true" applyProtection="true">
      <alignment horizontal="general" vertical="bottom" textRotation="0" wrapText="false" indent="0" shrinkToFit="false"/>
      <protection locked="true" hidden="false"/>
    </xf>
    <xf numFmtId="181" fontId="55" fillId="0" borderId="52" xfId="22" applyFont="true" applyBorder="true" applyAlignment="false" applyProtection="false">
      <alignment horizontal="general" vertical="bottom" textRotation="0" wrapText="false" indent="0" shrinkToFit="false"/>
      <protection locked="true" hidden="false"/>
    </xf>
    <xf numFmtId="182" fontId="55" fillId="0" borderId="52" xfId="22" applyFont="true" applyBorder="true" applyAlignment="false" applyProtection="false">
      <alignment horizontal="general" vertical="bottom" textRotation="0" wrapText="false" indent="0" shrinkToFit="false"/>
      <protection locked="true" hidden="false"/>
    </xf>
    <xf numFmtId="183" fontId="55" fillId="14" borderId="28" xfId="0" applyFont="true" applyBorder="true" applyAlignment="false" applyProtection="false">
      <alignment horizontal="general" vertical="bottom" textRotation="0" wrapText="false" indent="0" shrinkToFit="false"/>
      <protection locked="true" hidden="false"/>
    </xf>
    <xf numFmtId="182" fontId="55" fillId="0" borderId="55" xfId="22" applyFont="true" applyBorder="true" applyAlignment="false" applyProtection="false">
      <alignment horizontal="general" vertical="bottom" textRotation="0" wrapText="false" indent="0" shrinkToFit="false"/>
      <protection locked="true" hidden="false"/>
    </xf>
    <xf numFmtId="183" fontId="55" fillId="14" borderId="55" xfId="0" applyFont="true" applyBorder="true" applyAlignment="false" applyProtection="false">
      <alignment horizontal="general" vertical="bottom" textRotation="0" wrapText="false" indent="0" shrinkToFit="false"/>
      <protection locked="true" hidden="false"/>
    </xf>
    <xf numFmtId="184" fontId="55" fillId="0" borderId="52" xfId="22" applyFont="true" applyBorder="true" applyAlignment="false" applyProtection="false">
      <alignment horizontal="general" vertical="bottom" textRotation="0" wrapText="false" indent="0" shrinkToFit="false"/>
      <protection locked="true" hidden="false"/>
    </xf>
    <xf numFmtId="183" fontId="55" fillId="14" borderId="52" xfId="0" applyFont="true" applyBorder="true" applyAlignment="false" applyProtection="false">
      <alignment horizontal="general" vertical="bottom" textRotation="0" wrapText="false" indent="0" shrinkToFit="false"/>
      <protection locked="true" hidden="false"/>
    </xf>
    <xf numFmtId="183" fontId="55" fillId="14" borderId="53" xfId="0" applyFont="true" applyBorder="true" applyAlignment="false" applyProtection="false">
      <alignment horizontal="general" vertical="bottom" textRotation="0" wrapText="false" indent="0" shrinkToFit="false"/>
      <protection locked="true" hidden="false"/>
    </xf>
    <xf numFmtId="165" fontId="55" fillId="14" borderId="53" xfId="19" applyFont="true" applyBorder="true" applyAlignment="true" applyProtection="true">
      <alignment horizontal="general" vertical="bottom" textRotation="0" wrapText="false" indent="0" shrinkToFit="false"/>
      <protection locked="true" hidden="false"/>
    </xf>
    <xf numFmtId="164" fontId="5" fillId="0" borderId="52" xfId="0" applyFont="true" applyBorder="true" applyAlignment="false" applyProtection="false">
      <alignment horizontal="general" vertical="bottom" textRotation="0" wrapText="false" indent="0" shrinkToFit="false"/>
      <protection locked="true" hidden="false"/>
    </xf>
    <xf numFmtId="180" fontId="19" fillId="14" borderId="53" xfId="0" applyFont="true" applyBorder="true" applyAlignment="true" applyProtection="false">
      <alignment horizontal="center" vertical="center" textRotation="0" wrapText="false" indent="0" shrinkToFit="false"/>
      <protection locked="true" hidden="false"/>
    </xf>
    <xf numFmtId="164" fontId="55" fillId="5" borderId="53" xfId="22" applyFont="true" applyBorder="true" applyAlignment="true" applyProtection="false">
      <alignment horizontal="general" vertical="center" textRotation="0" wrapText="false" indent="0" shrinkToFit="false"/>
      <protection locked="true" hidden="false"/>
    </xf>
    <xf numFmtId="166" fontId="71" fillId="0" borderId="52" xfId="0" applyFont="true" applyBorder="true" applyAlignment="true" applyProtection="false">
      <alignment horizontal="left" vertical="center" textRotation="0" wrapText="false" indent="0" shrinkToFit="false"/>
      <protection locked="true" hidden="false"/>
    </xf>
    <xf numFmtId="168" fontId="71" fillId="0" borderId="52" xfId="0" applyFont="true" applyBorder="true" applyAlignment="true" applyProtection="false">
      <alignment horizontal="center" vertical="center" textRotation="0" wrapText="false" indent="0" shrinkToFit="false"/>
      <protection locked="true" hidden="false"/>
    </xf>
    <xf numFmtId="164" fontId="55" fillId="0" borderId="28" xfId="0" applyFont="true" applyBorder="true" applyAlignment="true" applyProtection="false">
      <alignment horizontal="general" vertical="center" textRotation="0" wrapText="true" indent="0" shrinkToFit="false"/>
      <protection locked="true" hidden="false"/>
    </xf>
    <xf numFmtId="164" fontId="56" fillId="0" borderId="28" xfId="0" applyFont="true" applyBorder="true" applyAlignment="true" applyProtection="false">
      <alignment horizontal="general" vertical="center" textRotation="0" wrapText="false" indent="0" shrinkToFit="false"/>
      <protection locked="true" hidden="false"/>
    </xf>
    <xf numFmtId="166" fontId="5" fillId="0" borderId="52" xfId="0" applyFont="true" applyBorder="true" applyAlignment="false" applyProtection="false">
      <alignment horizontal="general" vertical="bottom" textRotation="0" wrapText="false" indent="0" shrinkToFit="false"/>
      <protection locked="true" hidden="false"/>
    </xf>
    <xf numFmtId="164" fontId="56" fillId="0" borderId="28" xfId="0" applyFont="true" applyBorder="true" applyAlignment="true" applyProtection="false">
      <alignment horizontal="general" vertical="center" textRotation="0" wrapText="true" indent="0" shrinkToFit="false"/>
      <protection locked="true" hidden="false"/>
    </xf>
    <xf numFmtId="180" fontId="19" fillId="14" borderId="28" xfId="0" applyFont="true" applyBorder="true" applyAlignment="true" applyProtection="false">
      <alignment horizontal="center" vertical="center" textRotation="0" wrapText="true" indent="0" shrinkToFit="false"/>
      <protection locked="true" hidden="false"/>
    </xf>
    <xf numFmtId="180" fontId="72" fillId="14" borderId="28" xfId="0" applyFont="true" applyBorder="true" applyAlignment="true" applyProtection="false">
      <alignment horizontal="center" vertical="center" textRotation="0" wrapText="false" indent="0" shrinkToFit="false"/>
      <protection locked="true" hidden="false"/>
    </xf>
    <xf numFmtId="164" fontId="19" fillId="0" borderId="52" xfId="22" applyFont="true" applyBorder="true" applyAlignment="true" applyProtection="false">
      <alignment horizontal="general" vertical="center" textRotation="0" wrapText="false" indent="0" shrinkToFit="false"/>
      <protection locked="true" hidden="false"/>
    </xf>
    <xf numFmtId="165" fontId="19" fillId="14" borderId="28" xfId="19" applyFont="true" applyBorder="true" applyAlignment="true" applyProtection="true">
      <alignment horizontal="general" vertical="center" textRotation="0" wrapText="false" indent="0" shrinkToFit="false"/>
      <protection locked="true" hidden="false"/>
    </xf>
    <xf numFmtId="181" fontId="55" fillId="0" borderId="52" xfId="22" applyFont="true" applyBorder="true" applyAlignment="true" applyProtection="false">
      <alignment horizontal="general" vertical="center" textRotation="0" wrapText="false" indent="0" shrinkToFit="false"/>
      <protection locked="true" hidden="false"/>
    </xf>
    <xf numFmtId="182" fontId="55" fillId="0" borderId="52" xfId="22" applyFont="true" applyBorder="true" applyAlignment="true" applyProtection="false">
      <alignment horizontal="general" vertical="center" textRotation="0" wrapText="false" indent="0" shrinkToFit="false"/>
      <protection locked="true" hidden="false"/>
    </xf>
    <xf numFmtId="183" fontId="55" fillId="14" borderId="28" xfId="0" applyFont="true" applyBorder="true" applyAlignment="true" applyProtection="false">
      <alignment horizontal="general" vertical="center" textRotation="0" wrapText="false" indent="0" shrinkToFit="false"/>
      <protection locked="true" hidden="false"/>
    </xf>
    <xf numFmtId="182" fontId="55" fillId="0" borderId="55" xfId="22" applyFont="true" applyBorder="true" applyAlignment="true" applyProtection="false">
      <alignment horizontal="general" vertical="center" textRotation="0" wrapText="false" indent="0" shrinkToFit="false"/>
      <protection locked="true" hidden="false"/>
    </xf>
    <xf numFmtId="183" fontId="55" fillId="14" borderId="55" xfId="0" applyFont="true" applyBorder="true" applyAlignment="true" applyProtection="false">
      <alignment horizontal="general" vertical="center" textRotation="0" wrapText="false" indent="0" shrinkToFit="false"/>
      <protection locked="true" hidden="false"/>
    </xf>
    <xf numFmtId="184" fontId="55" fillId="0" borderId="52" xfId="22" applyFont="true" applyBorder="true" applyAlignment="true" applyProtection="false">
      <alignment horizontal="general" vertical="center" textRotation="0" wrapText="false" indent="0" shrinkToFit="false"/>
      <protection locked="true" hidden="false"/>
    </xf>
    <xf numFmtId="183" fontId="55" fillId="14" borderId="52" xfId="0" applyFont="true" applyBorder="true" applyAlignment="true" applyProtection="false">
      <alignment horizontal="general" vertical="center" textRotation="0" wrapText="false" indent="0" shrinkToFit="false"/>
      <protection locked="true" hidden="false"/>
    </xf>
    <xf numFmtId="183" fontId="55" fillId="14" borderId="53" xfId="0" applyFont="true" applyBorder="true" applyAlignment="true" applyProtection="false">
      <alignment horizontal="general" vertical="center" textRotation="0" wrapText="false" indent="0" shrinkToFit="false"/>
      <protection locked="true" hidden="false"/>
    </xf>
    <xf numFmtId="165" fontId="55" fillId="14" borderId="53" xfId="19" applyFont="true" applyBorder="true" applyAlignment="true" applyProtection="true">
      <alignment horizontal="general" vertical="center" textRotation="0" wrapText="false" indent="0" shrinkToFit="false"/>
      <protection locked="true" hidden="false"/>
    </xf>
    <xf numFmtId="164" fontId="5" fillId="0" borderId="52" xfId="0" applyFont="true" applyBorder="true" applyAlignment="true" applyProtection="false">
      <alignment horizontal="general" vertical="center" textRotation="0" wrapText="false" indent="0" shrinkToFit="false"/>
      <protection locked="true" hidden="false"/>
    </xf>
    <xf numFmtId="164" fontId="5" fillId="0" borderId="0" xfId="0" applyFont="true" applyBorder="false" applyAlignment="true" applyProtection="false">
      <alignment horizontal="general" vertical="center" textRotation="0" wrapText="true" indent="0" shrinkToFit="false"/>
      <protection locked="true" hidden="false"/>
    </xf>
    <xf numFmtId="166" fontId="73" fillId="0" borderId="52" xfId="0" applyFont="true" applyBorder="true" applyAlignment="true" applyProtection="false">
      <alignment horizontal="left" vertical="center" textRotation="0" wrapText="false" indent="0" shrinkToFit="false"/>
      <protection locked="true" hidden="false"/>
    </xf>
    <xf numFmtId="164" fontId="5" fillId="0" borderId="52" xfId="0" applyFont="true" applyBorder="true" applyAlignment="true" applyProtection="false">
      <alignment horizontal="general" vertical="bottom" textRotation="0" wrapText="true" indent="0" shrinkToFit="false"/>
      <protection locked="true" hidden="false"/>
    </xf>
    <xf numFmtId="164" fontId="56" fillId="14" borderId="52" xfId="22" applyFont="true" applyBorder="true" applyAlignment="true" applyProtection="false">
      <alignment horizontal="general" vertical="center" textRotation="0" wrapText="false" indent="0" shrinkToFit="false"/>
      <protection locked="true" hidden="false"/>
    </xf>
    <xf numFmtId="164" fontId="55" fillId="14" borderId="53" xfId="22" applyFont="true" applyBorder="true" applyAlignment="true" applyProtection="false">
      <alignment horizontal="general" vertical="center" textRotation="0" wrapText="true" indent="0" shrinkToFit="false"/>
      <protection locked="true" hidden="false"/>
    </xf>
    <xf numFmtId="164" fontId="55" fillId="0" borderId="53" xfId="0" applyFont="true" applyBorder="true" applyAlignment="true" applyProtection="false">
      <alignment horizontal="general" vertical="center" textRotation="0" wrapText="true" indent="0" shrinkToFit="false"/>
      <protection locked="true" hidden="false"/>
    </xf>
    <xf numFmtId="164" fontId="70" fillId="0" borderId="52" xfId="22" applyFont="true" applyBorder="true" applyAlignment="false" applyProtection="false">
      <alignment horizontal="general" vertical="bottom" textRotation="0" wrapText="false" indent="0" shrinkToFit="false"/>
      <protection locked="true" hidden="false"/>
    </xf>
    <xf numFmtId="179" fontId="55" fillId="14" borderId="28" xfId="0" applyFont="true" applyBorder="true" applyAlignment="false" applyProtection="false">
      <alignment horizontal="general" vertical="bottom" textRotation="0" wrapText="false" indent="0" shrinkToFit="false"/>
      <protection locked="true" hidden="false"/>
    </xf>
    <xf numFmtId="164" fontId="19" fillId="0" borderId="47" xfId="22" applyFont="true" applyBorder="true" applyAlignment="false" applyProtection="false">
      <alignment horizontal="general" vertical="bottom" textRotation="0" wrapText="false" indent="0" shrinkToFit="false"/>
      <protection locked="true" hidden="false"/>
    </xf>
    <xf numFmtId="164" fontId="55" fillId="14" borderId="47" xfId="22" applyFont="true" applyBorder="true" applyAlignment="true" applyProtection="false">
      <alignment horizontal="general" vertical="center" textRotation="0" wrapText="false" indent="0" shrinkToFit="false"/>
      <protection locked="true" hidden="false"/>
    </xf>
    <xf numFmtId="164" fontId="55" fillId="14" borderId="54" xfId="22" applyFont="true" applyBorder="true" applyAlignment="true" applyProtection="false">
      <alignment horizontal="general" vertical="center" textRotation="0" wrapText="false" indent="0" shrinkToFit="false"/>
      <protection locked="true" hidden="false"/>
    </xf>
    <xf numFmtId="164" fontId="55" fillId="0" borderId="54" xfId="0" applyFont="true" applyBorder="true" applyAlignment="true" applyProtection="false">
      <alignment horizontal="general" vertical="center" textRotation="0" wrapText="false" indent="0" shrinkToFit="false"/>
      <protection locked="true" hidden="false"/>
    </xf>
    <xf numFmtId="180" fontId="19" fillId="14" borderId="54" xfId="0" applyFont="true" applyBorder="true" applyAlignment="true" applyProtection="false">
      <alignment horizontal="center" vertical="center" textRotation="0" wrapText="false" indent="0" shrinkToFit="false"/>
      <protection locked="true" hidden="false"/>
    </xf>
    <xf numFmtId="164" fontId="19" fillId="14" borderId="47" xfId="0" applyFont="true" applyBorder="true" applyAlignment="true" applyProtection="false">
      <alignment horizontal="center" vertical="center" textRotation="0" wrapText="false" indent="0" shrinkToFit="false"/>
      <protection locked="true" hidden="false"/>
    </xf>
    <xf numFmtId="180" fontId="19" fillId="14" borderId="62" xfId="0" applyFont="true" applyBorder="true" applyAlignment="true" applyProtection="false">
      <alignment horizontal="center" vertical="center" textRotation="0" wrapText="false" indent="0" shrinkToFit="false"/>
      <protection locked="true" hidden="false"/>
    </xf>
    <xf numFmtId="164" fontId="71" fillId="0" borderId="47" xfId="0" applyFont="true" applyBorder="true" applyAlignment="true" applyProtection="false">
      <alignment horizontal="left" vertical="center" textRotation="0" wrapText="false" indent="0" shrinkToFit="false"/>
      <protection locked="true" hidden="false"/>
    </xf>
    <xf numFmtId="164" fontId="71" fillId="0" borderId="47" xfId="0" applyFont="true" applyBorder="true" applyAlignment="true" applyProtection="false">
      <alignment horizontal="general" vertical="center" textRotation="0" wrapText="true" indent="0" shrinkToFit="false"/>
      <protection locked="true" hidden="false"/>
    </xf>
    <xf numFmtId="164" fontId="71" fillId="0" borderId="47" xfId="0" applyFont="true" applyBorder="true" applyAlignment="true" applyProtection="false">
      <alignment horizontal="general" vertical="center" textRotation="0" wrapText="false" indent="0" shrinkToFit="false"/>
      <protection locked="true" hidden="false"/>
    </xf>
    <xf numFmtId="164" fontId="71" fillId="0" borderId="54" xfId="0" applyFont="true" applyBorder="true" applyAlignment="true" applyProtection="false">
      <alignment horizontal="general" vertical="center" textRotation="0" wrapText="false" indent="0" shrinkToFit="false"/>
      <protection locked="true" hidden="false"/>
    </xf>
    <xf numFmtId="164" fontId="55" fillId="0" borderId="47" xfId="0" applyFont="true" applyBorder="true" applyAlignment="true" applyProtection="false">
      <alignment horizontal="general" vertical="center" textRotation="0" wrapText="false" indent="0" shrinkToFit="false"/>
      <protection locked="true" hidden="false"/>
    </xf>
    <xf numFmtId="164" fontId="55" fillId="0" borderId="62" xfId="0" applyFont="true" applyBorder="true" applyAlignment="true" applyProtection="false">
      <alignment horizontal="general" vertical="center" textRotation="0" wrapText="false" indent="0" shrinkToFit="false"/>
      <protection locked="true" hidden="false"/>
    </xf>
    <xf numFmtId="165" fontId="19" fillId="14" borderId="62" xfId="19" applyFont="true" applyBorder="true" applyAlignment="true" applyProtection="true">
      <alignment horizontal="general" vertical="bottom" textRotation="0" wrapText="false" indent="0" shrinkToFit="false"/>
      <protection locked="true" hidden="false"/>
    </xf>
    <xf numFmtId="181" fontId="55" fillId="0" borderId="47" xfId="22" applyFont="true" applyBorder="true" applyAlignment="false" applyProtection="false">
      <alignment horizontal="general" vertical="bottom" textRotation="0" wrapText="false" indent="0" shrinkToFit="false"/>
      <protection locked="true" hidden="false"/>
    </xf>
    <xf numFmtId="182" fontId="55" fillId="0" borderId="47" xfId="22" applyFont="true" applyBorder="true" applyAlignment="false" applyProtection="false">
      <alignment horizontal="general" vertical="bottom" textRotation="0" wrapText="false" indent="0" shrinkToFit="false"/>
      <protection locked="true" hidden="false"/>
    </xf>
    <xf numFmtId="183" fontId="55" fillId="14" borderId="62" xfId="0" applyFont="true" applyBorder="true" applyAlignment="false" applyProtection="false">
      <alignment horizontal="general" vertical="bottom" textRotation="0" wrapText="false" indent="0" shrinkToFit="false"/>
      <protection locked="true" hidden="false"/>
    </xf>
    <xf numFmtId="179" fontId="55" fillId="5" borderId="63" xfId="0" applyFont="true" applyBorder="true" applyAlignment="false" applyProtection="false">
      <alignment horizontal="general" vertical="bottom" textRotation="0" wrapText="false" indent="0" shrinkToFit="false"/>
      <protection locked="true" hidden="false"/>
    </xf>
    <xf numFmtId="182" fontId="55" fillId="0" borderId="48" xfId="22" applyFont="true" applyBorder="true" applyAlignment="false" applyProtection="false">
      <alignment horizontal="general" vertical="bottom" textRotation="0" wrapText="false" indent="0" shrinkToFit="false"/>
      <protection locked="true" hidden="false"/>
    </xf>
    <xf numFmtId="183" fontId="55" fillId="14" borderId="48" xfId="0" applyFont="true" applyBorder="true" applyAlignment="false" applyProtection="false">
      <alignment horizontal="general" vertical="bottom" textRotation="0" wrapText="false" indent="0" shrinkToFit="false"/>
      <protection locked="true" hidden="false"/>
    </xf>
    <xf numFmtId="184" fontId="55" fillId="0" borderId="47" xfId="22" applyFont="true" applyBorder="true" applyAlignment="false" applyProtection="false">
      <alignment horizontal="general" vertical="bottom" textRotation="0" wrapText="false" indent="0" shrinkToFit="false"/>
      <protection locked="true" hidden="false"/>
    </xf>
    <xf numFmtId="183" fontId="55" fillId="14" borderId="47" xfId="0" applyFont="true" applyBorder="true" applyAlignment="false" applyProtection="false">
      <alignment horizontal="general" vertical="bottom" textRotation="0" wrapText="false" indent="0" shrinkToFit="false"/>
      <protection locked="true" hidden="false"/>
    </xf>
    <xf numFmtId="183" fontId="55" fillId="14" borderId="54" xfId="0" applyFont="true" applyBorder="true" applyAlignment="false" applyProtection="false">
      <alignment horizontal="general" vertical="bottom" textRotation="0" wrapText="false" indent="0" shrinkToFit="false"/>
      <protection locked="true" hidden="false"/>
    </xf>
    <xf numFmtId="165" fontId="55" fillId="14" borderId="54" xfId="19" applyFont="true" applyBorder="true" applyAlignment="true" applyProtection="true">
      <alignment horizontal="general" vertical="bottom" textRotation="0" wrapText="false" indent="0" shrinkToFit="false"/>
      <protection locked="true" hidden="false"/>
    </xf>
    <xf numFmtId="164" fontId="5" fillId="0" borderId="47" xfId="0" applyFont="true" applyBorder="true" applyAlignment="false" applyProtection="false">
      <alignment horizontal="general" vertical="bottom" textRotation="0" wrapText="false" indent="0" shrinkToFit="false"/>
      <protection locked="true" hidden="false"/>
    </xf>
    <xf numFmtId="179" fontId="64" fillId="0" borderId="0" xfId="0" applyFont="true" applyBorder="false" applyAlignment="false" applyProtection="false">
      <alignment horizontal="general" vertical="bottom" textRotation="0" wrapText="false" indent="0" shrinkToFit="false"/>
      <protection locked="true" hidden="false"/>
    </xf>
    <xf numFmtId="179" fontId="64" fillId="5" borderId="0" xfId="0" applyFont="true" applyBorder="false" applyAlignment="false" applyProtection="false">
      <alignment horizontal="general" vertical="bottom" textRotation="0" wrapText="false" indent="0" shrinkToFit="false"/>
      <protection locked="true" hidden="false"/>
    </xf>
    <xf numFmtId="185" fontId="5" fillId="0" borderId="0" xfId="0" applyFont="true" applyBorder="false" applyAlignment="false" applyProtection="false">
      <alignment horizontal="general" vertical="bottom" textRotation="0" wrapText="false" indent="0" shrinkToFit="false"/>
      <protection locked="true" hidden="false"/>
    </xf>
    <xf numFmtId="186" fontId="5" fillId="0" borderId="0" xfId="0" applyFont="true" applyBorder="false" applyAlignment="false" applyProtection="false">
      <alignment horizontal="general" vertical="bottom" textRotation="0" wrapText="false" indent="0" shrinkToFit="false"/>
      <protection locked="true" hidden="false"/>
    </xf>
    <xf numFmtId="184" fontId="5" fillId="0" borderId="0" xfId="0" applyFont="true" applyBorder="false" applyAlignment="false" applyProtection="false">
      <alignment horizontal="general" vertical="bottom" textRotation="0" wrapText="false" indent="0" shrinkToFit="false"/>
      <protection locked="true" hidden="false"/>
    </xf>
    <xf numFmtId="182" fontId="5" fillId="0" borderId="0" xfId="0" applyFont="true" applyBorder="false" applyAlignment="false" applyProtection="false">
      <alignment horizontal="general" vertical="bottom" textRotation="0" wrapText="false" indent="0" shrinkToFit="false"/>
      <protection locked="true" hidden="false"/>
    </xf>
    <xf numFmtId="179" fontId="5" fillId="0" borderId="0" xfId="0" applyFont="true" applyBorder="false" applyAlignment="false" applyProtection="false">
      <alignment horizontal="general" vertical="bottom" textRotation="0" wrapText="false" indent="0" shrinkToFit="false"/>
      <protection locked="true" hidden="false"/>
    </xf>
  </cellXfs>
  <cellStyles count="16">
    <cellStyle name="Normal" xfId="0" builtinId="0"/>
    <cellStyle name="Comma" xfId="15" builtinId="3"/>
    <cellStyle name="Comma [0]" xfId="16" builtinId="6"/>
    <cellStyle name="Currency" xfId="17" builtinId="4"/>
    <cellStyle name="Currency [0]" xfId="18" builtinId="7"/>
    <cellStyle name="Percent" xfId="19" builtinId="5"/>
    <cellStyle name="Hyperlink 1" xfId="21"/>
    <cellStyle name="Normal 10" xfId="22"/>
    <cellStyle name="Normal 2" xfId="23"/>
    <cellStyle name="Normal 2 2" xfId="24"/>
    <cellStyle name="Normal 2 2 2" xfId="25"/>
    <cellStyle name="Normal 2 3" xfId="26"/>
    <cellStyle name="Normal 4" xfId="27"/>
    <cellStyle name="Porcentaje 2" xfId="28"/>
    <cellStyle name="Excel Built-in Comma [0]" xfId="29"/>
    <cellStyle name="*unknown*" xfId="20" builtinId="8"/>
  </cellStyles>
  <dxfs count="91">
    <dxf>
      <fill>
        <patternFill patternType="solid">
          <fgColor rgb="FFFFC000"/>
        </patternFill>
      </fill>
    </dxf>
    <dxf>
      <fill>
        <patternFill patternType="solid">
          <fgColor rgb="FF000000"/>
          <bgColor rgb="FFFFFFFF"/>
        </patternFill>
      </fill>
    </dxf>
    <dxf>
      <fill>
        <patternFill patternType="solid">
          <fgColor rgb="FFFFFF00"/>
        </patternFill>
      </fill>
    </dxf>
    <dxf>
      <fill>
        <patternFill>
          <bgColor rgb="FF46B1E1"/>
        </patternFill>
      </fill>
    </dxf>
    <dxf>
      <fill>
        <patternFill>
          <bgColor rgb="FF61CBF4"/>
        </patternFill>
      </fill>
    </dxf>
    <dxf>
      <fill>
        <patternFill>
          <bgColor rgb="FF8ED973"/>
        </patternFill>
      </fill>
    </dxf>
    <dxf>
      <fill>
        <patternFill>
          <bgColor rgb="FFA6A6A6"/>
        </patternFill>
      </fill>
    </dxf>
    <dxf>
      <fill>
        <patternFill>
          <bgColor rgb="FF61CBF4"/>
        </patternFill>
      </fill>
    </dxf>
    <dxf>
      <fill>
        <patternFill>
          <bgColor rgb="FF8ED973"/>
        </patternFill>
      </fill>
    </dxf>
    <dxf>
      <fill>
        <patternFill>
          <bgColor rgb="FFA6A6A6"/>
        </patternFill>
      </fill>
    </dxf>
    <dxf>
      <fill>
        <patternFill>
          <bgColor rgb="FF46B1E1"/>
        </patternFill>
      </fill>
    </dxf>
    <dxf>
      <fill>
        <patternFill>
          <bgColor rgb="FF46B1E1"/>
        </patternFill>
      </fill>
    </dxf>
    <dxf>
      <fill>
        <patternFill>
          <bgColor rgb="FF8ED973"/>
        </patternFill>
      </fill>
    </dxf>
    <dxf>
      <fill>
        <patternFill>
          <bgColor rgb="FFA6A6A6"/>
        </patternFill>
      </fill>
    </dxf>
    <dxf>
      <fill>
        <patternFill>
          <bgColor rgb="FF61CBF4"/>
        </patternFill>
      </fill>
    </dxf>
    <dxf>
      <fill>
        <patternFill>
          <bgColor rgb="FF8ED973"/>
        </patternFill>
      </fill>
    </dxf>
    <dxf>
      <fill>
        <patternFill>
          <bgColor rgb="FFA6A6A6"/>
        </patternFill>
      </fill>
    </dxf>
    <dxf>
      <fill>
        <patternFill>
          <bgColor rgb="FFFFC000"/>
        </patternFill>
      </fill>
    </dxf>
    <dxf>
      <fill>
        <patternFill>
          <bgColor rgb="FF61CBF4"/>
        </patternFill>
      </fill>
    </dxf>
    <dxf>
      <fill>
        <patternFill>
          <bgColor rgb="FF8ED973"/>
        </patternFill>
      </fill>
    </dxf>
    <dxf>
      <fill>
        <patternFill>
          <bgColor rgb="FFA6A6A6"/>
        </patternFill>
      </fill>
    </dxf>
    <dxf>
      <fill>
        <patternFill>
          <bgColor rgb="FF61CBF4"/>
        </patternFill>
      </fill>
    </dxf>
    <dxf>
      <fill>
        <patternFill>
          <bgColor rgb="FF8ED973"/>
        </patternFill>
      </fill>
    </dxf>
    <dxf>
      <fill>
        <patternFill>
          <bgColor rgb="FFA6A6A6"/>
        </patternFill>
      </fill>
    </dxf>
    <dxf>
      <fill>
        <patternFill>
          <bgColor rgb="FF61CBF4"/>
        </patternFill>
      </fill>
    </dxf>
    <dxf>
      <fill>
        <patternFill>
          <bgColor rgb="FF8ED973"/>
        </patternFill>
      </fill>
    </dxf>
    <dxf>
      <fill>
        <patternFill>
          <bgColor rgb="FFA6A6A6"/>
        </patternFill>
      </fill>
    </dxf>
    <dxf>
      <fill>
        <patternFill>
          <bgColor rgb="FF46B1E1"/>
        </patternFill>
      </fill>
    </dxf>
    <dxf>
      <fill>
        <patternFill>
          <bgColor rgb="FF61CBF4"/>
        </patternFill>
      </fill>
    </dxf>
    <dxf>
      <fill>
        <patternFill>
          <bgColor rgb="FF8ED973"/>
        </patternFill>
      </fill>
    </dxf>
    <dxf>
      <fill>
        <patternFill>
          <bgColor rgb="FFA6A6A6"/>
        </patternFill>
      </fill>
    </dxf>
    <dxf>
      <fill>
        <patternFill>
          <bgColor rgb="FF46B1E1"/>
        </patternFill>
      </fill>
    </dxf>
    <dxf>
      <fill>
        <patternFill>
          <bgColor rgb="FF61CBF4"/>
        </patternFill>
      </fill>
    </dxf>
    <dxf>
      <fill>
        <patternFill>
          <bgColor rgb="FF8ED973"/>
        </patternFill>
      </fill>
    </dxf>
    <dxf>
      <fill>
        <patternFill>
          <bgColor rgb="FFA6A6A6"/>
        </patternFill>
      </fill>
    </dxf>
    <dxf>
      <fill>
        <patternFill>
          <bgColor rgb="FF46B1E1"/>
        </patternFill>
      </fill>
    </dxf>
    <dxf>
      <fill>
        <patternFill>
          <bgColor rgb="FF61CBF4"/>
        </patternFill>
      </fill>
    </dxf>
    <dxf>
      <fill>
        <patternFill>
          <bgColor rgb="FF8ED973"/>
        </patternFill>
      </fill>
    </dxf>
    <dxf>
      <fill>
        <patternFill>
          <bgColor rgb="FFA6A6A6"/>
        </patternFill>
      </fill>
    </dxf>
    <dxf>
      <fill>
        <patternFill>
          <bgColor rgb="FF46B1E1"/>
        </patternFill>
      </fill>
    </dxf>
    <dxf>
      <fill>
        <patternFill>
          <bgColor rgb="FF61CBF4"/>
        </patternFill>
      </fill>
    </dxf>
    <dxf>
      <fill>
        <patternFill>
          <bgColor rgb="FF8ED973"/>
        </patternFill>
      </fill>
    </dxf>
    <dxf>
      <fill>
        <patternFill>
          <bgColor rgb="FFA6A6A6"/>
        </patternFill>
      </fill>
    </dxf>
    <dxf>
      <fill>
        <patternFill>
          <bgColor rgb="FF46B1E1"/>
        </patternFill>
      </fill>
    </dxf>
    <dxf>
      <fill>
        <patternFill>
          <bgColor rgb="FF61CBF4"/>
        </patternFill>
      </fill>
    </dxf>
    <dxf>
      <fill>
        <patternFill>
          <bgColor rgb="FF8ED973"/>
        </patternFill>
      </fill>
    </dxf>
    <dxf>
      <fill>
        <patternFill>
          <bgColor rgb="FFA6A6A6"/>
        </patternFill>
      </fill>
    </dxf>
    <dxf>
      <fill>
        <patternFill patternType="solid">
          <fgColor rgb="00FFFFFF"/>
        </patternFill>
      </fill>
    </dxf>
    <dxf>
      <fill>
        <patternFill patternType="solid">
          <fgColor rgb="FFC6EFCE"/>
        </patternFill>
      </fill>
    </dxf>
    <dxf>
      <fill>
        <patternFill patternType="solid">
          <fgColor rgb="FFFFC7CE"/>
        </patternFill>
      </fill>
    </dxf>
    <dxf>
      <fill>
        <patternFill patternType="solid">
          <fgColor rgb="FF006100"/>
        </patternFill>
      </fill>
    </dxf>
    <dxf>
      <fill>
        <patternFill patternType="solid">
          <fgColor rgb="FF9C0006"/>
        </patternFill>
      </fill>
    </dxf>
    <dxf>
      <fill>
        <patternFill>
          <bgColor rgb="FF92D05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patternType="solid">
          <fgColor rgb="FF006EAF"/>
        </patternFill>
      </fill>
    </dxf>
    <dxf>
      <fill>
        <patternFill patternType="solid">
          <fgColor rgb="FFFFEB9C"/>
        </patternFill>
      </fill>
    </dxf>
    <dxf>
      <fill>
        <patternFill patternType="solid">
          <fgColor rgb="FF9C5700"/>
        </patternFill>
      </fill>
    </dxf>
    <dxf>
      <fill>
        <patternFill patternType="solid">
          <fgColor rgb="FFFF0000"/>
        </patternFill>
      </fill>
    </dxf>
    <dxf>
      <fill>
        <patternFill patternType="solid">
          <fgColor rgb="FFFFFFFF"/>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0000"/>
      </font>
      <fill>
        <patternFill>
          <bgColor rgb="FFE59EDD"/>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patternType="solid">
          <fgColor rgb="FFD9D9D9"/>
        </patternFill>
      </fill>
    </dxf>
    <dxf>
      <fill>
        <patternFill patternType="solid">
          <fgColor rgb="FF92D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FFFF"/>
        </patternFill>
      </fill>
    </dxf>
    <dxf>
      <font>
        <color rgb="FF9C5700"/>
      </font>
      <fill>
        <patternFill>
          <bgColor rgb="FFFFEB9C"/>
        </patternFill>
      </fill>
    </dxf>
    <dxf>
      <font>
        <color rgb="FF9C0006"/>
      </font>
      <fill>
        <patternFill>
          <bgColor rgb="FFFFC7CE"/>
        </patternFill>
      </fill>
    </dxf>
    <dxf>
      <fill>
        <patternFill>
          <bgColor rgb="FFFBE3D6"/>
        </patternFill>
      </fill>
    </dxf>
    <dxf>
      <fill>
        <patternFill>
          <bgColor rgb="FFFBE3D6"/>
        </patternFill>
      </fill>
    </dxf>
    <dxf>
      <font>
        <color rgb="FF9C0006"/>
      </font>
    </dxf>
    <dxf>
      <font>
        <color rgb="FF9C0006"/>
      </font>
      <fill>
        <patternFill>
          <bgColor rgb="FFFFC7CE"/>
        </patternFill>
      </fill>
    </dxf>
    <dxf>
      <fill>
        <patternFill>
          <bgColor rgb="FFFFFFFF"/>
        </patternFill>
      </fill>
    </dxf>
    <dxf>
      <font>
        <color rgb="FF9C5700"/>
      </font>
      <fill>
        <patternFill>
          <bgColor rgb="FFFFEB9C"/>
        </patternFill>
      </fill>
    </dxf>
    <dxf>
      <font>
        <color rgb="FF9C0006"/>
      </font>
      <fill>
        <patternFill>
          <bgColor rgb="FFFFC7CE"/>
        </patternFill>
      </fill>
    </dxf>
    <dxf>
      <fill>
        <patternFill>
          <bgColor rgb="FFFBE3D6"/>
        </patternFill>
      </fill>
    </dxf>
    <dxf>
      <fill>
        <patternFill>
          <bgColor rgb="FFFBE3D6"/>
        </patternFill>
      </fill>
    </dxf>
  </dxfs>
  <colors>
    <indexedColors>
      <rgbColor rgb="FF000000"/>
      <rgbColor rgb="FFFFFFFF"/>
      <rgbColor rgb="FFFF0000"/>
      <rgbColor rgb="FF00FF00"/>
      <rgbColor rgb="FF0000FF"/>
      <rgbColor rgb="FFFFFF00"/>
      <rgbColor rgb="FFFF00FF"/>
      <rgbColor rgb="FF00FFFF"/>
      <rgbColor rgb="FF9C0006"/>
      <rgbColor rgb="FF006100"/>
      <rgbColor rgb="FF161616"/>
      <rgbColor rgb="FF808000"/>
      <rgbColor rgb="FF800080"/>
      <rgbColor rgb="FF156082"/>
      <rgbColor rgb="FFBBBBBB"/>
      <rgbColor rgb="FF595959"/>
      <rgbColor rgb="FF61CBF4"/>
      <rgbColor rgb="FFA02B93"/>
      <rgbColor rgb="FFF5F5F5"/>
      <rgbColor rgb="FFFBE3D6"/>
      <rgbColor rgb="FF660066"/>
      <rgbColor rgb="FFFF8080"/>
      <rgbColor rgb="FF006EAF"/>
      <rgbColor rgb="FFD9D9D9"/>
      <rgbColor rgb="FF000080"/>
      <rgbColor rgb="FFFF00FF"/>
      <rgbColor rgb="FFFFFF00"/>
      <rgbColor rgb="FF00FFFF"/>
      <rgbColor rgb="FF800080"/>
      <rgbColor rgb="FF800000"/>
      <rgbColor rgb="FF196B24"/>
      <rgbColor rgb="FF0000FF"/>
      <rgbColor rgb="FF0F9ED5"/>
      <rgbColor rgb="FF8ED973"/>
      <rgbColor rgb="FFC6EFCE"/>
      <rgbColor rgb="FFFFEB9C"/>
      <rgbColor rgb="FF83CBEB"/>
      <rgbColor rgb="FFE59EDD"/>
      <rgbColor rgb="FFCC99FF"/>
      <rgbColor rgb="FFFFC7CE"/>
      <rgbColor rgb="FF3366FF"/>
      <rgbColor rgb="FF46B1E1"/>
      <rgbColor rgb="FF92D050"/>
      <rgbColor rgb="FFFFC000"/>
      <rgbColor rgb="FFFF9900"/>
      <rgbColor rgb="FFE97132"/>
      <rgbColor rgb="FF467886"/>
      <rgbColor rgb="FFA6A6A6"/>
      <rgbColor rgb="FF0D3A4E"/>
      <rgbColor rgb="FF4EA72E"/>
      <rgbColor rgb="FF12501A"/>
      <rgbColor rgb="FF242424"/>
      <rgbColor rgb="FF9C5700"/>
      <rgbColor rgb="FF993366"/>
      <rgbColor rgb="FF333399"/>
      <rgbColor rgb="FF404040"/>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 Id="rId10" Type="http://schemas.openxmlformats.org/officeDocument/2006/relationships/worksheet" Target="worksheets/sheet9.xml"/><Relationship Id="rId11" Type="http://schemas.openxmlformats.org/officeDocument/2006/relationships/worksheet" Target="worksheets/sheet10.xml"/><Relationship Id="rId12"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lang="en-US" sz="2000" spc="-1" strike="noStrike">
                <a:solidFill>
                  <a:srgbClr val="595959"/>
                </a:solidFill>
                <a:latin typeface="Aptos Narrow"/>
              </a:defRPr>
            </a:pPr>
            <a:r>
              <a:rPr b="0" lang="en-US" sz="2000" spc="-1" strike="noStrike">
                <a:solidFill>
                  <a:srgbClr val="595959"/>
                </a:solidFill>
                <a:latin typeface="Aptos Narrow"/>
              </a:rPr>
              <a:t>Cartas PRO</a:t>
            </a:r>
          </a:p>
        </c:rich>
      </c:tx>
      <c:layout>
        <c:manualLayout>
          <c:xMode val="edge"/>
          <c:yMode val="edge"/>
          <c:x val="0.426356271990835"/>
          <c:y val="0.0107984501048085"/>
        </c:manualLayout>
      </c:layout>
      <c:overlay val="0"/>
      <c:spPr>
        <a:noFill/>
        <a:ln w="0">
          <a:noFill/>
        </a:ln>
      </c:spPr>
    </c:title>
    <c:autoTitleDeleted val="0"/>
    <c:plotArea>
      <c:pieChart>
        <c:varyColors val="1"/>
        <c:ser>
          <c:idx val="0"/>
          <c:order val="0"/>
          <c:spPr>
            <a:solidFill>
              <a:srgbClr val="156082"/>
            </a:solidFill>
            <a:ln w="0">
              <a:noFill/>
            </a:ln>
          </c:spPr>
          <c:explosion val="0"/>
          <c:dPt>
            <c:idx val="0"/>
            <c:spPr>
              <a:solidFill>
                <a:srgbClr val="156082"/>
              </a:solidFill>
              <a:ln w="19080">
                <a:solidFill>
                  <a:srgbClr val="ffffff"/>
                </a:solidFill>
                <a:round/>
              </a:ln>
            </c:spPr>
          </c:dPt>
          <c:dPt>
            <c:idx val="1"/>
            <c:spPr>
              <a:solidFill>
                <a:srgbClr val="e97132"/>
              </a:solidFill>
              <a:ln w="19080">
                <a:solidFill>
                  <a:srgbClr val="ffffff"/>
                </a:solidFill>
                <a:round/>
              </a:ln>
            </c:spPr>
          </c:dPt>
          <c:dLbls>
            <c:dLbl>
              <c:idx val="0"/>
              <c:txPr>
                <a:bodyPr wrap="square"/>
                <a:lstStyle/>
                <a:p>
                  <a:pPr>
                    <a:defRPr b="0" sz="1600" spc="-1" strike="noStrike">
                      <a:solidFill>
                        <a:srgbClr val="404040"/>
                      </a:solidFill>
                      <a:latin typeface="Aptos Narrow"/>
                    </a:defRPr>
                  </a:pPr>
                </a:p>
              </c:txPr>
              <c:dLblPos val="outEnd"/>
              <c:showLegendKey val="0"/>
              <c:showVal val="0"/>
              <c:showCatName val="1"/>
              <c:showSerName val="0"/>
              <c:showPercent val="1"/>
              <c:separator>
</c:separator>
            </c:dLbl>
            <c:dLbl>
              <c:idx val="1"/>
              <c:txPr>
                <a:bodyPr wrap="square"/>
                <a:lstStyle/>
                <a:p>
                  <a:pPr>
                    <a:defRPr b="0" sz="1600" spc="-1" strike="noStrike">
                      <a:solidFill>
                        <a:srgbClr val="404040"/>
                      </a:solidFill>
                      <a:latin typeface="Aptos Narrow"/>
                    </a:defRPr>
                  </a:pPr>
                </a:p>
              </c:txPr>
              <c:dLblPos val="outEnd"/>
              <c:showLegendKey val="0"/>
              <c:showVal val="0"/>
              <c:showCatName val="1"/>
              <c:showSerName val="0"/>
              <c:showPercent val="1"/>
              <c:separator>
</c:separator>
            </c:dLbl>
            <c:txPr>
              <a:bodyPr wrap="square"/>
              <a:lstStyle/>
              <a:p>
                <a:pPr>
                  <a:defRPr b="0" sz="1600" spc="-1" strike="noStrike">
                    <a:solidFill>
                      <a:srgbClr val="404040"/>
                    </a:solidFill>
                    <a:latin typeface="Aptos Narrow"/>
                  </a:defRPr>
                </a:pPr>
              </a:p>
            </c:txPr>
            <c:dLblPos val="outEnd"/>
            <c:showLegendKey val="0"/>
            <c:showVal val="0"/>
            <c:showCatName val="1"/>
            <c:showSerName val="0"/>
            <c:showPercent val="1"/>
            <c:separator>
</c:separator>
            <c:showLeaderLines val="1"/>
          </c:dLbls>
          <c:cat>
            <c:strRef>
              <c:f>'Cartas PROPAMAT '!$L$5:$L$6</c:f>
              <c:strCache>
                <c:ptCount val="2"/>
                <c:pt idx="0">
                  <c:v>Cerrada</c:v>
                </c:pt>
                <c:pt idx="1">
                  <c:v>Pendiente</c:v>
                </c:pt>
              </c:strCache>
            </c:strRef>
          </c:cat>
          <c:val>
            <c:numRef>
              <c:f>'Cartas PROPAMAT '!$M$5:$M$6</c:f>
              <c:numCache>
                <c:formatCode>General</c:formatCode>
                <c:ptCount val="2"/>
                <c:pt idx="0">
                  <c:v>1</c:v>
                </c:pt>
                <c:pt idx="1">
                  <c:v>1</c:v>
                </c:pt>
              </c:numCache>
            </c:numRef>
          </c:val>
        </c:ser>
        <c:firstSliceAng val="0"/>
      </c:pieChart>
      <c:spPr>
        <a:noFill/>
        <a:ln w="0">
          <a:noFill/>
        </a:ln>
      </c:spPr>
    </c:plotArea>
    <c:legend>
      <c:legendPos val="b"/>
      <c:overlay val="0"/>
      <c:spPr>
        <a:noFill/>
        <a:ln w="0">
          <a:noFill/>
        </a:ln>
      </c:spPr>
      <c:txPr>
        <a:bodyPr/>
        <a:lstStyle/>
        <a:p>
          <a:pPr>
            <a:defRPr b="0" sz="1600" spc="-1" strike="noStrike">
              <a:solidFill>
                <a:srgbClr val="595959"/>
              </a:solidFill>
              <a:latin typeface="Aptos Narrow"/>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lang="es-CL" sz="2000" spc="-1" strike="noStrike">
                <a:solidFill>
                  <a:srgbClr val="595959"/>
                </a:solidFill>
                <a:latin typeface="Aptos Narrow"/>
              </a:defRPr>
            </a:pPr>
            <a:r>
              <a:rPr b="0" lang="es-CL" sz="2000" spc="-1" strike="noStrike">
                <a:solidFill>
                  <a:srgbClr val="595959"/>
                </a:solidFill>
                <a:latin typeface="Aptos Narrow"/>
              </a:rPr>
              <a:t>Cartas BUFFER</a:t>
            </a:r>
          </a:p>
        </c:rich>
      </c:tx>
      <c:overlay val="0"/>
      <c:spPr>
        <a:noFill/>
        <a:ln w="0">
          <a:noFill/>
        </a:ln>
      </c:spPr>
    </c:title>
    <c:autoTitleDeleted val="0"/>
    <c:plotArea>
      <c:pieChart>
        <c:varyColors val="1"/>
        <c:ser>
          <c:idx val="0"/>
          <c:order val="0"/>
          <c:spPr>
            <a:solidFill>
              <a:srgbClr val="156082"/>
            </a:solidFill>
            <a:ln w="0">
              <a:noFill/>
            </a:ln>
          </c:spPr>
          <c:explosion val="0"/>
          <c:dPt>
            <c:idx val="0"/>
            <c:spPr>
              <a:solidFill>
                <a:srgbClr val="156082"/>
              </a:solidFill>
              <a:ln w="19080">
                <a:solidFill>
                  <a:srgbClr val="ffffff"/>
                </a:solidFill>
                <a:round/>
              </a:ln>
            </c:spPr>
          </c:dPt>
          <c:dPt>
            <c:idx val="1"/>
            <c:spPr>
              <a:solidFill>
                <a:srgbClr val="e97132"/>
              </a:solidFill>
              <a:ln w="19080">
                <a:solidFill>
                  <a:srgbClr val="ffffff"/>
                </a:solidFill>
                <a:round/>
              </a:ln>
            </c:spPr>
          </c:dPt>
          <c:dLbls>
            <c:dLbl>
              <c:idx val="0"/>
              <c:txPr>
                <a:bodyPr wrap="square"/>
                <a:lstStyle/>
                <a:p>
                  <a:pPr>
                    <a:defRPr b="0" sz="1600" spc="-1" strike="noStrike">
                      <a:solidFill>
                        <a:srgbClr val="404040"/>
                      </a:solidFill>
                      <a:latin typeface="Aptos Narrow"/>
                    </a:defRPr>
                  </a:pPr>
                </a:p>
              </c:txPr>
              <c:dLblPos val="outEnd"/>
              <c:showLegendKey val="0"/>
              <c:showVal val="0"/>
              <c:showCatName val="1"/>
              <c:showSerName val="0"/>
              <c:showPercent val="1"/>
              <c:separator>
</c:separator>
            </c:dLbl>
            <c:dLbl>
              <c:idx val="1"/>
              <c:txPr>
                <a:bodyPr wrap="square"/>
                <a:lstStyle/>
                <a:p>
                  <a:pPr>
                    <a:defRPr b="0" sz="1600" spc="-1" strike="noStrike">
                      <a:solidFill>
                        <a:srgbClr val="404040"/>
                      </a:solidFill>
                      <a:latin typeface="Aptos Narrow"/>
                    </a:defRPr>
                  </a:pPr>
                </a:p>
              </c:txPr>
              <c:dLblPos val="outEnd"/>
              <c:showLegendKey val="0"/>
              <c:showVal val="0"/>
              <c:showCatName val="1"/>
              <c:showSerName val="0"/>
              <c:showPercent val="1"/>
              <c:separator>
</c:separator>
            </c:dLbl>
            <c:txPr>
              <a:bodyPr wrap="square"/>
              <a:lstStyle/>
              <a:p>
                <a:pPr>
                  <a:defRPr b="0" sz="1600" spc="-1" strike="noStrike">
                    <a:solidFill>
                      <a:srgbClr val="404040"/>
                    </a:solidFill>
                    <a:latin typeface="Aptos Narrow"/>
                  </a:defRPr>
                </a:pPr>
              </a:p>
            </c:txPr>
            <c:dLblPos val="outEnd"/>
            <c:showLegendKey val="0"/>
            <c:showVal val="0"/>
            <c:showCatName val="1"/>
            <c:showSerName val="0"/>
            <c:showPercent val="1"/>
            <c:separator>
</c:separator>
            <c:showLeaderLines val="1"/>
          </c:dLbls>
          <c:cat>
            <c:strRef>
              <c:f>'Cartas BUFFER '!$M$5:$M$6</c:f>
              <c:strCache>
                <c:ptCount val="2"/>
                <c:pt idx="0">
                  <c:v>Cerrada</c:v>
                </c:pt>
                <c:pt idx="1">
                  <c:v>Pendiente</c:v>
                </c:pt>
              </c:strCache>
            </c:strRef>
          </c:cat>
          <c:val>
            <c:numRef>
              <c:f>'Cartas BUFFER '!$N$5:$N$6</c:f>
              <c:numCache>
                <c:formatCode>General</c:formatCode>
                <c:ptCount val="2"/>
                <c:pt idx="0">
                  <c:v>0</c:v>
                </c:pt>
                <c:pt idx="1">
                  <c:v>1</c:v>
                </c:pt>
              </c:numCache>
            </c:numRef>
          </c:val>
        </c:ser>
        <c:firstSliceAng val="0"/>
      </c:pieChart>
      <c:spPr>
        <a:noFill/>
        <a:ln w="0">
          <a:noFill/>
        </a:ln>
      </c:spPr>
    </c:plotArea>
    <c:legend>
      <c:legendPos val="b"/>
      <c:layout>
        <c:manualLayout>
          <c:xMode val="edge"/>
          <c:yMode val="edge"/>
          <c:x val="0.408012626800028"/>
          <c:y val="0.942145999735645"/>
          <c:w val="0.183974746399943"/>
          <c:h val="0.0404679091372571"/>
        </c:manualLayout>
      </c:layout>
      <c:overlay val="0"/>
      <c:spPr>
        <a:noFill/>
        <a:ln w="0">
          <a:noFill/>
        </a:ln>
      </c:spPr>
      <c:txPr>
        <a:bodyPr/>
        <a:lstStyle/>
        <a:p>
          <a:pPr>
            <a:defRPr b="0" sz="1600" spc="-1" strike="noStrike">
              <a:solidFill>
                <a:srgbClr val="595959"/>
              </a:solidFill>
              <a:latin typeface="Aptos Narrow"/>
            </a:defRPr>
          </a:pPr>
        </a:p>
      </c:txPr>
    </c:legend>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lang="en-US" sz="1400" spc="-1" strike="noStrike">
                <a:solidFill>
                  <a:srgbClr val="595959"/>
                </a:solidFill>
                <a:latin typeface="Aptos Narrow"/>
              </a:defRPr>
            </a:pPr>
            <a:r>
              <a:rPr b="0" lang="en-US" sz="1400" spc="-1" strike="noStrike">
                <a:solidFill>
                  <a:srgbClr val="595959"/>
                </a:solidFill>
                <a:latin typeface="Aptos Narrow"/>
              </a:rPr>
              <a:t>No conformidad PRO por especialidad</a:t>
            </a:r>
          </a:p>
        </c:rich>
      </c:tx>
      <c:overlay val="0"/>
      <c:spPr>
        <a:noFill/>
        <a:ln w="0">
          <a:noFill/>
        </a:ln>
      </c:spPr>
    </c:title>
    <c:autoTitleDeleted val="0"/>
    <c:plotArea>
      <c:pieChart>
        <c:varyColors val="1"/>
        <c:ser>
          <c:idx val="0"/>
          <c:order val="0"/>
          <c:tx>
            <c:strRef>
              <c:f>'No Conformidad '!$P$9</c:f>
              <c:strCache>
                <c:ptCount val="1"/>
                <c:pt idx="0">
                  <c:v>Pendiente</c:v>
                </c:pt>
              </c:strCache>
            </c:strRef>
          </c:tx>
          <c:spPr>
            <a:solidFill>
              <a:srgbClr val="156082"/>
            </a:solidFill>
            <a:ln w="0">
              <a:noFill/>
            </a:ln>
          </c:spPr>
          <c:explosion val="0"/>
          <c:dPt>
            <c:idx val="0"/>
            <c:spPr>
              <a:solidFill>
                <a:srgbClr val="156082"/>
              </a:solidFill>
              <a:ln w="19080">
                <a:solidFill>
                  <a:srgbClr val="ffffff"/>
                </a:solidFill>
                <a:round/>
              </a:ln>
            </c:spPr>
          </c:dPt>
          <c:dPt>
            <c:idx val="1"/>
            <c:spPr>
              <a:solidFill>
                <a:srgbClr val="e97132"/>
              </a:solidFill>
              <a:ln w="19080">
                <a:solidFill>
                  <a:srgbClr val="ffffff"/>
                </a:solidFill>
                <a:round/>
              </a:ln>
            </c:spPr>
          </c:dPt>
          <c:dPt>
            <c:idx val="2"/>
            <c:spPr>
              <a:solidFill>
                <a:srgbClr val="196b24"/>
              </a:solidFill>
              <a:ln w="19080">
                <a:solidFill>
                  <a:srgbClr val="ffffff"/>
                </a:solidFill>
                <a:round/>
              </a:ln>
            </c:spPr>
          </c:dPt>
          <c:dPt>
            <c:idx val="3"/>
            <c:spPr>
              <a:solidFill>
                <a:srgbClr val="0f9ed5"/>
              </a:solidFill>
              <a:ln w="19080">
                <a:solidFill>
                  <a:srgbClr val="ffffff"/>
                </a:solidFill>
                <a:round/>
              </a:ln>
            </c:spPr>
          </c:dPt>
          <c:dPt>
            <c:idx val="4"/>
            <c:spPr>
              <a:solidFill>
                <a:srgbClr val="a02b93"/>
              </a:solidFill>
              <a:ln w="19080">
                <a:solidFill>
                  <a:srgbClr val="ffffff"/>
                </a:solidFill>
                <a:round/>
              </a:ln>
            </c:spPr>
          </c:dPt>
          <c:dPt>
            <c:idx val="5"/>
            <c:spPr>
              <a:solidFill>
                <a:srgbClr val="4ea72e"/>
              </a:solidFill>
              <a:ln w="19080">
                <a:solidFill>
                  <a:srgbClr val="ffffff"/>
                </a:solidFill>
                <a:round/>
              </a:ln>
            </c:spPr>
          </c:dPt>
          <c:dPt>
            <c:idx val="6"/>
            <c:spPr>
              <a:solidFill>
                <a:srgbClr val="0d3a4e"/>
              </a:solidFill>
              <a:ln w="19080">
                <a:solidFill>
                  <a:srgbClr val="ffffff"/>
                </a:solidFill>
                <a:round/>
              </a:ln>
            </c:spPr>
          </c:dPt>
          <c:dLbls>
            <c:numFmt formatCode="General" sourceLinked="1"/>
            <c:dLbl>
              <c:idx val="0"/>
              <c:numFmt formatCode="General" sourceLinked="1"/>
              <c:txPr>
                <a:bodyPr wrap="square"/>
                <a:lstStyle/>
                <a:p>
                  <a:pPr>
                    <a:defRPr b="0" sz="900" spc="-1" strike="noStrike">
                      <a:solidFill>
                        <a:srgbClr val="404040"/>
                      </a:solidFill>
                      <a:latin typeface="Aptos Narrow"/>
                    </a:defRPr>
                  </a:pPr>
                </a:p>
              </c:txPr>
              <c:dLblPos val="bestFit"/>
              <c:showLegendKey val="0"/>
              <c:showVal val="1"/>
              <c:showCatName val="0"/>
              <c:showSerName val="1"/>
              <c:showPercent val="1"/>
              <c:separator>; </c:separator>
            </c:dLbl>
            <c:dLbl>
              <c:idx val="1"/>
              <c:numFmt formatCode="General" sourceLinked="1"/>
              <c:txPr>
                <a:bodyPr wrap="square"/>
                <a:lstStyle/>
                <a:p>
                  <a:pPr>
                    <a:defRPr b="0" sz="900" spc="-1" strike="noStrike">
                      <a:solidFill>
                        <a:srgbClr val="404040"/>
                      </a:solidFill>
                      <a:latin typeface="Aptos Narrow"/>
                    </a:defRPr>
                  </a:pPr>
                </a:p>
              </c:txPr>
              <c:dLblPos val="bestFit"/>
              <c:showLegendKey val="0"/>
              <c:showVal val="1"/>
              <c:showCatName val="0"/>
              <c:showSerName val="1"/>
              <c:showPercent val="1"/>
              <c:separator>; </c:separator>
            </c:dLbl>
            <c:dLbl>
              <c:idx val="2"/>
              <c:numFmt formatCode="General" sourceLinked="1"/>
              <c:txPr>
                <a:bodyPr wrap="square"/>
                <a:lstStyle/>
                <a:p>
                  <a:pPr>
                    <a:defRPr b="0" sz="900" spc="-1" strike="noStrike">
                      <a:solidFill>
                        <a:srgbClr val="404040"/>
                      </a:solidFill>
                      <a:latin typeface="Aptos Narrow"/>
                    </a:defRPr>
                  </a:pPr>
                </a:p>
              </c:txPr>
              <c:dLblPos val="bestFit"/>
              <c:showLegendKey val="0"/>
              <c:showVal val="1"/>
              <c:showCatName val="0"/>
              <c:showSerName val="1"/>
              <c:showPercent val="1"/>
              <c:separator>; </c:separator>
            </c:dLbl>
            <c:dLbl>
              <c:idx val="3"/>
              <c:numFmt formatCode="General" sourceLinked="1"/>
              <c:txPr>
                <a:bodyPr wrap="square"/>
                <a:lstStyle/>
                <a:p>
                  <a:pPr>
                    <a:defRPr b="0" sz="900" spc="-1" strike="noStrike">
                      <a:solidFill>
                        <a:srgbClr val="404040"/>
                      </a:solidFill>
                      <a:latin typeface="Aptos Narrow"/>
                    </a:defRPr>
                  </a:pPr>
                </a:p>
              </c:txPr>
              <c:dLblPos val="bestFit"/>
              <c:showLegendKey val="0"/>
              <c:showVal val="1"/>
              <c:showCatName val="0"/>
              <c:showSerName val="1"/>
              <c:showPercent val="1"/>
              <c:separator>; </c:separator>
            </c:dLbl>
            <c:dLbl>
              <c:idx val="4"/>
              <c:numFmt formatCode="General" sourceLinked="1"/>
              <c:txPr>
                <a:bodyPr wrap="square"/>
                <a:lstStyle/>
                <a:p>
                  <a:pPr>
                    <a:defRPr b="0" sz="900" spc="-1" strike="noStrike">
                      <a:solidFill>
                        <a:srgbClr val="404040"/>
                      </a:solidFill>
                      <a:latin typeface="Aptos Narrow"/>
                    </a:defRPr>
                  </a:pPr>
                </a:p>
              </c:txPr>
              <c:dLblPos val="bestFit"/>
              <c:showLegendKey val="0"/>
              <c:showVal val="1"/>
              <c:showCatName val="0"/>
              <c:showSerName val="1"/>
              <c:showPercent val="1"/>
              <c:separator>; </c:separator>
            </c:dLbl>
            <c:dLbl>
              <c:idx val="5"/>
              <c:numFmt formatCode="General" sourceLinked="1"/>
              <c:txPr>
                <a:bodyPr wrap="square"/>
                <a:lstStyle/>
                <a:p>
                  <a:pPr>
                    <a:defRPr b="0" sz="900" spc="-1" strike="noStrike">
                      <a:solidFill>
                        <a:srgbClr val="404040"/>
                      </a:solidFill>
                      <a:latin typeface="Aptos Narrow"/>
                    </a:defRPr>
                  </a:pPr>
                </a:p>
              </c:txPr>
              <c:dLblPos val="bestFit"/>
              <c:showLegendKey val="0"/>
              <c:showVal val="1"/>
              <c:showCatName val="0"/>
              <c:showSerName val="1"/>
              <c:showPercent val="1"/>
              <c:separator>; </c:separator>
            </c:dLbl>
            <c:dLbl>
              <c:idx val="6"/>
              <c:numFmt formatCode="General" sourceLinked="1"/>
              <c:txPr>
                <a:bodyPr wrap="square"/>
                <a:lstStyle/>
                <a:p>
                  <a:pPr>
                    <a:defRPr b="0" sz="900" spc="-1" strike="noStrike">
                      <a:solidFill>
                        <a:srgbClr val="404040"/>
                      </a:solidFill>
                      <a:latin typeface="Aptos Narrow"/>
                    </a:defRPr>
                  </a:pPr>
                </a:p>
              </c:txPr>
              <c:dLblPos val="bestFit"/>
              <c:showLegendKey val="0"/>
              <c:showVal val="1"/>
              <c:showCatName val="0"/>
              <c:showSerName val="1"/>
              <c:showPercent val="1"/>
              <c:separator>; </c:separator>
            </c:dLbl>
            <c:txPr>
              <a:bodyPr wrap="square"/>
              <a:lstStyle/>
              <a:p>
                <a:pPr>
                  <a:defRPr b="0" sz="900" spc="-1" strike="noStrike">
                    <a:solidFill>
                      <a:srgbClr val="404040"/>
                    </a:solidFill>
                    <a:latin typeface="Aptos Narrow"/>
                  </a:defRPr>
                </a:pPr>
              </a:p>
            </c:txPr>
            <c:dLblPos val="bestFit"/>
            <c:showLegendKey val="0"/>
            <c:showVal val="1"/>
            <c:showCatName val="0"/>
            <c:showSerName val="1"/>
            <c:showPercent val="1"/>
            <c:separator>; </c:separator>
            <c:showLeaderLines val="1"/>
          </c:dLbls>
          <c:cat>
            <c:strRef>
              <c:f>'No Conformidad '!$O$10:$O$16</c:f>
              <c:strCache>
                <c:ptCount val="7"/>
                <c:pt idx="0">
                  <c:v>Obras civiles </c:v>
                </c:pt>
                <c:pt idx="1">
                  <c:v>Instalaciones mecánicas</c:v>
                </c:pt>
                <c:pt idx="2">
                  <c:v>EHS </c:v>
                </c:pt>
                <c:pt idx="3">
                  <c:v>PCI </c:v>
                </c:pt>
                <c:pt idx="4">
                  <c:v>SYAD</c:v>
                </c:pt>
                <c:pt idx="5">
                  <c:v>Electricidad</c:v>
                </c:pt>
                <c:pt idx="6">
                  <c:v>General </c:v>
                </c:pt>
              </c:strCache>
            </c:strRef>
          </c:cat>
          <c:val>
            <c:numRef>
              <c:f>'No Conformidad '!$P$10:$P$16</c:f>
              <c:numCache>
                <c:formatCode>General</c:formatCode>
                <c:ptCount val="7"/>
                <c:pt idx="0">
                  <c:v>3</c:v>
                </c:pt>
                <c:pt idx="1">
                  <c:v>0</c:v>
                </c:pt>
                <c:pt idx="2">
                  <c:v>0</c:v>
                </c:pt>
                <c:pt idx="3">
                  <c:v>0</c:v>
                </c:pt>
                <c:pt idx="4">
                  <c:v>0</c:v>
                </c:pt>
                <c:pt idx="5">
                  <c:v>0</c:v>
                </c:pt>
                <c:pt idx="6">
                  <c:v>0</c:v>
                </c:pt>
              </c:numCache>
            </c:numRef>
          </c:val>
        </c:ser>
        <c:firstSliceAng val="0"/>
      </c:pieChart>
      <c:spPr>
        <a:noFill/>
        <a:ln w="0">
          <a:noFill/>
        </a:ln>
      </c:spPr>
    </c:plotArea>
    <c:legend>
      <c:legendPos val="b"/>
      <c:overlay val="0"/>
      <c:spPr>
        <a:noFill/>
        <a:ln w="0">
          <a:noFill/>
        </a:ln>
      </c:spPr>
      <c:txPr>
        <a:bodyPr/>
        <a:lstStyle/>
        <a:p>
          <a:pPr>
            <a:defRPr b="0" sz="900" spc="-1" strike="noStrike">
              <a:solidFill>
                <a:srgbClr val="595959"/>
              </a:solidFill>
              <a:latin typeface="Aptos Narrow"/>
            </a:defRPr>
          </a:pPr>
        </a:p>
      </c:txPr>
    </c:legend>
    <c:plotVisOnly val="1"/>
    <c:dispBlanksAs val="gap"/>
  </c:chart>
  <c:spPr>
    <a:solidFill>
      <a:srgbClr val="ffffff"/>
    </a:solidFill>
    <a:ln w="9360">
      <a:solidFill>
        <a:srgbClr val="d9d9d9"/>
      </a:solidFill>
      <a:round/>
    </a:ln>
  </c:spPr>
</c:chartSpace>
</file>

<file path=xl/drawings/_rels/drawing2.xml.rels><?xml version="1.0" encoding="UTF-8"?>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png"/>
</Relationships>
</file>

<file path=xl/drawings/_rels/drawing3.xml.rels><?xml version="1.0" encoding="UTF-8"?>
<Relationships xmlns="http://schemas.openxmlformats.org/package/2006/relationships"><Relationship Id="rId1" Type="http://schemas.openxmlformats.org/officeDocument/2006/relationships/chart" Target="../charts/chart1.xml"/>
</Relationships>
</file>

<file path=xl/drawings/_rels/drawing4.xml.rels><?xml version="1.0" encoding="UTF-8"?>
<Relationships xmlns="http://schemas.openxmlformats.org/package/2006/relationships"><Relationship Id="rId1" Type="http://schemas.openxmlformats.org/officeDocument/2006/relationships/chart" Target="../charts/chart2.xml"/>
</Relationships>
</file>

<file path=xl/drawings/_rels/drawing5.xml.rels><?xml version="1.0" encoding="UTF-8"?>
<Relationships xmlns="http://schemas.openxmlformats.org/package/2006/relationships"><Relationship Id="rId1" Type="http://schemas.openxmlformats.org/officeDocument/2006/relationships/chart" Target="../charts/chart3.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8</xdr:col>
      <xdr:colOff>240120</xdr:colOff>
      <xdr:row>4</xdr:row>
      <xdr:rowOff>11160</xdr:rowOff>
    </xdr:from>
    <xdr:to>
      <xdr:col>11</xdr:col>
      <xdr:colOff>209880</xdr:colOff>
      <xdr:row>6</xdr:row>
      <xdr:rowOff>190080</xdr:rowOff>
    </xdr:to>
    <xdr:pic>
      <xdr:nvPicPr>
        <xdr:cNvPr id="0" name="Imagen 3" descr=""/>
        <xdr:cNvPicPr/>
      </xdr:nvPicPr>
      <xdr:blipFill>
        <a:blip r:embed="rId1"/>
        <a:stretch/>
      </xdr:blipFill>
      <xdr:spPr>
        <a:xfrm>
          <a:off x="15499080" y="849240"/>
          <a:ext cx="2781720" cy="712440"/>
        </a:xfrm>
        <a:prstGeom prst="rect">
          <a:avLst/>
        </a:prstGeom>
        <a:ln w="0">
          <a:noFill/>
        </a:ln>
      </xdr:spPr>
    </xdr:pic>
    <xdr:clientData/>
  </xdr:twoCellAnchor>
  <xdr:twoCellAnchor editAs="oneCell">
    <xdr:from>
      <xdr:col>11</xdr:col>
      <xdr:colOff>509040</xdr:colOff>
      <xdr:row>3</xdr:row>
      <xdr:rowOff>174960</xdr:rowOff>
    </xdr:from>
    <xdr:to>
      <xdr:col>13</xdr:col>
      <xdr:colOff>369720</xdr:colOff>
      <xdr:row>6</xdr:row>
      <xdr:rowOff>266400</xdr:rowOff>
    </xdr:to>
    <xdr:pic>
      <xdr:nvPicPr>
        <xdr:cNvPr id="1" name="Imagen 2" descr=""/>
        <xdr:cNvPicPr/>
      </xdr:nvPicPr>
      <xdr:blipFill>
        <a:blip r:embed="rId2"/>
        <a:stretch/>
      </xdr:blipFill>
      <xdr:spPr>
        <a:xfrm>
          <a:off x="18579960" y="746640"/>
          <a:ext cx="1540800" cy="891360"/>
        </a:xfrm>
        <a:prstGeom prst="rect">
          <a:avLst/>
        </a:prstGeom>
        <a:ln w="0">
          <a:noFill/>
        </a:ln>
      </xdr:spPr>
    </xdr:pic>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10</xdr:col>
      <xdr:colOff>466560</xdr:colOff>
      <xdr:row>6</xdr:row>
      <xdr:rowOff>438120</xdr:rowOff>
    </xdr:from>
    <xdr:to>
      <xdr:col>16</xdr:col>
      <xdr:colOff>704160</xdr:colOff>
      <xdr:row>18</xdr:row>
      <xdr:rowOff>390240</xdr:rowOff>
    </xdr:to>
    <xdr:graphicFrame>
      <xdr:nvGraphicFramePr>
        <xdr:cNvPr id="2" name="Gráfico 2"/>
        <xdr:cNvGraphicFramePr/>
      </xdr:nvGraphicFramePr>
      <xdr:xfrm>
        <a:off x="24195240" y="2828880"/>
        <a:ext cx="8798760" cy="566712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oneCell">
    <xdr:from>
      <xdr:col>12</xdr:col>
      <xdr:colOff>9360</xdr:colOff>
      <xdr:row>7</xdr:row>
      <xdr:rowOff>9360</xdr:rowOff>
    </xdr:from>
    <xdr:to>
      <xdr:col>17</xdr:col>
      <xdr:colOff>418680</xdr:colOff>
      <xdr:row>16</xdr:row>
      <xdr:rowOff>504360</xdr:rowOff>
    </xdr:to>
    <xdr:graphicFrame>
      <xdr:nvGraphicFramePr>
        <xdr:cNvPr id="3" name="Gráfico 3"/>
        <xdr:cNvGraphicFramePr/>
      </xdr:nvGraphicFramePr>
      <xdr:xfrm>
        <a:off x="24538320" y="3324240"/>
        <a:ext cx="7998840" cy="52956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xdr:twoCellAnchor editAs="oneCell">
    <xdr:from>
      <xdr:col>13</xdr:col>
      <xdr:colOff>682560</xdr:colOff>
      <xdr:row>16</xdr:row>
      <xdr:rowOff>952560</xdr:rowOff>
    </xdr:from>
    <xdr:to>
      <xdr:col>20</xdr:col>
      <xdr:colOff>108360</xdr:colOff>
      <xdr:row>22</xdr:row>
      <xdr:rowOff>475920</xdr:rowOff>
    </xdr:to>
    <xdr:graphicFrame>
      <xdr:nvGraphicFramePr>
        <xdr:cNvPr id="4" name="Gráfico 1"/>
        <xdr:cNvGraphicFramePr/>
      </xdr:nvGraphicFramePr>
      <xdr:xfrm>
        <a:off x="27360360" y="15230520"/>
        <a:ext cx="6649560" cy="553356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mlns:r="http://schemas.openxmlformats.org/officeDocument/2006/relationships"/>
</file>

<file path=xl/tables/table1.xml><?xml version="1.0" encoding="utf-8"?>
<table xmlns="http://schemas.openxmlformats.org/spreadsheetml/2006/main" id="1" name="Planos" displayName="Planos" ref="B3:J473" headerRowCount="1" totalsRowCount="0" totalsRowShown="0">
  <autoFilter ref="B3:J473"/>
  <tableColumns count="9">
    <tableColumn id="1" name="ITEM"/>
    <tableColumn id="2" name="PLANIMETRÍA "/>
    <tableColumn id="3" name="DISCIPLINA"/>
    <tableColumn id="4" name="SECTOR"/>
    <tableColumn id="5" name="DESCRIPCIÓN"/>
    <tableColumn id="6" name="TRANSMITTAL"/>
    <tableColumn id="7" name="Fecha"/>
    <tableColumn id="8" name="Aprueba Odata"/>
    <tableColumn id="9" name="Comentarios"/>
  </tableColumns>
</table>
</file>

<file path=xl/tables/table2.xml><?xml version="1.0" encoding="utf-8"?>
<table xmlns="http://schemas.openxmlformats.org/spreadsheetml/2006/main" id="2" name="Tabla42" displayName="Tabla42" ref="B9:J267" headerRowCount="1" totalsRowCount="0" totalsRowShown="0">
  <autoFilter ref="B9:J267">
    <filterColumn colId="7">
      <filters>
        <filter val="Pendiente"/>
      </filters>
    </filterColumn>
  </autoFilter>
  <tableColumns count="9">
    <tableColumn id="1" name="N° RDI"/>
    <tableColumn id="2" name="Empresa"/>
    <tableColumn id="3" name="Especialidad"/>
    <tableColumn id="4" name="Descripción"/>
    <tableColumn id="5" name="Fecha de Envio"/>
    <tableColumn id="6" name="Fecha de Respuesta"/>
    <tableColumn id="7" name="Tiempo de Respuesta"/>
    <tableColumn id="8" name="Estado"/>
    <tableColumn id="9" name="Respuesta BUFFER-ODATA"/>
  </tableColumns>
</table>
</file>

<file path=xl/tables/table3.xml><?xml version="1.0" encoding="utf-8"?>
<table xmlns="http://schemas.openxmlformats.org/spreadsheetml/2006/main" id="3" name="Tabla8" displayName="Tabla8" ref="B11:M2394" headerRowCount="1" totalsRowCount="0" totalsRowShown="0">
  <autoFilter ref="B11:M2394"/>
  <tableColumns count="12">
    <tableColumn id="1" name="Correlativo "/>
    <tableColumn id="2" name="N° de informe &#10;semanal "/>
    <tableColumn id="3" name="Especialidad "/>
    <tableColumn id="4" name="Estado"/>
    <tableColumn id="5" name="N° TRANSMITTAL"/>
    <tableColumn id="6" name="Título"/>
    <tableColumn id="7" name="Archivo"/>
    <tableColumn id="8" name="Empresa remitente"/>
    <tableColumn id="9" name="Creado el"/>
    <tableColumn id="10" name="Ruta"/>
    <tableColumn id="11" name="Mensaje"/>
    <tableColumn id="12" name="Columna1"/>
  </tableColumns>
</tabl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table" Target="../tables/table1.xml"/>
</Relationships>
</file>

<file path=xl/worksheets/_rels/sheet5.xml.rels><?xml version="1.0" encoding="UTF-8"?>
<Relationships xmlns="http://schemas.openxmlformats.org/package/2006/relationships"><Relationship Id="rId1" Type="http://schemas.openxmlformats.org/officeDocument/2006/relationships/table" Target="../tables/table2.xml"/>
</Relationships>
</file>

<file path=xl/worksheets/_rels/sheet6.xml.rels><?xml version="1.0" encoding="UTF-8"?>
<Relationships xmlns="http://schemas.openxmlformats.org/package/2006/relationships"><Relationship Id="rId1" Type="http://schemas.openxmlformats.org/officeDocument/2006/relationships/hyperlink" Target="https://acc.autodesk.com/docs/transmittals/projects/05bdea04-a9de-47b3-92e8-87e60fa82f12?transmittalId=21db57a0-3cd4-4729-aa8e-f1b8912cd791" TargetMode="External"/><Relationship Id="rId2" Type="http://schemas.openxmlformats.org/officeDocument/2006/relationships/table" Target="../tables/table3.xml"/>
</Relationships>
</file>

<file path=xl/worksheets/_rels/sheet7.xml.rels><?xml version="1.0" encoding="UTF-8"?>
<Relationships xmlns="http://schemas.openxmlformats.org/package/2006/relationships"><Relationship Id="rId1" Type="http://schemas.openxmlformats.org/officeDocument/2006/relationships/drawing" Target="../drawings/drawing3.xml"/>
</Relationships>
</file>

<file path=xl/worksheets/_rels/sheet8.xml.rels><?xml version="1.0" encoding="UTF-8"?>
<Relationships xmlns="http://schemas.openxmlformats.org/package/2006/relationships"><Relationship Id="rId1" Type="http://schemas.openxmlformats.org/officeDocument/2006/relationships/drawing" Target="../drawings/drawing4.xml"/>
</Relationships>
</file>

<file path=xl/worksheets/_rels/sheet9.xml.rels><?xml version="1.0" encoding="UTF-8"?>
<Relationships xmlns="http://schemas.openxmlformats.org/package/2006/relationships"><Relationship Id="rId1" Type="http://schemas.openxmlformats.org/officeDocument/2006/relationships/drawing" Target="../drawings/drawing5.xml"/>
</Relationships>
</file>

<file path=xl/worksheets/_rels/sheet10.xml.rels><?xml version="1.0" encoding="UTF-8"?>
<Relationships xmlns="http://schemas.openxmlformats.org/package/2006/relationships"><Relationship Id="rId1" Type="http://schemas.openxmlformats.org/officeDocument/2006/relationships/comments" Target="../comments10.xml"/><Relationship Id="rId2" Type="http://schemas.openxmlformats.org/officeDocument/2006/relationships/drawing" Target="../drawings/drawing6.xml"/><Relationship Id="rId3"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F5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B10" activeCellId="0" sqref="B10"/>
    </sheetView>
  </sheetViews>
  <sheetFormatPr defaultColWidth="11.4296875" defaultRowHeight="15" zeroHeight="false" outlineLevelRow="0" outlineLevelCol="0"/>
  <cols>
    <col collapsed="false" customWidth="true" hidden="false" outlineLevel="0" max="2" min="2" style="0" width="30.71"/>
    <col collapsed="false" customWidth="true" hidden="false" outlineLevel="0" max="3" min="3" style="0" width="82"/>
    <col collapsed="false" customWidth="true" hidden="false" outlineLevel="0" max="4" min="4" style="0" width="20.86"/>
    <col collapsed="false" customWidth="true" hidden="false" outlineLevel="0" max="5" min="5" style="0" width="13.14"/>
    <col collapsed="false" customWidth="true" hidden="false" outlineLevel="0" max="6" min="6" style="0" width="71.28"/>
  </cols>
  <sheetData>
    <row r="2" customFormat="false" ht="28.5" hidden="false" customHeight="true" outlineLevel="0" collapsed="false">
      <c r="B2" s="1" t="s">
        <v>0</v>
      </c>
      <c r="C2" s="2" t="s">
        <v>1</v>
      </c>
      <c r="D2" s="2" t="s">
        <v>2</v>
      </c>
      <c r="E2" s="2" t="s">
        <v>3</v>
      </c>
      <c r="F2" s="2" t="s">
        <v>4</v>
      </c>
    </row>
    <row r="3" customFormat="false" ht="29.25" hidden="false" customHeight="true" outlineLevel="0" collapsed="false">
      <c r="B3" s="3" t="s">
        <v>5</v>
      </c>
      <c r="C3" s="4" t="s">
        <v>6</v>
      </c>
      <c r="D3" s="5" t="n">
        <v>45966</v>
      </c>
      <c r="E3" s="4" t="s">
        <v>7</v>
      </c>
      <c r="F3" s="6"/>
    </row>
    <row r="4" customFormat="false" ht="29.25" hidden="false" customHeight="true" outlineLevel="0" collapsed="false">
      <c r="B4" s="3" t="s">
        <v>5</v>
      </c>
      <c r="C4" s="7" t="s">
        <v>8</v>
      </c>
      <c r="D4" s="8" t="n">
        <v>45589</v>
      </c>
      <c r="E4" s="7"/>
      <c r="F4" s="9"/>
    </row>
    <row r="5" customFormat="false" ht="29.25" hidden="false" customHeight="true" outlineLevel="0" collapsed="false">
      <c r="B5" s="10"/>
      <c r="C5" s="7"/>
      <c r="D5" s="7"/>
      <c r="E5" s="7"/>
      <c r="F5" s="9"/>
    </row>
    <row r="6" customFormat="false" ht="29.25" hidden="false" customHeight="true" outlineLevel="0" collapsed="false">
      <c r="B6" s="10"/>
      <c r="C6" s="7"/>
      <c r="D6" s="7"/>
      <c r="E6" s="7"/>
      <c r="F6" s="9"/>
    </row>
    <row r="7" customFormat="false" ht="29.25" hidden="false" customHeight="true" outlineLevel="0" collapsed="false">
      <c r="B7" s="10"/>
      <c r="C7" s="7"/>
      <c r="D7" s="7"/>
      <c r="E7" s="7"/>
      <c r="F7" s="9"/>
    </row>
    <row r="8" customFormat="false" ht="29.25" hidden="false" customHeight="true" outlineLevel="0" collapsed="false">
      <c r="B8" s="10"/>
      <c r="C8" s="7"/>
      <c r="D8" s="7"/>
      <c r="E8" s="7"/>
      <c r="F8" s="9"/>
    </row>
    <row r="9" customFormat="false" ht="29.25" hidden="false" customHeight="true" outlineLevel="0" collapsed="false">
      <c r="B9" s="10"/>
      <c r="C9" s="7"/>
      <c r="D9" s="7"/>
      <c r="E9" s="7"/>
      <c r="F9" s="9"/>
    </row>
    <row r="10" customFormat="false" ht="29.25" hidden="false" customHeight="true" outlineLevel="0" collapsed="false">
      <c r="B10" s="10"/>
      <c r="C10" s="7"/>
      <c r="D10" s="7"/>
      <c r="E10" s="7"/>
      <c r="F10" s="9"/>
    </row>
    <row r="11" customFormat="false" ht="29.25" hidden="false" customHeight="true" outlineLevel="0" collapsed="false">
      <c r="B11" s="10"/>
      <c r="C11" s="7"/>
      <c r="D11" s="7"/>
      <c r="E11" s="7"/>
      <c r="F11" s="9"/>
    </row>
    <row r="12" customFormat="false" ht="29.25" hidden="false" customHeight="true" outlineLevel="0" collapsed="false">
      <c r="B12" s="10"/>
      <c r="C12" s="7"/>
      <c r="D12" s="7"/>
      <c r="E12" s="7"/>
      <c r="F12" s="9"/>
    </row>
    <row r="13" customFormat="false" ht="29.25" hidden="false" customHeight="true" outlineLevel="0" collapsed="false">
      <c r="B13" s="10"/>
      <c r="C13" s="7"/>
      <c r="D13" s="7"/>
      <c r="E13" s="7"/>
      <c r="F13" s="9"/>
    </row>
    <row r="14" customFormat="false" ht="29.25" hidden="false" customHeight="true" outlineLevel="0" collapsed="false">
      <c r="B14" s="10"/>
      <c r="C14" s="7"/>
      <c r="D14" s="7"/>
      <c r="E14" s="7"/>
      <c r="F14" s="9"/>
    </row>
    <row r="15" customFormat="false" ht="29.25" hidden="false" customHeight="true" outlineLevel="0" collapsed="false">
      <c r="B15" s="10"/>
      <c r="C15" s="7"/>
      <c r="D15" s="7"/>
      <c r="E15" s="7"/>
      <c r="F15" s="9"/>
    </row>
    <row r="16" customFormat="false" ht="29.25" hidden="false" customHeight="true" outlineLevel="0" collapsed="false">
      <c r="B16" s="10"/>
      <c r="C16" s="7"/>
      <c r="D16" s="7"/>
      <c r="E16" s="7"/>
      <c r="F16" s="9"/>
    </row>
    <row r="17" customFormat="false" ht="29.25" hidden="false" customHeight="true" outlineLevel="0" collapsed="false">
      <c r="B17" s="10"/>
      <c r="C17" s="7"/>
      <c r="D17" s="7"/>
      <c r="E17" s="7"/>
      <c r="F17" s="9"/>
    </row>
    <row r="18" customFormat="false" ht="29.25" hidden="false" customHeight="true" outlineLevel="0" collapsed="false">
      <c r="B18" s="10"/>
      <c r="C18" s="7"/>
      <c r="D18" s="7"/>
      <c r="E18" s="7"/>
      <c r="F18" s="9"/>
    </row>
    <row r="19" customFormat="false" ht="29.25" hidden="false" customHeight="true" outlineLevel="0" collapsed="false">
      <c r="B19" s="10"/>
      <c r="C19" s="7"/>
      <c r="D19" s="7"/>
      <c r="E19" s="7"/>
      <c r="F19" s="9"/>
    </row>
    <row r="20" customFormat="false" ht="29.25" hidden="false" customHeight="true" outlineLevel="0" collapsed="false">
      <c r="B20" s="10"/>
      <c r="C20" s="7"/>
      <c r="D20" s="7"/>
      <c r="E20" s="7"/>
      <c r="F20" s="9"/>
    </row>
    <row r="21" customFormat="false" ht="29.25" hidden="false" customHeight="true" outlineLevel="0" collapsed="false">
      <c r="B21" s="10"/>
      <c r="C21" s="7"/>
      <c r="D21" s="7"/>
      <c r="E21" s="7"/>
      <c r="F21" s="9"/>
    </row>
    <row r="22" customFormat="false" ht="29.25" hidden="false" customHeight="true" outlineLevel="0" collapsed="false">
      <c r="B22" s="10"/>
      <c r="C22" s="7"/>
      <c r="D22" s="7"/>
      <c r="E22" s="7"/>
      <c r="F22" s="9"/>
    </row>
    <row r="23" customFormat="false" ht="29.25" hidden="false" customHeight="true" outlineLevel="0" collapsed="false">
      <c r="B23" s="10"/>
      <c r="C23" s="7"/>
      <c r="D23" s="8"/>
      <c r="E23" s="7"/>
      <c r="F23" s="9"/>
    </row>
    <row r="24" customFormat="false" ht="29.25" hidden="false" customHeight="true" outlineLevel="0" collapsed="false">
      <c r="B24" s="10"/>
      <c r="C24" s="7"/>
      <c r="D24" s="8"/>
      <c r="E24" s="7"/>
      <c r="F24" s="9"/>
    </row>
    <row r="25" customFormat="false" ht="29.25" hidden="false" customHeight="true" outlineLevel="0" collapsed="false">
      <c r="B25" s="10"/>
      <c r="C25" s="7"/>
      <c r="D25" s="8"/>
      <c r="E25" s="7"/>
      <c r="F25" s="9"/>
    </row>
    <row r="26" customFormat="false" ht="29.25" hidden="false" customHeight="true" outlineLevel="0" collapsed="false">
      <c r="B26" s="10"/>
      <c r="C26" s="7"/>
      <c r="D26" s="8"/>
      <c r="E26" s="7"/>
      <c r="F26" s="9"/>
    </row>
    <row r="27" customFormat="false" ht="29.25" hidden="false" customHeight="true" outlineLevel="0" collapsed="false">
      <c r="B27" s="10"/>
      <c r="C27" s="7"/>
      <c r="D27" s="8"/>
      <c r="E27" s="7"/>
      <c r="F27" s="9"/>
    </row>
    <row r="28" customFormat="false" ht="29.25" hidden="false" customHeight="true" outlineLevel="0" collapsed="false">
      <c r="B28" s="10"/>
      <c r="C28" s="7"/>
      <c r="D28" s="8"/>
      <c r="E28" s="7"/>
      <c r="F28" s="9"/>
    </row>
    <row r="29" customFormat="false" ht="29.25" hidden="false" customHeight="true" outlineLevel="0" collapsed="false">
      <c r="B29" s="10"/>
      <c r="C29" s="7"/>
      <c r="D29" s="8"/>
      <c r="E29" s="7"/>
      <c r="F29" s="9"/>
    </row>
    <row r="30" customFormat="false" ht="29.25" hidden="false" customHeight="true" outlineLevel="0" collapsed="false">
      <c r="B30" s="10"/>
      <c r="C30" s="7"/>
      <c r="D30" s="8"/>
      <c r="E30" s="7"/>
      <c r="F30" s="9"/>
    </row>
    <row r="31" customFormat="false" ht="29.25" hidden="false" customHeight="true" outlineLevel="0" collapsed="false">
      <c r="B31" s="10"/>
      <c r="C31" s="7"/>
      <c r="D31" s="8"/>
      <c r="E31" s="7"/>
      <c r="F31" s="9"/>
    </row>
    <row r="32" customFormat="false" ht="29.25" hidden="false" customHeight="true" outlineLevel="0" collapsed="false">
      <c r="B32" s="10"/>
      <c r="C32" s="7"/>
      <c r="D32" s="8"/>
      <c r="E32" s="7"/>
      <c r="F32" s="9"/>
    </row>
    <row r="33" customFormat="false" ht="29.25" hidden="false" customHeight="true" outlineLevel="0" collapsed="false">
      <c r="B33" s="10"/>
      <c r="C33" s="7"/>
      <c r="D33" s="8"/>
      <c r="E33" s="7"/>
      <c r="F33" s="9"/>
    </row>
    <row r="34" customFormat="false" ht="29.25" hidden="false" customHeight="true" outlineLevel="0" collapsed="false">
      <c r="B34" s="10"/>
      <c r="C34" s="7"/>
      <c r="D34" s="8"/>
      <c r="E34" s="7"/>
      <c r="F34" s="9"/>
    </row>
    <row r="35" customFormat="false" ht="29.25" hidden="false" customHeight="true" outlineLevel="0" collapsed="false">
      <c r="B35" s="10"/>
      <c r="C35" s="7"/>
      <c r="D35" s="8"/>
      <c r="E35" s="7"/>
      <c r="F35" s="9"/>
    </row>
    <row r="36" customFormat="false" ht="29.25" hidden="false" customHeight="true" outlineLevel="0" collapsed="false">
      <c r="B36" s="10"/>
      <c r="C36" s="7"/>
      <c r="D36" s="8"/>
      <c r="E36" s="7"/>
      <c r="F36" s="9"/>
    </row>
    <row r="37" customFormat="false" ht="29.25" hidden="false" customHeight="true" outlineLevel="0" collapsed="false">
      <c r="B37" s="10"/>
      <c r="C37" s="7"/>
      <c r="D37" s="8"/>
      <c r="E37" s="7"/>
      <c r="F37" s="9"/>
    </row>
    <row r="38" customFormat="false" ht="29.25" hidden="false" customHeight="true" outlineLevel="0" collapsed="false">
      <c r="B38" s="10"/>
      <c r="C38" s="7"/>
      <c r="D38" s="8"/>
      <c r="E38" s="7"/>
      <c r="F38" s="9"/>
    </row>
    <row r="39" customFormat="false" ht="29.25" hidden="false" customHeight="true" outlineLevel="0" collapsed="false">
      <c r="B39" s="10"/>
      <c r="C39" s="7"/>
      <c r="D39" s="7"/>
      <c r="E39" s="7"/>
      <c r="F39" s="9"/>
    </row>
    <row r="40" customFormat="false" ht="30.75" hidden="false" customHeight="true" outlineLevel="0" collapsed="false">
      <c r="B40" s="10"/>
      <c r="C40" s="7"/>
      <c r="D40" s="7"/>
      <c r="E40" s="7"/>
      <c r="F40" s="9"/>
    </row>
    <row r="41" customFormat="false" ht="30.75" hidden="false" customHeight="true" outlineLevel="0" collapsed="false">
      <c r="B41" s="10"/>
      <c r="C41" s="7"/>
      <c r="D41" s="8"/>
      <c r="E41" s="7"/>
      <c r="F41" s="9"/>
    </row>
    <row r="42" customFormat="false" ht="30.75" hidden="false" customHeight="true" outlineLevel="0" collapsed="false">
      <c r="B42" s="10"/>
      <c r="C42" s="7"/>
      <c r="D42" s="8"/>
      <c r="E42" s="7"/>
      <c r="F42" s="9"/>
    </row>
    <row r="43" customFormat="false" ht="30.75" hidden="false" customHeight="true" outlineLevel="0" collapsed="false">
      <c r="B43" s="10"/>
      <c r="C43" s="7"/>
      <c r="D43" s="8"/>
      <c r="E43" s="7"/>
      <c r="F43" s="9"/>
    </row>
    <row r="44" customFormat="false" ht="30.75" hidden="false" customHeight="true" outlineLevel="0" collapsed="false">
      <c r="B44" s="10"/>
      <c r="C44" s="7"/>
      <c r="D44" s="8"/>
      <c r="E44" s="7"/>
      <c r="F44" s="9"/>
    </row>
    <row r="45" customFormat="false" ht="30.75" hidden="false" customHeight="true" outlineLevel="0" collapsed="false">
      <c r="B45" s="10"/>
      <c r="C45" s="7"/>
      <c r="D45" s="8"/>
      <c r="E45" s="7"/>
      <c r="F45" s="9"/>
    </row>
    <row r="46" customFormat="false" ht="30.75" hidden="false" customHeight="true" outlineLevel="0" collapsed="false">
      <c r="B46" s="10"/>
      <c r="C46" s="7"/>
      <c r="D46" s="8"/>
      <c r="E46" s="7"/>
      <c r="F46" s="9"/>
    </row>
    <row r="47" customFormat="false" ht="30.75" hidden="false" customHeight="true" outlineLevel="0" collapsed="false">
      <c r="B47" s="10"/>
      <c r="C47" s="7"/>
      <c r="D47" s="8"/>
      <c r="E47" s="7"/>
      <c r="F47" s="9"/>
    </row>
    <row r="48" customFormat="false" ht="30.75" hidden="false" customHeight="true" outlineLevel="0" collapsed="false">
      <c r="B48" s="10"/>
      <c r="C48" s="7"/>
      <c r="D48" s="8"/>
      <c r="E48" s="7"/>
      <c r="F48" s="9"/>
    </row>
    <row r="49" customFormat="false" ht="30.75" hidden="false" customHeight="true" outlineLevel="0" collapsed="false">
      <c r="B49" s="10"/>
      <c r="C49" s="7"/>
      <c r="D49" s="8"/>
      <c r="E49" s="7"/>
      <c r="F49" s="9"/>
    </row>
    <row r="50" customFormat="false" ht="30.75" hidden="false" customHeight="true" outlineLevel="0" collapsed="false">
      <c r="B50" s="3"/>
      <c r="C50" s="7"/>
      <c r="D50" s="8"/>
      <c r="E50" s="7"/>
      <c r="F50" s="9"/>
    </row>
    <row r="51" customFormat="false" ht="30.75" hidden="false" customHeight="true" outlineLevel="0" collapsed="false"/>
    <row r="52" customFormat="false" ht="30.75" hidden="false" customHeight="true" outlineLevel="0" collapsed="false"/>
    <row r="53" customFormat="false" ht="30.75" hidden="false" customHeight="true" outlineLevel="0" collapsed="false"/>
    <row r="54" customFormat="false" ht="30.75" hidden="false" customHeight="true" outlineLevel="0" collapsed="false"/>
    <row r="55" customFormat="false" ht="30.75" hidden="false" customHeight="true" outlineLevel="0" collapsed="false"/>
    <row r="56" customFormat="false" ht="30.75" hidden="false" customHeight="true" outlineLevel="0" collapsed="false"/>
    <row r="57" customFormat="false" ht="30.75" hidden="false" customHeight="true" outlineLevel="0" collapsed="false"/>
  </sheetData>
  <autoFilter ref="B2:F2"/>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AF89"/>
  <sheetViews>
    <sheetView showFormulas="false" showGridLines="true" showRowColHeaders="true" showZeros="true" rightToLeft="false" tabSelected="false" showOutlineSymbols="true" defaultGridColor="true" view="normal" topLeftCell="A1" colorId="64" zoomScale="70" zoomScaleNormal="70" zoomScalePageLayoutView="100" workbookViewId="0">
      <selection pane="topLeft" activeCell="E14" activeCellId="0" sqref="E14"/>
    </sheetView>
  </sheetViews>
  <sheetFormatPr defaultColWidth="11.4296875" defaultRowHeight="15.75" zeroHeight="false" outlineLevelRow="0" outlineLevelCol="0"/>
  <cols>
    <col collapsed="false" customWidth="true" hidden="false" outlineLevel="0" max="1" min="1" style="0" width="75.15"/>
    <col collapsed="false" customWidth="true" hidden="false" outlineLevel="0" max="2" min="2" style="0" width="145.86"/>
    <col collapsed="false" customWidth="true" hidden="false" outlineLevel="0" max="3" min="3" style="0" width="32.43"/>
    <col collapsed="false" customWidth="true" hidden="false" outlineLevel="0" max="4" min="4" style="0" width="20.14"/>
    <col collapsed="false" customWidth="true" hidden="false" outlineLevel="0" max="5" min="5" style="0" width="35.86"/>
    <col collapsed="false" customWidth="true" hidden="false" outlineLevel="0" max="6" min="6" style="0" width="71.86"/>
    <col collapsed="false" customWidth="true" hidden="false" outlineLevel="0" max="12" min="7" style="0" width="10.86"/>
    <col collapsed="false" customWidth="true" hidden="false" outlineLevel="0" max="13" min="13" style="0" width="23.57"/>
    <col collapsed="false" customWidth="true" hidden="false" outlineLevel="0" max="14" min="14" style="0" width="20.29"/>
    <col collapsed="false" customWidth="true" hidden="false" outlineLevel="0" max="15" min="15" style="0" width="14"/>
    <col collapsed="false" customWidth="true" hidden="false" outlineLevel="0" max="16" min="16" style="0" width="14.14"/>
    <col collapsed="false" customWidth="true" hidden="false" outlineLevel="0" max="17" min="17" style="0" width="12.86"/>
    <col collapsed="false" customWidth="true" hidden="false" outlineLevel="0" max="18" min="18" style="0" width="9.57"/>
    <col collapsed="false" customWidth="true" hidden="false" outlineLevel="0" max="19" min="19" style="0" width="27.86"/>
    <col collapsed="false" customWidth="true" hidden="false" outlineLevel="0" max="20" min="20" style="0" width="14"/>
    <col collapsed="false" customWidth="true" hidden="false" outlineLevel="0" max="21" min="21" style="0" width="27.15"/>
    <col collapsed="false" customWidth="true" hidden="false" outlineLevel="0" max="32" min="22" style="0" width="10.86"/>
    <col collapsed="false" customWidth="true" hidden="false" outlineLevel="0" max="33" min="33" style="11" width="120.14"/>
  </cols>
  <sheetData>
    <row r="2" customFormat="false" ht="44.25" hidden="false" customHeight="true" outlineLevel="0" collapsed="false">
      <c r="A2" s="12"/>
      <c r="B2" s="12"/>
      <c r="C2" s="13"/>
      <c r="D2" s="13"/>
      <c r="E2" s="13"/>
      <c r="F2" s="14" t="s">
        <v>9</v>
      </c>
      <c r="G2" s="14"/>
      <c r="H2" s="14"/>
      <c r="I2" s="14"/>
      <c r="J2" s="14"/>
      <c r="K2" s="14"/>
      <c r="L2" s="14"/>
      <c r="M2" s="14"/>
      <c r="N2" s="14"/>
      <c r="O2" s="14"/>
      <c r="P2" s="14"/>
      <c r="Q2" s="14"/>
      <c r="R2" s="14"/>
      <c r="S2" s="14"/>
      <c r="T2" s="14"/>
      <c r="U2" s="14"/>
      <c r="V2" s="15" t="s">
        <v>10</v>
      </c>
      <c r="W2" s="15"/>
      <c r="X2" s="15"/>
      <c r="Y2" s="15"/>
      <c r="Z2" s="15"/>
      <c r="AA2" s="15"/>
      <c r="AB2" s="15"/>
      <c r="AC2" s="15"/>
      <c r="AD2" s="15"/>
      <c r="AE2" s="15"/>
      <c r="AF2" s="15"/>
    </row>
    <row r="3" customFormat="false" ht="19.5" hidden="false" customHeight="false" outlineLevel="0" collapsed="false">
      <c r="A3" s="16" t="s">
        <v>11</v>
      </c>
      <c r="B3" s="17"/>
      <c r="C3" s="18"/>
      <c r="D3" s="18"/>
      <c r="E3" s="18"/>
      <c r="F3" s="14"/>
      <c r="G3" s="14"/>
      <c r="H3" s="14"/>
      <c r="I3" s="14"/>
      <c r="J3" s="14"/>
      <c r="K3" s="14"/>
      <c r="L3" s="14"/>
      <c r="M3" s="14"/>
      <c r="N3" s="14"/>
      <c r="O3" s="14"/>
      <c r="P3" s="14"/>
      <c r="Q3" s="14"/>
      <c r="R3" s="14"/>
      <c r="S3" s="14"/>
      <c r="T3" s="14"/>
      <c r="U3" s="14"/>
      <c r="V3" s="15"/>
      <c r="W3" s="15"/>
      <c r="X3" s="15"/>
      <c r="Y3" s="15"/>
      <c r="Z3" s="15"/>
      <c r="AA3" s="15"/>
      <c r="AB3" s="15"/>
      <c r="AC3" s="15"/>
      <c r="AD3" s="15"/>
      <c r="AE3" s="15"/>
      <c r="AF3" s="15"/>
    </row>
    <row r="4" customFormat="false" ht="15.75" hidden="false" customHeight="false" outlineLevel="0" collapsed="false">
      <c r="A4" s="19"/>
      <c r="B4" s="17"/>
      <c r="C4" s="20"/>
      <c r="D4" s="20"/>
      <c r="E4" s="20"/>
      <c r="F4" s="14"/>
      <c r="G4" s="14"/>
      <c r="H4" s="14"/>
      <c r="I4" s="14"/>
      <c r="J4" s="14"/>
      <c r="K4" s="14"/>
      <c r="L4" s="14"/>
      <c r="M4" s="14"/>
      <c r="N4" s="14"/>
      <c r="O4" s="14"/>
      <c r="P4" s="14"/>
      <c r="Q4" s="14"/>
      <c r="R4" s="14"/>
      <c r="S4" s="14"/>
      <c r="T4" s="14"/>
      <c r="U4" s="14"/>
      <c r="V4" s="15"/>
      <c r="W4" s="15"/>
      <c r="X4" s="15"/>
      <c r="Y4" s="15"/>
      <c r="Z4" s="15"/>
      <c r="AA4" s="15"/>
      <c r="AB4" s="15"/>
      <c r="AC4" s="15"/>
      <c r="AD4" s="15"/>
      <c r="AE4" s="15"/>
      <c r="AF4" s="15"/>
    </row>
    <row r="5" customFormat="false" ht="19.5" hidden="false" customHeight="false" outlineLevel="0" collapsed="false">
      <c r="A5" s="21" t="s">
        <v>12</v>
      </c>
      <c r="B5" s="17"/>
      <c r="C5" s="22"/>
      <c r="D5" s="22"/>
      <c r="E5" s="22"/>
      <c r="F5" s="14"/>
      <c r="G5" s="14"/>
      <c r="H5" s="14"/>
      <c r="I5" s="14"/>
      <c r="J5" s="14"/>
      <c r="K5" s="14"/>
      <c r="L5" s="14"/>
      <c r="M5" s="14"/>
      <c r="N5" s="14"/>
      <c r="O5" s="14"/>
      <c r="P5" s="14"/>
      <c r="Q5" s="14"/>
      <c r="R5" s="14"/>
      <c r="S5" s="14"/>
      <c r="T5" s="14"/>
      <c r="U5" s="14"/>
      <c r="V5" s="15"/>
      <c r="W5" s="15"/>
      <c r="X5" s="15"/>
      <c r="Y5" s="15"/>
      <c r="Z5" s="15"/>
      <c r="AA5" s="15"/>
      <c r="AB5" s="15"/>
      <c r="AC5" s="15"/>
      <c r="AD5" s="15"/>
      <c r="AE5" s="15"/>
      <c r="AF5" s="15"/>
    </row>
    <row r="6" customFormat="false" ht="159" hidden="false" customHeight="true" outlineLevel="0" collapsed="false">
      <c r="A6" s="23" t="s">
        <v>13</v>
      </c>
      <c r="B6" s="24"/>
      <c r="C6" s="25"/>
      <c r="D6" s="25"/>
      <c r="E6" s="26"/>
      <c r="F6" s="14"/>
      <c r="G6" s="14"/>
      <c r="H6" s="14"/>
      <c r="I6" s="14"/>
      <c r="J6" s="14"/>
      <c r="K6" s="14"/>
      <c r="L6" s="14"/>
      <c r="M6" s="14"/>
      <c r="N6" s="14"/>
      <c r="O6" s="14"/>
      <c r="P6" s="14"/>
      <c r="Q6" s="14"/>
      <c r="R6" s="14"/>
      <c r="S6" s="14"/>
      <c r="T6" s="14"/>
      <c r="U6" s="14"/>
      <c r="V6" s="15"/>
      <c r="W6" s="15"/>
      <c r="X6" s="15"/>
      <c r="Y6" s="15"/>
      <c r="Z6" s="15"/>
      <c r="AA6" s="15"/>
      <c r="AB6" s="15"/>
      <c r="AC6" s="15"/>
      <c r="AD6" s="15"/>
      <c r="AE6" s="15"/>
      <c r="AF6" s="15"/>
    </row>
    <row r="7" customFormat="false" ht="17.25" hidden="false" customHeight="false" outlineLevel="0" collapsed="false">
      <c r="B7" s="27"/>
      <c r="F7" s="28"/>
      <c r="G7" s="28"/>
      <c r="H7" s="28"/>
      <c r="I7" s="28"/>
      <c r="J7" s="28"/>
      <c r="K7" s="28"/>
      <c r="L7" s="28"/>
      <c r="M7" s="28"/>
      <c r="N7" s="28"/>
      <c r="O7" s="28"/>
      <c r="P7" s="28"/>
      <c r="Q7" s="28"/>
      <c r="R7" s="28"/>
      <c r="S7" s="28"/>
      <c r="T7" s="28"/>
      <c r="U7" s="28"/>
      <c r="V7" s="28"/>
      <c r="W7" s="28"/>
      <c r="X7" s="28"/>
      <c r="Y7" s="28"/>
      <c r="Z7" s="28"/>
      <c r="AA7" s="28"/>
      <c r="AB7" s="28"/>
      <c r="AC7" s="28"/>
      <c r="AD7" s="28"/>
      <c r="AE7" s="28"/>
      <c r="AF7" s="28"/>
    </row>
    <row r="8" customFormat="false" ht="75.75" hidden="false" customHeight="false" outlineLevel="0" collapsed="false">
      <c r="A8" s="29" t="s">
        <v>14</v>
      </c>
      <c r="B8" s="29" t="s">
        <v>15</v>
      </c>
      <c r="C8" s="30" t="s">
        <v>16</v>
      </c>
      <c r="D8" s="30" t="s">
        <v>17</v>
      </c>
      <c r="E8" s="30" t="s">
        <v>18</v>
      </c>
      <c r="F8" s="30" t="s">
        <v>19</v>
      </c>
      <c r="G8" s="31" t="s">
        <v>20</v>
      </c>
      <c r="H8" s="31" t="s">
        <v>21</v>
      </c>
      <c r="I8" s="31" t="s">
        <v>22</v>
      </c>
      <c r="J8" s="31" t="s">
        <v>23</v>
      </c>
      <c r="K8" s="31" t="s">
        <v>24</v>
      </c>
      <c r="L8" s="31" t="s">
        <v>25</v>
      </c>
      <c r="M8" s="32" t="s">
        <v>26</v>
      </c>
      <c r="N8" s="32" t="s">
        <v>27</v>
      </c>
      <c r="O8" s="33" t="s">
        <v>28</v>
      </c>
      <c r="P8" s="33" t="s">
        <v>29</v>
      </c>
      <c r="Q8" s="33" t="s">
        <v>30</v>
      </c>
      <c r="R8" s="34"/>
      <c r="S8" s="31" t="s">
        <v>31</v>
      </c>
      <c r="T8" s="33" t="s">
        <v>32</v>
      </c>
      <c r="U8" s="31" t="s">
        <v>33</v>
      </c>
      <c r="V8" s="31" t="s">
        <v>34</v>
      </c>
      <c r="W8" s="31" t="s">
        <v>35</v>
      </c>
      <c r="X8" s="31" t="s">
        <v>36</v>
      </c>
      <c r="Y8" s="31" t="s">
        <v>37</v>
      </c>
      <c r="Z8" s="31" t="s">
        <v>38</v>
      </c>
      <c r="AA8" s="31" t="s">
        <v>39</v>
      </c>
      <c r="AB8" s="31" t="s">
        <v>40</v>
      </c>
      <c r="AC8" s="31" t="s">
        <v>41</v>
      </c>
      <c r="AD8" s="31" t="s">
        <v>42</v>
      </c>
      <c r="AE8" s="31" t="s">
        <v>43</v>
      </c>
      <c r="AF8" s="31" t="s">
        <v>44</v>
      </c>
    </row>
    <row r="9" customFormat="false" ht="27.75" hidden="false" customHeight="true" outlineLevel="0" collapsed="false">
      <c r="A9" s="10" t="s">
        <v>45</v>
      </c>
      <c r="B9" s="35" t="s">
        <v>46</v>
      </c>
      <c r="C9" s="36" t="s">
        <v>47</v>
      </c>
      <c r="D9" s="10" t="s">
        <v>48</v>
      </c>
      <c r="E9" s="37" t="s">
        <v>49</v>
      </c>
      <c r="F9" s="38" t="s">
        <v>48</v>
      </c>
      <c r="G9" s="38"/>
      <c r="H9" s="38"/>
      <c r="I9" s="38"/>
      <c r="J9" s="38"/>
      <c r="K9" s="38"/>
      <c r="L9" s="38"/>
      <c r="M9" s="38"/>
      <c r="N9" s="38"/>
      <c r="O9" s="38"/>
      <c r="P9" s="38"/>
      <c r="Q9" s="38" t="s">
        <v>50</v>
      </c>
      <c r="R9" s="38"/>
      <c r="S9" s="38"/>
      <c r="T9" s="38"/>
      <c r="U9" s="38"/>
      <c r="V9" s="38"/>
      <c r="W9" s="38"/>
      <c r="X9" s="38"/>
      <c r="Y9" s="38"/>
      <c r="Z9" s="38" t="s">
        <v>50</v>
      </c>
      <c r="AA9" s="38"/>
      <c r="AB9" s="38"/>
      <c r="AC9" s="38"/>
      <c r="AD9" s="38"/>
      <c r="AE9" s="38"/>
      <c r="AF9" s="38"/>
    </row>
    <row r="10" customFormat="false" ht="27" hidden="false" customHeight="true" outlineLevel="0" collapsed="false">
      <c r="A10" s="10"/>
      <c r="B10" s="35"/>
      <c r="C10" s="36"/>
      <c r="D10" s="39"/>
      <c r="E10" s="37"/>
      <c r="F10" s="38"/>
      <c r="G10" s="38"/>
      <c r="H10" s="38"/>
      <c r="I10" s="38"/>
      <c r="J10" s="38"/>
      <c r="K10" s="38"/>
      <c r="L10" s="38"/>
      <c r="M10" s="38"/>
      <c r="N10" s="38"/>
      <c r="O10" s="38"/>
      <c r="P10" s="38"/>
      <c r="Q10" s="38"/>
      <c r="R10" s="38"/>
      <c r="S10" s="38"/>
      <c r="T10" s="38"/>
      <c r="U10" s="38"/>
      <c r="V10" s="38"/>
      <c r="W10" s="38"/>
      <c r="X10" s="38"/>
      <c r="Y10" s="38"/>
      <c r="Z10" s="38"/>
      <c r="AA10" s="38"/>
      <c r="AB10" s="38"/>
      <c r="AC10" s="38"/>
      <c r="AD10" s="38"/>
      <c r="AE10" s="38"/>
      <c r="AF10" s="38"/>
    </row>
    <row r="11" customFormat="false" ht="27.75" hidden="false" customHeight="true" outlineLevel="0" collapsed="false">
      <c r="A11" s="10"/>
      <c r="B11" s="35"/>
      <c r="C11" s="36"/>
      <c r="D11" s="39"/>
      <c r="E11" s="37"/>
      <c r="F11" s="38"/>
      <c r="G11" s="38"/>
      <c r="H11" s="38"/>
      <c r="I11" s="38"/>
      <c r="J11" s="38"/>
      <c r="K11" s="38"/>
      <c r="L11" s="38"/>
      <c r="M11" s="38"/>
      <c r="N11" s="38"/>
      <c r="O11" s="38"/>
      <c r="P11" s="38"/>
      <c r="Q11" s="38"/>
      <c r="R11" s="38"/>
      <c r="S11" s="38"/>
      <c r="T11" s="38"/>
      <c r="U11" s="38"/>
      <c r="V11" s="38"/>
      <c r="W11" s="38"/>
      <c r="X11" s="38"/>
      <c r="Y11" s="38"/>
      <c r="Z11" s="38"/>
      <c r="AA11" s="38"/>
      <c r="AB11" s="38"/>
      <c r="AC11" s="38"/>
      <c r="AD11" s="38"/>
      <c r="AE11" s="38"/>
      <c r="AF11" s="38"/>
    </row>
    <row r="12" customFormat="false" ht="15.75" hidden="false" customHeight="false" outlineLevel="0" collapsed="false">
      <c r="A12" s="10"/>
      <c r="B12" s="40"/>
      <c r="C12" s="36"/>
      <c r="D12" s="39"/>
      <c r="E12" s="37"/>
      <c r="F12" s="38"/>
      <c r="G12" s="38"/>
      <c r="H12" s="38"/>
      <c r="I12" s="38"/>
      <c r="J12" s="38"/>
      <c r="K12" s="38"/>
      <c r="L12" s="38"/>
      <c r="M12" s="38"/>
      <c r="N12" s="38"/>
      <c r="O12" s="38"/>
      <c r="P12" s="38"/>
      <c r="Q12" s="38"/>
      <c r="R12" s="38"/>
      <c r="S12" s="38"/>
      <c r="T12" s="38"/>
      <c r="U12" s="38"/>
      <c r="V12" s="38"/>
      <c r="W12" s="38"/>
      <c r="X12" s="38"/>
      <c r="Y12" s="38"/>
      <c r="Z12" s="38"/>
      <c r="AA12" s="38"/>
      <c r="AB12" s="38"/>
      <c r="AC12" s="38"/>
      <c r="AD12" s="38"/>
      <c r="AE12" s="38"/>
      <c r="AF12" s="38"/>
    </row>
    <row r="13" customFormat="false" ht="15.75" hidden="false" customHeight="false" outlineLevel="0" collapsed="false">
      <c r="A13" s="10"/>
      <c r="B13" s="40"/>
      <c r="C13" s="36"/>
      <c r="D13" s="39"/>
      <c r="E13" s="37"/>
      <c r="F13" s="38"/>
      <c r="G13" s="38"/>
      <c r="H13" s="38"/>
      <c r="I13" s="38"/>
      <c r="J13" s="38"/>
      <c r="K13" s="38"/>
      <c r="L13" s="38"/>
      <c r="M13" s="38"/>
      <c r="N13" s="38"/>
      <c r="O13" s="38"/>
      <c r="P13" s="38"/>
      <c r="Q13" s="38"/>
      <c r="R13" s="38"/>
      <c r="S13" s="38"/>
      <c r="T13" s="38"/>
      <c r="U13" s="38"/>
      <c r="V13" s="38"/>
      <c r="W13" s="38"/>
      <c r="X13" s="38"/>
      <c r="Y13" s="38"/>
      <c r="Z13" s="38"/>
      <c r="AA13" s="38"/>
      <c r="AB13" s="38"/>
      <c r="AC13" s="38"/>
      <c r="AD13" s="38"/>
      <c r="AE13" s="38"/>
      <c r="AF13" s="38"/>
    </row>
    <row r="14" customFormat="false" ht="27" hidden="false" customHeight="true" outlineLevel="0" collapsed="false">
      <c r="A14" s="10"/>
      <c r="B14" s="35"/>
      <c r="C14" s="36"/>
      <c r="D14" s="39"/>
      <c r="E14" s="37"/>
      <c r="F14" s="38"/>
      <c r="G14" s="38"/>
      <c r="H14" s="38"/>
      <c r="I14" s="38"/>
      <c r="J14" s="38"/>
      <c r="K14" s="38"/>
      <c r="L14" s="38"/>
      <c r="M14" s="38"/>
      <c r="N14" s="38"/>
      <c r="O14" s="38"/>
      <c r="P14" s="38"/>
      <c r="Q14" s="38"/>
      <c r="R14" s="38"/>
      <c r="S14" s="38"/>
      <c r="T14" s="38"/>
      <c r="U14" s="41"/>
      <c r="V14" s="41"/>
      <c r="W14" s="38"/>
      <c r="X14" s="38"/>
      <c r="Y14" s="38"/>
      <c r="Z14" s="38"/>
      <c r="AA14" s="38"/>
      <c r="AB14" s="38"/>
      <c r="AC14" s="38"/>
      <c r="AD14" s="38"/>
      <c r="AE14" s="38"/>
      <c r="AF14" s="38"/>
    </row>
    <row r="15" customFormat="false" ht="26.25" hidden="false" customHeight="true" outlineLevel="0" collapsed="false">
      <c r="A15" s="10"/>
      <c r="B15" s="35"/>
      <c r="C15" s="36"/>
      <c r="D15" s="39"/>
      <c r="E15" s="37"/>
      <c r="F15" s="38"/>
      <c r="G15" s="38"/>
      <c r="H15" s="38"/>
      <c r="I15" s="38"/>
      <c r="J15" s="38"/>
      <c r="K15" s="38"/>
      <c r="L15" s="38"/>
      <c r="M15" s="38"/>
      <c r="N15" s="38"/>
      <c r="O15" s="38"/>
      <c r="P15" s="38"/>
      <c r="Q15" s="38"/>
      <c r="R15" s="38"/>
      <c r="S15" s="38"/>
      <c r="T15" s="38"/>
      <c r="U15" s="38"/>
      <c r="V15" s="38"/>
      <c r="W15" s="38"/>
      <c r="X15" s="38"/>
      <c r="Y15" s="38"/>
      <c r="Z15" s="38"/>
      <c r="AA15" s="38"/>
      <c r="AB15" s="38"/>
      <c r="AC15" s="38"/>
      <c r="AD15" s="38"/>
      <c r="AE15" s="38"/>
      <c r="AF15" s="38"/>
    </row>
    <row r="16" customFormat="false" ht="27" hidden="false" customHeight="true" outlineLevel="0" collapsed="false">
      <c r="A16" s="10"/>
      <c r="B16" s="35"/>
      <c r="C16" s="36"/>
      <c r="D16" s="39"/>
      <c r="E16" s="37"/>
      <c r="F16" s="38"/>
      <c r="G16" s="38"/>
      <c r="H16" s="38"/>
      <c r="I16" s="38"/>
      <c r="J16" s="38"/>
      <c r="K16" s="38"/>
      <c r="L16" s="38"/>
      <c r="M16" s="38"/>
      <c r="N16" s="38"/>
      <c r="O16" s="38"/>
      <c r="P16" s="38"/>
      <c r="Q16" s="38"/>
      <c r="R16" s="38"/>
      <c r="S16" s="38"/>
      <c r="T16" s="38"/>
      <c r="U16" s="38"/>
      <c r="V16" s="38"/>
      <c r="W16" s="38"/>
      <c r="X16" s="38"/>
      <c r="Y16" s="38"/>
      <c r="Z16" s="38"/>
      <c r="AA16" s="38"/>
      <c r="AB16" s="38"/>
      <c r="AC16" s="38"/>
      <c r="AD16" s="38"/>
      <c r="AE16" s="38"/>
      <c r="AF16" s="38"/>
    </row>
    <row r="17" customFormat="false" ht="27.75" hidden="false" customHeight="true" outlineLevel="0" collapsed="false">
      <c r="A17" s="10"/>
      <c r="B17" s="35"/>
      <c r="C17" s="36"/>
      <c r="D17" s="39"/>
      <c r="E17" s="37"/>
      <c r="F17" s="38"/>
      <c r="G17" s="38"/>
      <c r="H17" s="38"/>
      <c r="I17" s="38"/>
      <c r="J17" s="38"/>
      <c r="K17" s="38"/>
      <c r="L17" s="38"/>
      <c r="M17" s="38"/>
      <c r="N17" s="38"/>
      <c r="O17" s="38"/>
      <c r="P17" s="38"/>
      <c r="Q17" s="38"/>
      <c r="R17" s="38"/>
      <c r="S17" s="38"/>
      <c r="T17" s="38"/>
      <c r="U17" s="38"/>
      <c r="V17" s="38"/>
      <c r="W17" s="38"/>
      <c r="X17" s="38"/>
      <c r="Y17" s="38"/>
      <c r="Z17" s="38"/>
      <c r="AA17" s="38"/>
      <c r="AB17" s="38"/>
      <c r="AC17" s="38"/>
      <c r="AD17" s="38"/>
      <c r="AE17" s="38"/>
      <c r="AF17" s="38"/>
    </row>
    <row r="18" customFormat="false" ht="27" hidden="false" customHeight="true" outlineLevel="0" collapsed="false">
      <c r="A18" s="10"/>
      <c r="B18" s="35"/>
      <c r="C18" s="36"/>
      <c r="D18" s="39"/>
      <c r="E18" s="37"/>
      <c r="F18" s="38"/>
      <c r="G18" s="38"/>
      <c r="H18" s="38"/>
      <c r="I18" s="38"/>
      <c r="J18" s="38"/>
      <c r="K18" s="38"/>
      <c r="L18" s="38"/>
      <c r="M18" s="38"/>
      <c r="N18" s="38"/>
      <c r="O18" s="38"/>
      <c r="P18" s="38"/>
      <c r="Q18" s="38"/>
      <c r="R18" s="38"/>
      <c r="S18" s="38"/>
      <c r="T18" s="38"/>
      <c r="U18" s="38"/>
      <c r="V18" s="38"/>
      <c r="W18" s="38"/>
      <c r="X18" s="38"/>
      <c r="Y18" s="38"/>
      <c r="Z18" s="38"/>
      <c r="AA18" s="38"/>
      <c r="AB18" s="38"/>
      <c r="AC18" s="38"/>
      <c r="AD18" s="38"/>
      <c r="AE18" s="38"/>
      <c r="AF18" s="38"/>
    </row>
    <row r="19" customFormat="false" ht="26.25" hidden="false" customHeight="true" outlineLevel="0" collapsed="false">
      <c r="A19" s="10"/>
      <c r="B19" s="35"/>
      <c r="C19" s="36"/>
      <c r="D19" s="39"/>
      <c r="E19" s="37"/>
      <c r="F19" s="38"/>
      <c r="G19" s="38"/>
      <c r="H19" s="38"/>
      <c r="I19" s="38"/>
      <c r="J19" s="38"/>
      <c r="K19" s="38"/>
      <c r="L19" s="38"/>
      <c r="M19" s="38"/>
      <c r="N19" s="38"/>
      <c r="O19" s="38"/>
      <c r="P19" s="38"/>
      <c r="Q19" s="38"/>
      <c r="R19" s="38"/>
      <c r="S19" s="38"/>
      <c r="T19" s="38"/>
      <c r="U19" s="38"/>
      <c r="V19" s="38"/>
      <c r="W19" s="38"/>
      <c r="X19" s="38"/>
      <c r="Y19" s="38"/>
      <c r="Z19" s="38"/>
      <c r="AA19" s="38"/>
      <c r="AB19" s="38"/>
      <c r="AC19" s="38"/>
      <c r="AD19" s="38"/>
      <c r="AE19" s="38"/>
      <c r="AF19" s="38"/>
    </row>
    <row r="20" customFormat="false" ht="27" hidden="false" customHeight="true" outlineLevel="0" collapsed="false">
      <c r="A20" s="10"/>
      <c r="B20" s="35"/>
      <c r="C20" s="36"/>
      <c r="D20" s="39"/>
      <c r="E20" s="37"/>
      <c r="F20" s="38"/>
      <c r="G20" s="38"/>
      <c r="H20" s="38"/>
      <c r="I20" s="38"/>
      <c r="J20" s="38"/>
      <c r="K20" s="38"/>
      <c r="L20" s="38"/>
      <c r="M20" s="38"/>
      <c r="N20" s="38"/>
      <c r="O20" s="38"/>
      <c r="P20" s="38"/>
      <c r="Q20" s="38"/>
      <c r="R20" s="38"/>
      <c r="S20" s="38"/>
      <c r="T20" s="38"/>
      <c r="U20" s="38"/>
      <c r="V20" s="38"/>
      <c r="W20" s="38"/>
      <c r="X20" s="38"/>
      <c r="Y20" s="38"/>
      <c r="Z20" s="38"/>
      <c r="AA20" s="38"/>
      <c r="AB20" s="38"/>
      <c r="AC20" s="38"/>
      <c r="AD20" s="38"/>
      <c r="AE20" s="38"/>
      <c r="AF20" s="38"/>
    </row>
    <row r="21" customFormat="false" ht="27.75" hidden="false" customHeight="true" outlineLevel="0" collapsed="false">
      <c r="A21" s="10"/>
      <c r="B21" s="35"/>
      <c r="C21" s="36"/>
      <c r="D21" s="39"/>
      <c r="E21" s="37"/>
      <c r="F21" s="38"/>
      <c r="G21" s="38"/>
      <c r="H21" s="38"/>
      <c r="I21" s="38"/>
      <c r="J21" s="38"/>
      <c r="K21" s="38"/>
      <c r="L21" s="38"/>
      <c r="M21" s="38"/>
      <c r="N21" s="38"/>
      <c r="O21" s="38"/>
      <c r="P21" s="38"/>
      <c r="Q21" s="38"/>
      <c r="R21" s="38"/>
      <c r="S21" s="38"/>
      <c r="T21" s="38"/>
      <c r="U21" s="38"/>
      <c r="V21" s="38"/>
      <c r="W21" s="38"/>
      <c r="X21" s="38"/>
      <c r="Y21" s="38"/>
      <c r="Z21" s="38"/>
      <c r="AA21" s="38"/>
      <c r="AB21" s="38"/>
      <c r="AC21" s="38"/>
      <c r="AD21" s="38"/>
      <c r="AE21" s="38"/>
      <c r="AF21" s="38"/>
    </row>
    <row r="22" customFormat="false" ht="27.75" hidden="false" customHeight="true" outlineLevel="0" collapsed="false">
      <c r="A22" s="10"/>
      <c r="B22" s="35"/>
      <c r="C22" s="36"/>
      <c r="D22" s="39"/>
      <c r="E22" s="37"/>
      <c r="F22" s="38"/>
      <c r="G22" s="38"/>
      <c r="H22" s="38"/>
      <c r="I22" s="38"/>
      <c r="J22" s="38"/>
      <c r="K22" s="38"/>
      <c r="L22" s="38"/>
      <c r="M22" s="38"/>
      <c r="N22" s="38"/>
      <c r="O22" s="38"/>
      <c r="P22" s="38"/>
      <c r="Q22" s="38"/>
      <c r="R22" s="38"/>
      <c r="S22" s="38"/>
      <c r="T22" s="38"/>
      <c r="U22" s="38"/>
      <c r="V22" s="38"/>
      <c r="W22" s="38"/>
      <c r="X22" s="38"/>
      <c r="Y22" s="38"/>
      <c r="Z22" s="38"/>
      <c r="AA22" s="38"/>
      <c r="AB22" s="38"/>
      <c r="AC22" s="38"/>
      <c r="AD22" s="38"/>
      <c r="AE22" s="38"/>
      <c r="AF22" s="38"/>
    </row>
    <row r="23" customFormat="false" ht="51" hidden="false" customHeight="true" outlineLevel="0" collapsed="false">
      <c r="A23" s="37"/>
      <c r="B23" s="37"/>
      <c r="C23" s="42"/>
      <c r="D23" s="37"/>
      <c r="E23" s="37"/>
      <c r="F23" s="38"/>
      <c r="G23" s="38"/>
      <c r="H23" s="38"/>
      <c r="I23" s="43"/>
      <c r="J23" s="43"/>
      <c r="K23" s="43"/>
      <c r="L23" s="43"/>
      <c r="M23" s="43"/>
      <c r="N23" s="43"/>
      <c r="O23" s="43"/>
      <c r="P23" s="43"/>
      <c r="Q23" s="43"/>
      <c r="R23" s="43"/>
      <c r="S23" s="43"/>
      <c r="T23" s="43"/>
      <c r="U23" s="43"/>
      <c r="V23" s="43"/>
      <c r="W23" s="43"/>
      <c r="X23" s="43"/>
      <c r="Y23" s="43"/>
      <c r="Z23" s="43"/>
      <c r="AA23" s="43"/>
      <c r="AB23" s="43"/>
      <c r="AC23" s="43"/>
      <c r="AD23" s="43"/>
      <c r="AE23" s="43"/>
      <c r="AF23" s="43"/>
    </row>
    <row r="24" customFormat="false" ht="43.5" hidden="false" customHeight="true" outlineLevel="0" collapsed="false">
      <c r="A24" s="37"/>
      <c r="B24" s="37"/>
      <c r="C24" s="42"/>
      <c r="D24" s="37"/>
      <c r="E24" s="37"/>
      <c r="F24" s="38"/>
      <c r="G24" s="38"/>
      <c r="H24" s="38"/>
      <c r="I24" s="43"/>
      <c r="J24" s="43"/>
      <c r="K24" s="43"/>
      <c r="L24" s="43"/>
      <c r="M24" s="43"/>
      <c r="N24" s="43"/>
      <c r="O24" s="43"/>
      <c r="P24" s="43"/>
      <c r="Q24" s="43"/>
      <c r="R24" s="43"/>
      <c r="S24" s="43"/>
      <c r="T24" s="43"/>
      <c r="U24" s="43"/>
      <c r="V24" s="43"/>
      <c r="W24" s="43"/>
      <c r="X24" s="43"/>
      <c r="Y24" s="43"/>
      <c r="Z24" s="43"/>
      <c r="AA24" s="43"/>
      <c r="AB24" s="43"/>
      <c r="AC24" s="43"/>
      <c r="AD24" s="43"/>
      <c r="AE24" s="43"/>
      <c r="AF24" s="43"/>
    </row>
    <row r="25" customFormat="false" ht="43.5" hidden="false" customHeight="true" outlineLevel="0" collapsed="false">
      <c r="A25" s="37"/>
      <c r="B25" s="37"/>
      <c r="C25" s="42"/>
      <c r="D25" s="37"/>
      <c r="E25" s="37"/>
      <c r="F25" s="38"/>
      <c r="G25" s="38"/>
      <c r="H25" s="38"/>
      <c r="I25" s="43"/>
      <c r="J25" s="43"/>
      <c r="K25" s="43"/>
      <c r="L25" s="43"/>
      <c r="M25" s="43"/>
      <c r="N25" s="43"/>
      <c r="O25" s="43"/>
      <c r="P25" s="43"/>
      <c r="Q25" s="43"/>
      <c r="R25" s="43"/>
      <c r="S25" s="43"/>
      <c r="T25" s="43"/>
      <c r="U25" s="43"/>
      <c r="V25" s="43"/>
      <c r="W25" s="43"/>
      <c r="X25" s="43"/>
      <c r="Y25" s="43"/>
      <c r="Z25" s="43"/>
      <c r="AA25" s="43"/>
      <c r="AB25" s="43"/>
      <c r="AC25" s="43"/>
      <c r="AD25" s="43"/>
      <c r="AE25" s="43"/>
      <c r="AF25" s="43"/>
    </row>
    <row r="26" customFormat="false" ht="43.5" hidden="false" customHeight="true" outlineLevel="0" collapsed="false">
      <c r="A26" s="37"/>
      <c r="B26" s="37"/>
      <c r="C26" s="42"/>
      <c r="D26" s="37"/>
      <c r="E26" s="37"/>
      <c r="F26" s="38"/>
      <c r="G26" s="38"/>
      <c r="H26" s="38"/>
      <c r="I26" s="43"/>
      <c r="J26" s="43"/>
      <c r="K26" s="43"/>
      <c r="L26" s="43"/>
      <c r="M26" s="43"/>
      <c r="N26" s="43"/>
      <c r="O26" s="43"/>
      <c r="P26" s="43"/>
      <c r="Q26" s="43"/>
      <c r="R26" s="43"/>
      <c r="S26" s="43"/>
      <c r="T26" s="43"/>
      <c r="U26" s="43"/>
      <c r="V26" s="43"/>
      <c r="W26" s="43"/>
      <c r="X26" s="43"/>
      <c r="Y26" s="43"/>
      <c r="Z26" s="43"/>
      <c r="AA26" s="43"/>
      <c r="AB26" s="43"/>
      <c r="AC26" s="43"/>
      <c r="AD26" s="43"/>
      <c r="AE26" s="43"/>
      <c r="AF26" s="43"/>
    </row>
    <row r="27" customFormat="false" ht="43.5" hidden="false" customHeight="true" outlineLevel="0" collapsed="false">
      <c r="A27" s="37"/>
      <c r="B27" s="37"/>
      <c r="C27" s="42"/>
      <c r="D27" s="37"/>
      <c r="E27" s="37"/>
      <c r="F27" s="38"/>
      <c r="G27" s="38"/>
      <c r="H27" s="38"/>
      <c r="I27" s="43"/>
      <c r="J27" s="43"/>
      <c r="K27" s="43"/>
      <c r="L27" s="43"/>
      <c r="M27" s="43"/>
      <c r="N27" s="43"/>
      <c r="O27" s="43"/>
      <c r="P27" s="43"/>
      <c r="Q27" s="43"/>
      <c r="R27" s="43"/>
      <c r="S27" s="43"/>
      <c r="T27" s="43"/>
      <c r="U27" s="43"/>
      <c r="V27" s="43"/>
      <c r="W27" s="43"/>
      <c r="X27" s="43"/>
      <c r="Y27" s="43"/>
      <c r="Z27" s="43"/>
      <c r="AA27" s="43"/>
      <c r="AB27" s="43"/>
      <c r="AC27" s="43"/>
      <c r="AD27" s="43"/>
      <c r="AE27" s="43"/>
      <c r="AF27" s="43"/>
    </row>
    <row r="28" customFormat="false" ht="42" hidden="false" customHeight="true" outlineLevel="0" collapsed="false">
      <c r="A28" s="37"/>
      <c r="B28" s="37"/>
      <c r="C28" s="42"/>
      <c r="D28" s="37"/>
      <c r="E28" s="37"/>
      <c r="F28" s="38"/>
      <c r="G28" s="38"/>
      <c r="H28" s="38"/>
      <c r="I28" s="43"/>
      <c r="J28" s="43"/>
      <c r="K28" s="43"/>
      <c r="L28" s="43"/>
      <c r="M28" s="43"/>
      <c r="N28" s="43"/>
      <c r="O28" s="43"/>
      <c r="P28" s="43"/>
      <c r="Q28" s="43"/>
      <c r="R28" s="43"/>
      <c r="S28" s="43"/>
      <c r="T28" s="43"/>
      <c r="U28" s="43"/>
      <c r="V28" s="43"/>
      <c r="W28" s="43"/>
      <c r="X28" s="43"/>
      <c r="Y28" s="43"/>
      <c r="Z28" s="43"/>
      <c r="AA28" s="43"/>
      <c r="AB28" s="43"/>
      <c r="AC28" s="43"/>
      <c r="AD28" s="43"/>
      <c r="AE28" s="43"/>
      <c r="AF28" s="43"/>
    </row>
    <row r="29" customFormat="false" ht="45.75" hidden="false" customHeight="true" outlineLevel="0" collapsed="false">
      <c r="A29" s="37"/>
      <c r="B29" s="37"/>
      <c r="C29" s="42"/>
      <c r="D29" s="37"/>
      <c r="E29" s="37"/>
      <c r="F29" s="38"/>
      <c r="G29" s="38"/>
      <c r="H29" s="38"/>
      <c r="I29" s="43"/>
      <c r="J29" s="43"/>
      <c r="K29" s="43"/>
      <c r="L29" s="43"/>
      <c r="M29" s="43"/>
      <c r="N29" s="43"/>
      <c r="O29" s="43"/>
      <c r="P29" s="43"/>
      <c r="Q29" s="43"/>
      <c r="R29" s="43"/>
      <c r="S29" s="43"/>
      <c r="T29" s="43"/>
      <c r="U29" s="43"/>
      <c r="V29" s="43"/>
      <c r="W29" s="43"/>
      <c r="X29" s="43"/>
      <c r="Y29" s="43"/>
      <c r="Z29" s="43"/>
      <c r="AA29" s="43"/>
      <c r="AB29" s="43"/>
      <c r="AC29" s="43"/>
      <c r="AD29" s="43"/>
      <c r="AE29" s="43"/>
      <c r="AF29" s="43"/>
    </row>
    <row r="30" customFormat="false" ht="49.5" hidden="false" customHeight="true" outlineLevel="0" collapsed="false">
      <c r="A30" s="37"/>
      <c r="B30" s="37"/>
      <c r="C30" s="42"/>
      <c r="D30" s="37"/>
      <c r="E30" s="37"/>
      <c r="F30" s="38"/>
      <c r="G30" s="38"/>
      <c r="H30" s="38"/>
      <c r="I30" s="43"/>
      <c r="J30" s="43"/>
      <c r="K30" s="43"/>
      <c r="L30" s="43"/>
      <c r="M30" s="43"/>
      <c r="N30" s="43"/>
      <c r="O30" s="43"/>
      <c r="P30" s="43"/>
      <c r="Q30" s="43"/>
      <c r="R30" s="43"/>
      <c r="S30" s="43"/>
      <c r="T30" s="43"/>
      <c r="U30" s="43"/>
      <c r="V30" s="43"/>
      <c r="W30" s="43"/>
      <c r="X30" s="43"/>
      <c r="Y30" s="43"/>
      <c r="Z30" s="43"/>
      <c r="AA30" s="43"/>
      <c r="AB30" s="43"/>
      <c r="AC30" s="43"/>
      <c r="AD30" s="43"/>
      <c r="AE30" s="43"/>
      <c r="AF30" s="43"/>
    </row>
    <row r="31" customFormat="false" ht="45" hidden="false" customHeight="true" outlineLevel="0" collapsed="false">
      <c r="A31" s="37"/>
      <c r="B31" s="37"/>
      <c r="C31" s="42"/>
      <c r="D31" s="37"/>
      <c r="E31" s="37"/>
      <c r="F31" s="38"/>
      <c r="G31" s="38"/>
      <c r="H31" s="38"/>
      <c r="I31" s="43"/>
      <c r="J31" s="43"/>
      <c r="K31" s="43"/>
      <c r="L31" s="43"/>
      <c r="M31" s="43"/>
      <c r="N31" s="43"/>
      <c r="O31" s="43"/>
      <c r="P31" s="43"/>
      <c r="Q31" s="43"/>
      <c r="R31" s="43"/>
      <c r="S31" s="43"/>
      <c r="T31" s="43"/>
      <c r="U31" s="43"/>
      <c r="V31" s="43"/>
      <c r="W31" s="43"/>
      <c r="X31" s="43"/>
      <c r="Y31" s="43"/>
      <c r="Z31" s="43"/>
      <c r="AA31" s="43"/>
      <c r="AB31" s="43"/>
      <c r="AC31" s="43"/>
      <c r="AD31" s="43"/>
      <c r="AE31" s="43"/>
      <c r="AF31" s="43"/>
    </row>
    <row r="32" customFormat="false" ht="45" hidden="false" customHeight="true" outlineLevel="0" collapsed="false">
      <c r="A32" s="37"/>
      <c r="B32" s="37"/>
      <c r="C32" s="42"/>
      <c r="D32" s="37"/>
      <c r="E32" s="37"/>
      <c r="F32" s="38"/>
      <c r="G32" s="38"/>
      <c r="H32" s="38"/>
      <c r="I32" s="43"/>
      <c r="J32" s="43"/>
      <c r="K32" s="43"/>
      <c r="L32" s="43"/>
      <c r="M32" s="43"/>
      <c r="N32" s="43"/>
      <c r="O32" s="43"/>
      <c r="P32" s="43"/>
      <c r="Q32" s="43"/>
      <c r="R32" s="43"/>
      <c r="S32" s="43"/>
      <c r="T32" s="43"/>
      <c r="U32" s="43"/>
      <c r="V32" s="43"/>
      <c r="W32" s="43"/>
      <c r="X32" s="43"/>
      <c r="Y32" s="43"/>
      <c r="Z32" s="43"/>
      <c r="AA32" s="43"/>
      <c r="AB32" s="43"/>
      <c r="AC32" s="43"/>
      <c r="AD32" s="43"/>
      <c r="AE32" s="43"/>
      <c r="AF32" s="43"/>
    </row>
    <row r="33" customFormat="false" ht="45" hidden="false" customHeight="true" outlineLevel="0" collapsed="false">
      <c r="A33" s="37"/>
      <c r="B33" s="37"/>
      <c r="C33" s="42"/>
      <c r="D33" s="37"/>
      <c r="E33" s="37"/>
      <c r="F33" s="38"/>
      <c r="G33" s="38"/>
      <c r="H33" s="38"/>
      <c r="I33" s="43"/>
      <c r="J33" s="43"/>
      <c r="K33" s="43"/>
      <c r="L33" s="43"/>
      <c r="M33" s="43"/>
      <c r="N33" s="43"/>
      <c r="O33" s="43"/>
      <c r="P33" s="43"/>
      <c r="Q33" s="43"/>
      <c r="R33" s="43"/>
      <c r="S33" s="43"/>
      <c r="T33" s="43"/>
      <c r="U33" s="43"/>
      <c r="V33" s="43"/>
      <c r="W33" s="43"/>
      <c r="X33" s="43"/>
      <c r="Y33" s="43"/>
      <c r="Z33" s="43"/>
      <c r="AA33" s="43"/>
      <c r="AB33" s="43"/>
      <c r="AC33" s="43"/>
      <c r="AD33" s="43"/>
      <c r="AE33" s="43"/>
      <c r="AF33" s="43"/>
    </row>
    <row r="34" customFormat="false" ht="55.5" hidden="false" customHeight="true" outlineLevel="0" collapsed="false">
      <c r="A34" s="37"/>
      <c r="B34" s="37"/>
      <c r="C34" s="42"/>
      <c r="D34" s="37"/>
      <c r="E34" s="37"/>
      <c r="F34" s="38"/>
      <c r="G34" s="38"/>
      <c r="H34" s="38"/>
      <c r="I34" s="43"/>
      <c r="J34" s="43"/>
      <c r="K34" s="43"/>
      <c r="L34" s="43"/>
      <c r="M34" s="43"/>
      <c r="N34" s="43"/>
      <c r="O34" s="43"/>
      <c r="P34" s="43"/>
      <c r="Q34" s="43"/>
      <c r="R34" s="43"/>
      <c r="S34" s="43"/>
      <c r="T34" s="43"/>
      <c r="U34" s="43"/>
      <c r="V34" s="43"/>
      <c r="W34" s="43"/>
      <c r="X34" s="43"/>
      <c r="Y34" s="43"/>
      <c r="Z34" s="43"/>
      <c r="AA34" s="43"/>
      <c r="AB34" s="43"/>
      <c r="AC34" s="43"/>
      <c r="AD34" s="43"/>
      <c r="AE34" s="43"/>
      <c r="AF34" s="43"/>
    </row>
    <row r="35" customFormat="false" ht="48.75" hidden="false" customHeight="true" outlineLevel="0" collapsed="false">
      <c r="A35" s="37"/>
      <c r="B35" s="37"/>
      <c r="C35" s="42"/>
      <c r="D35" s="37"/>
      <c r="E35" s="37"/>
      <c r="F35" s="38"/>
      <c r="G35" s="38"/>
      <c r="H35" s="38"/>
      <c r="I35" s="43"/>
      <c r="J35" s="43"/>
      <c r="K35" s="43"/>
      <c r="L35" s="43"/>
      <c r="M35" s="43"/>
      <c r="N35" s="43"/>
      <c r="O35" s="43"/>
      <c r="P35" s="43"/>
      <c r="Q35" s="43"/>
      <c r="R35" s="43"/>
      <c r="S35" s="43"/>
      <c r="T35" s="43"/>
      <c r="U35" s="43"/>
      <c r="V35" s="43"/>
      <c r="W35" s="43"/>
      <c r="X35" s="43"/>
      <c r="Y35" s="43"/>
      <c r="Z35" s="43"/>
      <c r="AA35" s="43"/>
      <c r="AB35" s="43"/>
      <c r="AC35" s="43"/>
      <c r="AD35" s="43"/>
      <c r="AE35" s="43"/>
      <c r="AF35" s="43"/>
    </row>
    <row r="36" customFormat="false" ht="54" hidden="false" customHeight="true" outlineLevel="0" collapsed="false">
      <c r="A36" s="37"/>
      <c r="B36" s="37"/>
      <c r="C36" s="42"/>
      <c r="D36" s="37"/>
      <c r="E36" s="37"/>
      <c r="F36" s="38"/>
      <c r="G36" s="38"/>
      <c r="H36" s="38"/>
      <c r="I36" s="43"/>
      <c r="J36" s="43"/>
      <c r="K36" s="43"/>
      <c r="L36" s="43"/>
      <c r="M36" s="43"/>
      <c r="N36" s="43"/>
      <c r="O36" s="43"/>
      <c r="P36" s="43"/>
      <c r="Q36" s="43"/>
      <c r="R36" s="43"/>
      <c r="S36" s="43"/>
      <c r="T36" s="43"/>
      <c r="U36" s="43"/>
      <c r="V36" s="43"/>
      <c r="W36" s="43"/>
      <c r="X36" s="43"/>
      <c r="Y36" s="43"/>
      <c r="Z36" s="43"/>
      <c r="AA36" s="43"/>
      <c r="AB36" s="43"/>
      <c r="AC36" s="43"/>
      <c r="AD36" s="43"/>
      <c r="AE36" s="43"/>
      <c r="AF36" s="43"/>
    </row>
    <row r="37" customFormat="false" ht="45.75" hidden="false" customHeight="true" outlineLevel="0" collapsed="false">
      <c r="A37" s="37"/>
      <c r="B37" s="37"/>
      <c r="C37" s="42"/>
      <c r="D37" s="37"/>
      <c r="E37" s="37"/>
      <c r="F37" s="38"/>
      <c r="G37" s="38"/>
      <c r="H37" s="38"/>
      <c r="I37" s="43"/>
      <c r="J37" s="43"/>
      <c r="K37" s="43"/>
      <c r="L37" s="43"/>
      <c r="M37" s="43"/>
      <c r="N37" s="43"/>
      <c r="O37" s="43"/>
      <c r="P37" s="43"/>
      <c r="Q37" s="43"/>
      <c r="R37" s="43"/>
      <c r="S37" s="43"/>
      <c r="T37" s="43"/>
      <c r="U37" s="43"/>
      <c r="V37" s="43"/>
      <c r="W37" s="43"/>
      <c r="X37" s="43"/>
      <c r="Y37" s="43"/>
      <c r="Z37" s="43"/>
      <c r="AA37" s="43"/>
      <c r="AB37" s="43"/>
      <c r="AC37" s="43"/>
      <c r="AD37" s="43"/>
      <c r="AE37" s="43"/>
      <c r="AF37" s="43"/>
    </row>
    <row r="38" customFormat="false" ht="45" hidden="false" customHeight="true" outlineLevel="0" collapsed="false">
      <c r="A38" s="37"/>
      <c r="B38" s="37"/>
      <c r="C38" s="42"/>
      <c r="D38" s="37"/>
      <c r="E38" s="37"/>
      <c r="F38" s="38"/>
      <c r="G38" s="38"/>
      <c r="H38" s="38"/>
      <c r="I38" s="43"/>
      <c r="J38" s="43"/>
      <c r="K38" s="43"/>
      <c r="L38" s="43"/>
      <c r="M38" s="43"/>
      <c r="N38" s="43"/>
      <c r="O38" s="43"/>
      <c r="P38" s="43"/>
      <c r="Q38" s="43"/>
      <c r="R38" s="43"/>
      <c r="S38" s="43"/>
      <c r="T38" s="43"/>
      <c r="U38" s="43"/>
      <c r="V38" s="43"/>
      <c r="W38" s="43"/>
      <c r="X38" s="43"/>
      <c r="Y38" s="43"/>
      <c r="Z38" s="43"/>
      <c r="AA38" s="43"/>
      <c r="AB38" s="43"/>
      <c r="AC38" s="43"/>
      <c r="AD38" s="43"/>
      <c r="AE38" s="43"/>
      <c r="AF38" s="43"/>
    </row>
    <row r="39" customFormat="false" ht="47.25" hidden="false" customHeight="true" outlineLevel="0" collapsed="false">
      <c r="A39" s="37"/>
      <c r="B39" s="37"/>
      <c r="C39" s="42"/>
      <c r="D39" s="37"/>
      <c r="E39" s="37"/>
      <c r="F39" s="38"/>
      <c r="G39" s="38"/>
      <c r="H39" s="38"/>
      <c r="I39" s="43"/>
      <c r="J39" s="43"/>
      <c r="K39" s="43"/>
      <c r="L39" s="43"/>
      <c r="M39" s="43"/>
      <c r="N39" s="43"/>
      <c r="O39" s="43"/>
      <c r="P39" s="43"/>
      <c r="Q39" s="43"/>
      <c r="R39" s="43"/>
      <c r="S39" s="43"/>
      <c r="T39" s="43"/>
      <c r="U39" s="43"/>
      <c r="V39" s="43"/>
      <c r="W39" s="43"/>
      <c r="X39" s="43"/>
      <c r="Y39" s="43"/>
      <c r="Z39" s="43"/>
      <c r="AA39" s="43"/>
      <c r="AB39" s="43"/>
      <c r="AC39" s="43"/>
      <c r="AD39" s="43"/>
      <c r="AE39" s="43"/>
      <c r="AF39" s="43"/>
    </row>
    <row r="40" customFormat="false" ht="45" hidden="false" customHeight="true" outlineLevel="0" collapsed="false">
      <c r="A40" s="37"/>
      <c r="B40" s="37"/>
      <c r="C40" s="42"/>
      <c r="D40" s="37"/>
      <c r="E40" s="37"/>
      <c r="F40" s="38"/>
      <c r="G40" s="38"/>
      <c r="H40" s="38"/>
      <c r="I40" s="43"/>
      <c r="J40" s="43"/>
      <c r="K40" s="43"/>
      <c r="L40" s="43"/>
      <c r="M40" s="43"/>
      <c r="N40" s="43"/>
      <c r="O40" s="43"/>
      <c r="P40" s="43"/>
      <c r="Q40" s="43"/>
      <c r="R40" s="43"/>
      <c r="S40" s="43"/>
      <c r="T40" s="43"/>
      <c r="U40" s="43"/>
      <c r="V40" s="43"/>
      <c r="W40" s="43"/>
      <c r="X40" s="43"/>
      <c r="Y40" s="43"/>
      <c r="Z40" s="43"/>
      <c r="AA40" s="43"/>
      <c r="AB40" s="43"/>
      <c r="AC40" s="43"/>
      <c r="AD40" s="43"/>
      <c r="AE40" s="43"/>
      <c r="AF40" s="43"/>
    </row>
    <row r="41" customFormat="false" ht="45" hidden="false" customHeight="true" outlineLevel="0" collapsed="false">
      <c r="A41" s="37"/>
      <c r="B41" s="37"/>
      <c r="C41" s="42"/>
      <c r="D41" s="37"/>
      <c r="E41" s="37"/>
      <c r="F41" s="38"/>
      <c r="G41" s="38"/>
      <c r="H41" s="38"/>
      <c r="I41" s="43"/>
      <c r="J41" s="43"/>
      <c r="K41" s="43"/>
      <c r="L41" s="43"/>
      <c r="M41" s="43"/>
      <c r="N41" s="43"/>
      <c r="O41" s="43"/>
      <c r="P41" s="43"/>
      <c r="Q41" s="43"/>
      <c r="R41" s="43"/>
      <c r="S41" s="43"/>
      <c r="T41" s="43"/>
      <c r="U41" s="43"/>
      <c r="V41" s="43"/>
      <c r="W41" s="43"/>
      <c r="X41" s="43"/>
      <c r="Y41" s="43"/>
      <c r="Z41" s="43"/>
      <c r="AA41" s="43"/>
      <c r="AB41" s="43"/>
      <c r="AC41" s="43"/>
      <c r="AD41" s="43"/>
      <c r="AE41" s="43"/>
      <c r="AF41" s="43"/>
    </row>
    <row r="42" customFormat="false" ht="53.25" hidden="false" customHeight="true" outlineLevel="0" collapsed="false">
      <c r="A42" s="37"/>
      <c r="B42" s="37"/>
      <c r="C42" s="42"/>
      <c r="D42" s="37"/>
      <c r="E42" s="37"/>
      <c r="F42" s="38"/>
      <c r="G42" s="38"/>
      <c r="H42" s="38"/>
      <c r="I42" s="43"/>
      <c r="J42" s="43"/>
      <c r="K42" s="43"/>
      <c r="L42" s="43"/>
      <c r="M42" s="43"/>
      <c r="N42" s="43"/>
      <c r="O42" s="43"/>
      <c r="P42" s="43"/>
      <c r="Q42" s="43"/>
      <c r="R42" s="43"/>
      <c r="S42" s="43"/>
      <c r="T42" s="43"/>
      <c r="U42" s="43"/>
      <c r="V42" s="43"/>
      <c r="W42" s="43"/>
      <c r="X42" s="43"/>
      <c r="Y42" s="43"/>
      <c r="Z42" s="43"/>
      <c r="AA42" s="43"/>
      <c r="AB42" s="43"/>
      <c r="AC42" s="43"/>
      <c r="AD42" s="43"/>
      <c r="AE42" s="43"/>
      <c r="AF42" s="43"/>
    </row>
    <row r="43" customFormat="false" ht="50.25" hidden="false" customHeight="true" outlineLevel="0" collapsed="false">
      <c r="A43" s="37"/>
      <c r="B43" s="37"/>
      <c r="C43" s="42"/>
      <c r="D43" s="37"/>
      <c r="E43" s="37"/>
      <c r="F43" s="38"/>
      <c r="G43" s="38"/>
      <c r="H43" s="38"/>
      <c r="I43" s="43"/>
      <c r="J43" s="43"/>
      <c r="K43" s="43"/>
      <c r="L43" s="43"/>
      <c r="M43" s="43"/>
      <c r="N43" s="43"/>
      <c r="O43" s="43"/>
      <c r="P43" s="43"/>
      <c r="Q43" s="43"/>
      <c r="R43" s="43"/>
      <c r="S43" s="43"/>
      <c r="T43" s="43"/>
      <c r="U43" s="43"/>
      <c r="V43" s="43"/>
      <c r="W43" s="43"/>
      <c r="X43" s="43"/>
      <c r="Y43" s="43"/>
      <c r="Z43" s="43"/>
      <c r="AA43" s="43"/>
      <c r="AB43" s="43"/>
      <c r="AC43" s="43"/>
      <c r="AD43" s="43"/>
      <c r="AE43" s="43"/>
      <c r="AF43" s="43"/>
    </row>
    <row r="44" customFormat="false" ht="52.5" hidden="false" customHeight="true" outlineLevel="0" collapsed="false">
      <c r="A44" s="37"/>
      <c r="B44" s="37"/>
      <c r="C44" s="42"/>
      <c r="D44" s="37"/>
      <c r="E44" s="37"/>
      <c r="F44" s="38"/>
      <c r="G44" s="38"/>
      <c r="H44" s="38"/>
      <c r="I44" s="43"/>
      <c r="J44" s="43"/>
      <c r="K44" s="43"/>
      <c r="L44" s="43"/>
      <c r="M44" s="43"/>
      <c r="N44" s="43"/>
      <c r="O44" s="43"/>
      <c r="P44" s="43"/>
      <c r="Q44" s="43"/>
      <c r="R44" s="43"/>
      <c r="S44" s="43"/>
      <c r="T44" s="43"/>
      <c r="U44" s="43"/>
      <c r="V44" s="43"/>
      <c r="W44" s="43"/>
      <c r="X44" s="43"/>
      <c r="Y44" s="43"/>
      <c r="Z44" s="43"/>
      <c r="AA44" s="43"/>
      <c r="AB44" s="43"/>
      <c r="AC44" s="43"/>
      <c r="AD44" s="43"/>
      <c r="AE44" s="43"/>
      <c r="AF44" s="43"/>
    </row>
    <row r="45" customFormat="false" ht="48" hidden="false" customHeight="true" outlineLevel="0" collapsed="false">
      <c r="A45" s="37"/>
      <c r="B45" s="37"/>
      <c r="C45" s="42"/>
      <c r="D45" s="37"/>
      <c r="E45" s="37"/>
      <c r="F45" s="38"/>
      <c r="G45" s="38"/>
      <c r="H45" s="38"/>
      <c r="I45" s="43"/>
      <c r="J45" s="43"/>
      <c r="K45" s="43"/>
      <c r="L45" s="43"/>
      <c r="M45" s="43"/>
      <c r="N45" s="43"/>
      <c r="O45" s="43"/>
      <c r="P45" s="43"/>
      <c r="Q45" s="43"/>
      <c r="R45" s="43"/>
      <c r="S45" s="43"/>
      <c r="T45" s="43"/>
      <c r="U45" s="43"/>
      <c r="V45" s="43"/>
      <c r="W45" s="43"/>
      <c r="X45" s="43"/>
      <c r="Y45" s="43"/>
      <c r="Z45" s="43"/>
      <c r="AA45" s="43"/>
      <c r="AB45" s="43"/>
      <c r="AC45" s="43"/>
      <c r="AD45" s="43"/>
      <c r="AE45" s="43"/>
      <c r="AF45" s="43"/>
    </row>
    <row r="46" customFormat="false" ht="51" hidden="false" customHeight="true" outlineLevel="0" collapsed="false">
      <c r="A46" s="37"/>
      <c r="B46" s="37"/>
      <c r="C46" s="42"/>
      <c r="D46" s="37"/>
      <c r="E46" s="37"/>
      <c r="F46" s="38"/>
      <c r="G46" s="38"/>
      <c r="H46" s="38"/>
      <c r="I46" s="43"/>
      <c r="J46" s="43"/>
      <c r="K46" s="43"/>
      <c r="L46" s="43"/>
      <c r="M46" s="43"/>
      <c r="N46" s="43"/>
      <c r="O46" s="43"/>
      <c r="P46" s="43"/>
      <c r="Q46" s="43"/>
      <c r="R46" s="43"/>
      <c r="S46" s="43"/>
      <c r="T46" s="43"/>
      <c r="U46" s="43"/>
      <c r="V46" s="43"/>
      <c r="W46" s="43"/>
      <c r="X46" s="43"/>
      <c r="Y46" s="43"/>
      <c r="Z46" s="43"/>
      <c r="AA46" s="43"/>
      <c r="AB46" s="43"/>
      <c r="AC46" s="43"/>
      <c r="AD46" s="43"/>
      <c r="AE46" s="43"/>
      <c r="AF46" s="43"/>
    </row>
    <row r="47" customFormat="false" ht="48" hidden="false" customHeight="true" outlineLevel="0" collapsed="false">
      <c r="A47" s="37"/>
      <c r="B47" s="37"/>
      <c r="C47" s="42"/>
      <c r="D47" s="37"/>
      <c r="E47" s="37"/>
      <c r="F47" s="38"/>
      <c r="G47" s="38"/>
      <c r="H47" s="38"/>
      <c r="I47" s="43"/>
      <c r="J47" s="43"/>
      <c r="K47" s="43"/>
      <c r="L47" s="43"/>
      <c r="M47" s="43"/>
      <c r="N47" s="43"/>
      <c r="O47" s="43"/>
      <c r="P47" s="43"/>
      <c r="Q47" s="43"/>
      <c r="R47" s="43"/>
      <c r="S47" s="43"/>
      <c r="T47" s="43"/>
      <c r="U47" s="43"/>
      <c r="V47" s="43"/>
      <c r="W47" s="43"/>
      <c r="X47" s="43"/>
      <c r="Y47" s="43"/>
      <c r="Z47" s="43"/>
      <c r="AA47" s="43"/>
      <c r="AB47" s="43"/>
      <c r="AC47" s="43"/>
      <c r="AD47" s="43"/>
      <c r="AE47" s="43"/>
      <c r="AF47" s="43"/>
    </row>
    <row r="48" customFormat="false" ht="39.75" hidden="false" customHeight="true" outlineLevel="0" collapsed="false">
      <c r="A48" s="37"/>
      <c r="B48" s="44"/>
      <c r="C48" s="45"/>
      <c r="D48" s="46"/>
      <c r="E48" s="37"/>
      <c r="F48" s="38"/>
      <c r="G48" s="38"/>
      <c r="H48" s="38"/>
      <c r="I48" s="38"/>
      <c r="J48" s="38"/>
      <c r="K48" s="38"/>
      <c r="L48" s="38"/>
      <c r="M48" s="38"/>
      <c r="N48" s="38"/>
      <c r="O48" s="38"/>
      <c r="P48" s="38"/>
      <c r="Q48" s="38"/>
      <c r="R48" s="38"/>
      <c r="S48" s="38"/>
      <c r="T48" s="38"/>
      <c r="U48" s="38"/>
      <c r="V48" s="38"/>
      <c r="W48" s="38"/>
      <c r="X48" s="38"/>
      <c r="Y48" s="38"/>
      <c r="Z48" s="38"/>
      <c r="AA48" s="38"/>
      <c r="AB48" s="38"/>
      <c r="AC48" s="38"/>
      <c r="AD48" s="38"/>
      <c r="AE48" s="38"/>
      <c r="AF48" s="38"/>
    </row>
    <row r="49" customFormat="false" ht="40.5" hidden="false" customHeight="true" outlineLevel="0" collapsed="false">
      <c r="A49" s="37"/>
      <c r="B49" s="47"/>
      <c r="C49" s="45"/>
      <c r="D49" s="46"/>
      <c r="E49" s="37"/>
      <c r="F49" s="38"/>
      <c r="G49" s="38"/>
      <c r="H49" s="38"/>
      <c r="I49" s="38"/>
      <c r="J49" s="38"/>
      <c r="K49" s="38"/>
      <c r="L49" s="38"/>
      <c r="M49" s="38"/>
      <c r="N49" s="38"/>
      <c r="O49" s="38"/>
      <c r="P49" s="38"/>
      <c r="Q49" s="38"/>
      <c r="R49" s="38"/>
      <c r="S49" s="38"/>
      <c r="T49" s="38"/>
      <c r="U49" s="38"/>
      <c r="V49" s="38"/>
      <c r="W49" s="38"/>
      <c r="X49" s="38"/>
      <c r="Y49" s="38"/>
      <c r="Z49" s="38"/>
      <c r="AA49" s="38"/>
      <c r="AB49" s="38"/>
      <c r="AC49" s="38"/>
      <c r="AD49" s="38"/>
      <c r="AE49" s="38"/>
      <c r="AF49" s="38"/>
    </row>
    <row r="50" customFormat="false" ht="39" hidden="false" customHeight="true" outlineLevel="0" collapsed="false">
      <c r="A50" s="37"/>
      <c r="B50" s="44"/>
      <c r="C50" s="45"/>
      <c r="D50" s="46"/>
      <c r="E50" s="37"/>
      <c r="F50" s="38"/>
      <c r="G50" s="38"/>
      <c r="H50" s="38"/>
      <c r="I50" s="38"/>
      <c r="J50" s="38"/>
      <c r="K50" s="38"/>
      <c r="L50" s="38"/>
      <c r="M50" s="38"/>
      <c r="N50" s="38"/>
      <c r="O50" s="38"/>
      <c r="P50" s="38"/>
      <c r="Q50" s="38"/>
      <c r="R50" s="38"/>
      <c r="S50" s="38"/>
      <c r="T50" s="38"/>
      <c r="U50" s="38"/>
      <c r="V50" s="38"/>
      <c r="W50" s="38"/>
      <c r="X50" s="38"/>
      <c r="Y50" s="38"/>
      <c r="Z50" s="38"/>
      <c r="AA50" s="38"/>
      <c r="AB50" s="38"/>
      <c r="AC50" s="38"/>
      <c r="AD50" s="38"/>
      <c r="AE50" s="38"/>
      <c r="AF50" s="38"/>
    </row>
    <row r="51" customFormat="false" ht="33.75" hidden="false" customHeight="true" outlineLevel="0" collapsed="false">
      <c r="A51" s="37"/>
      <c r="B51" s="44"/>
      <c r="C51" s="45"/>
      <c r="D51" s="46"/>
      <c r="E51" s="37"/>
      <c r="F51" s="38"/>
      <c r="G51" s="38"/>
      <c r="H51" s="38"/>
      <c r="I51" s="38"/>
      <c r="J51" s="38"/>
      <c r="K51" s="38"/>
      <c r="L51" s="38"/>
      <c r="M51" s="38"/>
      <c r="N51" s="38"/>
      <c r="O51" s="38"/>
      <c r="P51" s="38"/>
      <c r="Q51" s="38"/>
      <c r="R51" s="38"/>
      <c r="S51" s="38"/>
      <c r="T51" s="38"/>
      <c r="U51" s="38"/>
      <c r="V51" s="38"/>
      <c r="W51" s="38"/>
      <c r="X51" s="38"/>
      <c r="Y51" s="38"/>
      <c r="Z51" s="38"/>
      <c r="AA51" s="38"/>
      <c r="AB51" s="38"/>
      <c r="AC51" s="38"/>
      <c r="AD51" s="38"/>
      <c r="AE51" s="38"/>
      <c r="AF51" s="38"/>
    </row>
    <row r="52" customFormat="false" ht="39.75" hidden="false" customHeight="true" outlineLevel="0" collapsed="false">
      <c r="A52" s="37"/>
      <c r="B52" s="47"/>
      <c r="C52" s="45"/>
      <c r="D52" s="46"/>
      <c r="E52" s="37"/>
      <c r="F52" s="38"/>
      <c r="G52" s="38"/>
      <c r="H52" s="38"/>
      <c r="I52" s="38"/>
      <c r="J52" s="38"/>
      <c r="K52" s="38"/>
      <c r="L52" s="38"/>
      <c r="M52" s="38"/>
      <c r="N52" s="38"/>
      <c r="O52" s="38"/>
      <c r="P52" s="38"/>
      <c r="Q52" s="38"/>
      <c r="R52" s="38"/>
      <c r="S52" s="38"/>
      <c r="T52" s="38"/>
      <c r="U52" s="38"/>
      <c r="V52" s="38"/>
      <c r="W52" s="38"/>
      <c r="X52" s="38"/>
      <c r="Y52" s="38"/>
      <c r="Z52" s="38"/>
      <c r="AA52" s="38"/>
      <c r="AB52" s="38"/>
      <c r="AC52" s="38"/>
      <c r="AD52" s="38"/>
      <c r="AE52" s="38"/>
      <c r="AF52" s="38"/>
    </row>
    <row r="53" customFormat="false" ht="45" hidden="false" customHeight="true" outlineLevel="0" collapsed="false">
      <c r="A53" s="37"/>
      <c r="B53" s="44"/>
      <c r="C53" s="45"/>
      <c r="D53" s="46"/>
      <c r="E53" s="37"/>
      <c r="F53" s="38"/>
      <c r="G53" s="38"/>
      <c r="H53" s="38"/>
      <c r="I53" s="38"/>
      <c r="J53" s="38"/>
      <c r="K53" s="38"/>
      <c r="L53" s="38"/>
      <c r="M53" s="38"/>
      <c r="N53" s="38"/>
      <c r="O53" s="38"/>
      <c r="P53" s="38"/>
      <c r="Q53" s="38"/>
      <c r="R53" s="38"/>
      <c r="S53" s="38"/>
      <c r="T53" s="38"/>
      <c r="U53" s="38"/>
      <c r="V53" s="38"/>
      <c r="W53" s="38"/>
      <c r="X53" s="38"/>
      <c r="Y53" s="38"/>
      <c r="Z53" s="38"/>
      <c r="AA53" s="38"/>
      <c r="AB53" s="38"/>
      <c r="AC53" s="38"/>
      <c r="AD53" s="38"/>
      <c r="AE53" s="38"/>
      <c r="AF53" s="38"/>
    </row>
    <row r="54" customFormat="false" ht="42.75" hidden="false" customHeight="true" outlineLevel="0" collapsed="false">
      <c r="A54" s="37"/>
      <c r="B54" s="44"/>
      <c r="C54" s="45"/>
      <c r="D54" s="46"/>
      <c r="E54" s="37"/>
      <c r="F54" s="38"/>
      <c r="G54" s="38"/>
      <c r="H54" s="38"/>
      <c r="I54" s="38"/>
      <c r="J54" s="38"/>
      <c r="K54" s="38"/>
      <c r="L54" s="38"/>
      <c r="M54" s="38"/>
      <c r="N54" s="38"/>
      <c r="O54" s="38"/>
      <c r="P54" s="38"/>
      <c r="Q54" s="38"/>
      <c r="R54" s="38"/>
      <c r="S54" s="38"/>
      <c r="T54" s="38"/>
      <c r="U54" s="38"/>
      <c r="V54" s="38"/>
      <c r="W54" s="38"/>
      <c r="X54" s="38"/>
      <c r="Y54" s="38"/>
      <c r="Z54" s="38"/>
      <c r="AA54" s="38"/>
      <c r="AB54" s="38"/>
      <c r="AC54" s="38"/>
      <c r="AD54" s="38"/>
      <c r="AE54" s="38"/>
      <c r="AF54" s="38"/>
    </row>
    <row r="55" customFormat="false" ht="38.25" hidden="false" customHeight="true" outlineLevel="0" collapsed="false">
      <c r="A55" s="37"/>
      <c r="B55" s="47"/>
      <c r="C55" s="45"/>
      <c r="D55" s="46"/>
      <c r="E55" s="37"/>
      <c r="F55" s="38"/>
      <c r="G55" s="38"/>
      <c r="H55" s="38"/>
      <c r="I55" s="38"/>
      <c r="J55" s="38"/>
      <c r="K55" s="38"/>
      <c r="L55" s="38"/>
      <c r="M55" s="38"/>
      <c r="N55" s="38"/>
      <c r="O55" s="38"/>
      <c r="P55" s="38"/>
      <c r="Q55" s="38"/>
      <c r="R55" s="38"/>
      <c r="S55" s="38"/>
      <c r="T55" s="38"/>
      <c r="U55" s="38"/>
      <c r="V55" s="38"/>
      <c r="W55" s="38"/>
      <c r="X55" s="38"/>
      <c r="Y55" s="38"/>
      <c r="Z55" s="38"/>
      <c r="AA55" s="38"/>
      <c r="AB55" s="38"/>
      <c r="AC55" s="38"/>
      <c r="AD55" s="38"/>
      <c r="AE55" s="38"/>
      <c r="AF55" s="38"/>
    </row>
    <row r="56" customFormat="false" ht="38.25" hidden="false" customHeight="true" outlineLevel="0" collapsed="false">
      <c r="A56" s="37"/>
      <c r="B56" s="44"/>
      <c r="C56" s="45"/>
      <c r="D56" s="46"/>
      <c r="E56" s="37"/>
      <c r="F56" s="38"/>
      <c r="G56" s="38"/>
      <c r="H56" s="38"/>
      <c r="I56" s="38"/>
      <c r="J56" s="38"/>
      <c r="K56" s="38"/>
      <c r="L56" s="38"/>
      <c r="M56" s="38"/>
      <c r="N56" s="38"/>
      <c r="O56" s="38"/>
      <c r="P56" s="38"/>
      <c r="Q56" s="38"/>
      <c r="R56" s="38"/>
      <c r="S56" s="38"/>
      <c r="T56" s="38"/>
      <c r="U56" s="38"/>
      <c r="V56" s="38"/>
      <c r="W56" s="38"/>
      <c r="X56" s="38"/>
      <c r="Y56" s="38"/>
      <c r="Z56" s="38"/>
      <c r="AA56" s="38"/>
      <c r="AB56" s="38"/>
      <c r="AC56" s="38"/>
      <c r="AD56" s="38"/>
      <c r="AE56" s="38"/>
      <c r="AF56" s="38"/>
    </row>
    <row r="57" customFormat="false" ht="39" hidden="false" customHeight="true" outlineLevel="0" collapsed="false">
      <c r="A57" s="37"/>
      <c r="B57" s="44"/>
      <c r="C57" s="45"/>
      <c r="D57" s="46"/>
      <c r="E57" s="37"/>
      <c r="F57" s="38"/>
      <c r="G57" s="38"/>
      <c r="H57" s="38"/>
      <c r="I57" s="38"/>
      <c r="J57" s="38"/>
      <c r="K57" s="38"/>
      <c r="L57" s="38"/>
      <c r="M57" s="38"/>
      <c r="N57" s="38"/>
      <c r="O57" s="38"/>
      <c r="P57" s="38"/>
      <c r="Q57" s="38"/>
      <c r="R57" s="38"/>
      <c r="S57" s="38"/>
      <c r="T57" s="38"/>
      <c r="U57" s="38"/>
      <c r="V57" s="38"/>
      <c r="W57" s="38"/>
      <c r="X57" s="38"/>
      <c r="Y57" s="38"/>
      <c r="Z57" s="38"/>
      <c r="AA57" s="38"/>
      <c r="AB57" s="38"/>
      <c r="AC57" s="38"/>
      <c r="AD57" s="38"/>
      <c r="AE57" s="38"/>
      <c r="AF57" s="38"/>
    </row>
    <row r="58" customFormat="false" ht="39.75" hidden="false" customHeight="true" outlineLevel="0" collapsed="false">
      <c r="A58" s="37"/>
      <c r="B58" s="44"/>
      <c r="C58" s="45"/>
      <c r="D58" s="46"/>
      <c r="E58" s="37"/>
      <c r="F58" s="38"/>
      <c r="G58" s="38"/>
      <c r="H58" s="38"/>
      <c r="I58" s="38"/>
      <c r="J58" s="38"/>
      <c r="K58" s="38"/>
      <c r="L58" s="38"/>
      <c r="M58" s="38"/>
      <c r="N58" s="38"/>
      <c r="O58" s="38"/>
      <c r="P58" s="38"/>
      <c r="Q58" s="38"/>
      <c r="R58" s="38"/>
      <c r="S58" s="38"/>
      <c r="T58" s="38"/>
      <c r="U58" s="38"/>
      <c r="V58" s="38"/>
      <c r="W58" s="38"/>
      <c r="X58" s="38"/>
      <c r="Y58" s="38"/>
      <c r="Z58" s="38"/>
      <c r="AA58" s="38"/>
      <c r="AB58" s="38"/>
      <c r="AC58" s="38"/>
      <c r="AD58" s="38"/>
      <c r="AE58" s="38"/>
      <c r="AF58" s="38"/>
    </row>
    <row r="59" customFormat="false" ht="39" hidden="false" customHeight="true" outlineLevel="0" collapsed="false">
      <c r="A59" s="37"/>
      <c r="B59" s="44"/>
      <c r="C59" s="45"/>
      <c r="D59" s="46"/>
      <c r="E59" s="37"/>
      <c r="F59" s="38"/>
      <c r="G59" s="38"/>
      <c r="H59" s="38"/>
      <c r="I59" s="38"/>
      <c r="J59" s="38"/>
      <c r="K59" s="38"/>
      <c r="L59" s="38"/>
      <c r="M59" s="38"/>
      <c r="N59" s="38"/>
      <c r="O59" s="38"/>
      <c r="P59" s="38"/>
      <c r="Q59" s="38"/>
      <c r="R59" s="38"/>
      <c r="S59" s="38"/>
      <c r="T59" s="38"/>
      <c r="U59" s="38"/>
      <c r="V59" s="38"/>
      <c r="W59" s="38"/>
      <c r="X59" s="38"/>
      <c r="Y59" s="38"/>
      <c r="Z59" s="38"/>
      <c r="AA59" s="38"/>
      <c r="AB59" s="38"/>
      <c r="AC59" s="38"/>
      <c r="AD59" s="38"/>
      <c r="AE59" s="38"/>
      <c r="AF59" s="38"/>
    </row>
    <row r="60" customFormat="false" ht="42" hidden="false" customHeight="true" outlineLevel="0" collapsed="false">
      <c r="A60" s="37"/>
      <c r="B60" s="44"/>
      <c r="C60" s="45"/>
      <c r="D60" s="46"/>
      <c r="E60" s="37"/>
      <c r="F60" s="38"/>
      <c r="G60" s="38"/>
      <c r="H60" s="38"/>
      <c r="I60" s="38"/>
      <c r="J60" s="38"/>
      <c r="K60" s="38"/>
      <c r="L60" s="38"/>
      <c r="M60" s="38"/>
      <c r="N60" s="38"/>
      <c r="O60" s="38"/>
      <c r="P60" s="38"/>
      <c r="Q60" s="38"/>
      <c r="R60" s="38"/>
      <c r="S60" s="38"/>
      <c r="T60" s="38"/>
      <c r="U60" s="38"/>
      <c r="V60" s="38"/>
      <c r="W60" s="38"/>
      <c r="X60" s="38"/>
      <c r="Y60" s="38"/>
      <c r="Z60" s="38"/>
      <c r="AA60" s="38"/>
      <c r="AB60" s="38"/>
      <c r="AC60" s="38"/>
      <c r="AD60" s="38"/>
      <c r="AE60" s="38"/>
      <c r="AF60" s="38"/>
    </row>
    <row r="61" customFormat="false" ht="39" hidden="false" customHeight="true" outlineLevel="0" collapsed="false">
      <c r="A61" s="37"/>
      <c r="B61" s="44"/>
      <c r="C61" s="45"/>
      <c r="D61" s="46"/>
      <c r="E61" s="37"/>
      <c r="F61" s="38"/>
      <c r="G61" s="38"/>
      <c r="H61" s="38"/>
      <c r="I61" s="38"/>
      <c r="J61" s="38"/>
      <c r="K61" s="38"/>
      <c r="L61" s="38"/>
      <c r="M61" s="38"/>
      <c r="N61" s="38"/>
      <c r="O61" s="38"/>
      <c r="P61" s="38"/>
      <c r="Q61" s="38"/>
      <c r="R61" s="38"/>
      <c r="S61" s="38"/>
      <c r="T61" s="38"/>
      <c r="U61" s="38"/>
      <c r="V61" s="38"/>
      <c r="W61" s="38"/>
      <c r="X61" s="38"/>
      <c r="Y61" s="38"/>
      <c r="Z61" s="38"/>
      <c r="AA61" s="38"/>
      <c r="AB61" s="38"/>
      <c r="AC61" s="38"/>
      <c r="AD61" s="38"/>
      <c r="AE61" s="38"/>
      <c r="AF61" s="38"/>
    </row>
    <row r="62" customFormat="false" ht="36" hidden="false" customHeight="true" outlineLevel="0" collapsed="false">
      <c r="A62" s="10"/>
      <c r="B62" s="37"/>
      <c r="C62" s="45"/>
      <c r="D62" s="10"/>
      <c r="E62" s="37"/>
      <c r="F62" s="38"/>
      <c r="G62" s="38"/>
      <c r="H62" s="38"/>
      <c r="I62" s="38"/>
      <c r="J62" s="38"/>
      <c r="K62" s="38"/>
      <c r="L62" s="38"/>
      <c r="M62" s="38"/>
      <c r="N62" s="38"/>
      <c r="O62" s="38"/>
      <c r="P62" s="38"/>
      <c r="Q62" s="38"/>
      <c r="R62" s="38"/>
      <c r="S62" s="38"/>
      <c r="T62" s="38"/>
      <c r="U62" s="38"/>
      <c r="V62" s="38"/>
      <c r="W62" s="38"/>
      <c r="X62" s="38"/>
      <c r="Y62" s="38"/>
      <c r="Z62" s="38"/>
      <c r="AA62" s="38"/>
      <c r="AB62" s="38"/>
      <c r="AC62" s="38"/>
      <c r="AD62" s="38"/>
      <c r="AE62" s="38"/>
      <c r="AF62" s="38"/>
    </row>
    <row r="63" customFormat="false" ht="36" hidden="false" customHeight="true" outlineLevel="0" collapsed="false">
      <c r="A63" s="10"/>
      <c r="B63" s="48"/>
      <c r="C63" s="45"/>
      <c r="D63" s="10"/>
      <c r="E63" s="37"/>
      <c r="F63" s="38"/>
      <c r="G63" s="38"/>
      <c r="H63" s="38"/>
      <c r="I63" s="38"/>
      <c r="J63" s="38"/>
      <c r="K63" s="38"/>
      <c r="L63" s="38"/>
      <c r="M63" s="38"/>
      <c r="N63" s="38"/>
      <c r="O63" s="38"/>
      <c r="P63" s="38"/>
      <c r="Q63" s="38"/>
      <c r="R63" s="38"/>
      <c r="S63" s="38"/>
      <c r="T63" s="38"/>
      <c r="U63" s="38"/>
      <c r="V63" s="38"/>
      <c r="W63" s="38"/>
      <c r="X63" s="38"/>
      <c r="Y63" s="38"/>
      <c r="Z63" s="38"/>
      <c r="AA63" s="38"/>
      <c r="AB63" s="38"/>
      <c r="AC63" s="38"/>
      <c r="AD63" s="38"/>
      <c r="AE63" s="38"/>
      <c r="AF63" s="38"/>
    </row>
    <row r="64" customFormat="false" ht="36" hidden="false" customHeight="true" outlineLevel="0" collapsed="false">
      <c r="A64" s="10"/>
      <c r="B64" s="48"/>
      <c r="C64" s="45"/>
      <c r="D64" s="10"/>
      <c r="E64" s="37"/>
      <c r="F64" s="38"/>
      <c r="G64" s="38"/>
      <c r="H64" s="38"/>
      <c r="I64" s="38"/>
      <c r="J64" s="38"/>
      <c r="K64" s="38"/>
      <c r="L64" s="38"/>
      <c r="M64" s="38"/>
      <c r="N64" s="38"/>
      <c r="O64" s="38"/>
      <c r="P64" s="38"/>
      <c r="Q64" s="38"/>
      <c r="R64" s="38"/>
      <c r="S64" s="38"/>
      <c r="T64" s="38"/>
      <c r="U64" s="38"/>
      <c r="V64" s="38"/>
      <c r="W64" s="38"/>
      <c r="X64" s="38"/>
      <c r="Y64" s="38"/>
      <c r="Z64" s="38"/>
      <c r="AA64" s="38"/>
      <c r="AB64" s="38"/>
      <c r="AC64" s="38"/>
      <c r="AD64" s="38"/>
      <c r="AE64" s="38"/>
      <c r="AF64" s="38"/>
    </row>
    <row r="65" customFormat="false" ht="32.25" hidden="false" customHeight="true" outlineLevel="0" collapsed="false">
      <c r="A65" s="10"/>
      <c r="B65" s="48"/>
      <c r="C65" s="45"/>
      <c r="D65" s="10"/>
      <c r="E65" s="37"/>
      <c r="F65" s="38"/>
      <c r="G65" s="38"/>
      <c r="H65" s="38"/>
      <c r="I65" s="38"/>
      <c r="J65" s="38"/>
      <c r="K65" s="38"/>
      <c r="L65" s="38"/>
      <c r="M65" s="38"/>
      <c r="N65" s="38"/>
      <c r="O65" s="38"/>
      <c r="P65" s="38"/>
      <c r="Q65" s="38"/>
      <c r="R65" s="38"/>
      <c r="S65" s="38"/>
      <c r="T65" s="38"/>
      <c r="U65" s="38"/>
      <c r="V65" s="38"/>
      <c r="W65" s="38"/>
      <c r="X65" s="38"/>
      <c r="Y65" s="38"/>
      <c r="Z65" s="38"/>
      <c r="AA65" s="38"/>
      <c r="AB65" s="38"/>
      <c r="AC65" s="38"/>
      <c r="AD65" s="38"/>
      <c r="AE65" s="38"/>
      <c r="AF65" s="38"/>
    </row>
    <row r="66" customFormat="false" ht="33" hidden="false" customHeight="true" outlineLevel="0" collapsed="false">
      <c r="A66" s="10"/>
      <c r="B66" s="48"/>
      <c r="C66" s="45"/>
      <c r="D66" s="10"/>
      <c r="E66" s="37"/>
      <c r="F66" s="38"/>
      <c r="G66" s="38"/>
      <c r="H66" s="38"/>
      <c r="I66" s="38"/>
      <c r="J66" s="38"/>
      <c r="K66" s="38"/>
      <c r="L66" s="38"/>
      <c r="M66" s="38"/>
      <c r="N66" s="38"/>
      <c r="O66" s="38"/>
      <c r="P66" s="38"/>
      <c r="Q66" s="38"/>
      <c r="R66" s="38"/>
      <c r="S66" s="38"/>
      <c r="T66" s="38"/>
      <c r="U66" s="38"/>
      <c r="V66" s="38"/>
      <c r="W66" s="38"/>
      <c r="X66" s="38"/>
      <c r="Y66" s="38"/>
      <c r="Z66" s="38"/>
      <c r="AA66" s="38"/>
      <c r="AB66" s="38"/>
      <c r="AC66" s="38"/>
      <c r="AD66" s="38"/>
      <c r="AE66" s="38"/>
      <c r="AF66" s="38"/>
    </row>
    <row r="67" customFormat="false" ht="36" hidden="false" customHeight="true" outlineLevel="0" collapsed="false">
      <c r="A67" s="10"/>
      <c r="B67" s="48"/>
      <c r="C67" s="45"/>
      <c r="D67" s="10"/>
      <c r="E67" s="37"/>
      <c r="F67" s="38"/>
      <c r="G67" s="38"/>
      <c r="H67" s="38"/>
      <c r="I67" s="38"/>
      <c r="J67" s="38"/>
      <c r="K67" s="38"/>
      <c r="L67" s="38"/>
      <c r="M67" s="38"/>
      <c r="N67" s="38"/>
      <c r="O67" s="38"/>
      <c r="P67" s="38"/>
      <c r="Q67" s="38"/>
      <c r="R67" s="38"/>
      <c r="S67" s="38"/>
      <c r="T67" s="38"/>
      <c r="U67" s="38"/>
      <c r="V67" s="38"/>
      <c r="W67" s="38"/>
      <c r="X67" s="38"/>
      <c r="Y67" s="38"/>
      <c r="Z67" s="38"/>
      <c r="AA67" s="38"/>
      <c r="AB67" s="38"/>
      <c r="AC67" s="38"/>
      <c r="AD67" s="38"/>
      <c r="AE67" s="38"/>
      <c r="AF67" s="38"/>
    </row>
    <row r="68" customFormat="false" ht="38.25" hidden="false" customHeight="true" outlineLevel="0" collapsed="false">
      <c r="A68" s="10"/>
      <c r="B68" s="48"/>
      <c r="C68" s="45"/>
      <c r="D68" s="10"/>
      <c r="E68" s="37"/>
      <c r="F68" s="38"/>
      <c r="G68" s="38"/>
      <c r="H68" s="38"/>
      <c r="I68" s="38"/>
      <c r="J68" s="38"/>
      <c r="K68" s="38"/>
      <c r="L68" s="38"/>
      <c r="M68" s="38"/>
      <c r="N68" s="38"/>
      <c r="O68" s="38"/>
      <c r="P68" s="38"/>
      <c r="Q68" s="38"/>
      <c r="R68" s="38"/>
      <c r="S68" s="38"/>
      <c r="T68" s="38"/>
      <c r="U68" s="38"/>
      <c r="V68" s="38"/>
      <c r="W68" s="38"/>
      <c r="X68" s="38"/>
      <c r="Y68" s="38"/>
      <c r="Z68" s="38"/>
      <c r="AA68" s="38"/>
      <c r="AB68" s="38"/>
      <c r="AC68" s="38"/>
      <c r="AD68" s="38"/>
      <c r="AE68" s="38"/>
      <c r="AF68" s="38"/>
    </row>
    <row r="69" customFormat="false" ht="30" hidden="false" customHeight="true" outlineLevel="0" collapsed="false">
      <c r="A69" s="10"/>
      <c r="B69" s="48"/>
      <c r="C69" s="45"/>
      <c r="D69" s="10"/>
      <c r="E69" s="37"/>
      <c r="F69" s="38"/>
      <c r="G69" s="38"/>
      <c r="H69" s="38"/>
      <c r="I69" s="38"/>
      <c r="J69" s="38"/>
      <c r="K69" s="38"/>
      <c r="L69" s="38"/>
      <c r="M69" s="38"/>
      <c r="N69" s="38"/>
      <c r="O69" s="38"/>
      <c r="P69" s="38"/>
      <c r="Q69" s="38"/>
      <c r="R69" s="38"/>
      <c r="S69" s="38"/>
      <c r="T69" s="38"/>
      <c r="U69" s="38"/>
      <c r="V69" s="38"/>
      <c r="W69" s="38"/>
      <c r="X69" s="38"/>
      <c r="Y69" s="38"/>
      <c r="Z69" s="38"/>
      <c r="AA69" s="38"/>
      <c r="AB69" s="38"/>
      <c r="AC69" s="38"/>
      <c r="AD69" s="38"/>
      <c r="AE69" s="38"/>
      <c r="AF69" s="38"/>
    </row>
    <row r="70" customFormat="false" ht="33" hidden="false" customHeight="true" outlineLevel="0" collapsed="false">
      <c r="A70" s="10"/>
      <c r="B70" s="48"/>
      <c r="C70" s="45"/>
      <c r="D70" s="10"/>
      <c r="E70" s="37"/>
      <c r="F70" s="38"/>
      <c r="G70" s="38"/>
      <c r="H70" s="38"/>
      <c r="I70" s="38"/>
      <c r="J70" s="38"/>
      <c r="K70" s="38"/>
      <c r="L70" s="38"/>
      <c r="M70" s="38"/>
      <c r="N70" s="38"/>
      <c r="O70" s="38"/>
      <c r="P70" s="38"/>
      <c r="Q70" s="38"/>
      <c r="R70" s="38"/>
      <c r="S70" s="38"/>
      <c r="T70" s="38"/>
      <c r="U70" s="38"/>
      <c r="V70" s="38"/>
      <c r="W70" s="38"/>
      <c r="X70" s="38"/>
      <c r="Y70" s="38"/>
      <c r="Z70" s="38"/>
      <c r="AA70" s="38"/>
      <c r="AB70" s="38"/>
      <c r="AC70" s="38"/>
      <c r="AD70" s="38"/>
      <c r="AE70" s="38"/>
      <c r="AF70" s="38"/>
    </row>
    <row r="71" customFormat="false" ht="32.25" hidden="false" customHeight="true" outlineLevel="0" collapsed="false">
      <c r="A71" s="10"/>
      <c r="B71" s="48"/>
      <c r="C71" s="45"/>
      <c r="D71" s="10"/>
      <c r="E71" s="37"/>
      <c r="F71" s="38"/>
      <c r="G71" s="38"/>
      <c r="H71" s="38"/>
      <c r="I71" s="38"/>
      <c r="J71" s="38"/>
      <c r="K71" s="38"/>
      <c r="L71" s="38"/>
      <c r="M71" s="38"/>
      <c r="N71" s="38"/>
      <c r="O71" s="38"/>
      <c r="P71" s="38"/>
      <c r="Q71" s="38"/>
      <c r="R71" s="38"/>
      <c r="S71" s="38"/>
      <c r="T71" s="38"/>
      <c r="U71" s="38"/>
      <c r="V71" s="38"/>
      <c r="W71" s="38"/>
      <c r="X71" s="38"/>
      <c r="Y71" s="38"/>
      <c r="Z71" s="38"/>
      <c r="AA71" s="38"/>
      <c r="AB71" s="38"/>
      <c r="AC71" s="38"/>
      <c r="AD71" s="38"/>
      <c r="AE71" s="38"/>
      <c r="AF71" s="38"/>
    </row>
    <row r="72" customFormat="false" ht="33.75" hidden="false" customHeight="true" outlineLevel="0" collapsed="false">
      <c r="A72" s="10"/>
      <c r="B72" s="48"/>
      <c r="C72" s="45"/>
      <c r="D72" s="10"/>
      <c r="E72" s="37"/>
      <c r="F72" s="38"/>
      <c r="G72" s="38"/>
      <c r="H72" s="38"/>
      <c r="I72" s="38"/>
      <c r="J72" s="38"/>
      <c r="K72" s="38"/>
      <c r="L72" s="38"/>
      <c r="M72" s="38"/>
      <c r="N72" s="38"/>
      <c r="O72" s="38"/>
      <c r="P72" s="38"/>
      <c r="Q72" s="38"/>
      <c r="R72" s="38"/>
      <c r="S72" s="38"/>
      <c r="T72" s="38"/>
      <c r="U72" s="38"/>
      <c r="V72" s="38"/>
      <c r="W72" s="38"/>
      <c r="X72" s="38"/>
      <c r="Y72" s="38"/>
      <c r="Z72" s="38"/>
      <c r="AA72" s="38"/>
      <c r="AB72" s="38"/>
      <c r="AC72" s="38"/>
      <c r="AD72" s="38"/>
      <c r="AE72" s="38"/>
      <c r="AF72" s="38"/>
    </row>
    <row r="73" customFormat="false" ht="33" hidden="false" customHeight="true" outlineLevel="0" collapsed="false">
      <c r="A73" s="10"/>
      <c r="B73" s="48"/>
      <c r="C73" s="45"/>
      <c r="D73" s="10"/>
      <c r="E73" s="37"/>
      <c r="F73" s="38"/>
      <c r="G73" s="38"/>
      <c r="H73" s="38"/>
      <c r="I73" s="38"/>
      <c r="J73" s="38"/>
      <c r="K73" s="38"/>
      <c r="L73" s="38"/>
      <c r="M73" s="38"/>
      <c r="N73" s="38"/>
      <c r="O73" s="38"/>
      <c r="P73" s="38"/>
      <c r="Q73" s="38"/>
      <c r="R73" s="38"/>
      <c r="S73" s="38"/>
      <c r="T73" s="38"/>
      <c r="U73" s="38"/>
      <c r="V73" s="38"/>
      <c r="W73" s="38"/>
      <c r="X73" s="38"/>
      <c r="Y73" s="38"/>
      <c r="Z73" s="38"/>
      <c r="AA73" s="38"/>
      <c r="AB73" s="38"/>
      <c r="AC73" s="38"/>
      <c r="AD73" s="38"/>
      <c r="AE73" s="38"/>
      <c r="AF73" s="38"/>
    </row>
    <row r="74" customFormat="false" ht="33" hidden="false" customHeight="true" outlineLevel="0" collapsed="false">
      <c r="A74" s="10"/>
      <c r="B74" s="48"/>
      <c r="C74" s="45"/>
      <c r="D74" s="10"/>
      <c r="E74" s="37"/>
      <c r="F74" s="38"/>
      <c r="G74" s="38"/>
      <c r="H74" s="38"/>
      <c r="I74" s="38"/>
      <c r="J74" s="38"/>
      <c r="K74" s="38"/>
      <c r="L74" s="38"/>
      <c r="M74" s="38"/>
      <c r="N74" s="38"/>
      <c r="O74" s="38"/>
      <c r="P74" s="38"/>
      <c r="Q74" s="38"/>
      <c r="R74" s="38"/>
      <c r="S74" s="38"/>
      <c r="T74" s="38"/>
      <c r="U74" s="38"/>
      <c r="V74" s="38"/>
      <c r="W74" s="38"/>
      <c r="X74" s="38"/>
      <c r="Y74" s="38"/>
      <c r="Z74" s="38"/>
      <c r="AA74" s="38"/>
      <c r="AB74" s="38"/>
      <c r="AC74" s="38"/>
      <c r="AD74" s="38"/>
      <c r="AE74" s="38"/>
      <c r="AF74" s="38"/>
    </row>
    <row r="75" customFormat="false" ht="36" hidden="false" customHeight="true" outlineLevel="0" collapsed="false">
      <c r="A75" s="10"/>
      <c r="B75" s="48"/>
      <c r="C75" s="45"/>
      <c r="D75" s="10"/>
      <c r="E75" s="37"/>
      <c r="F75" s="38"/>
      <c r="G75" s="38"/>
      <c r="H75" s="38"/>
      <c r="I75" s="38"/>
      <c r="J75" s="38"/>
      <c r="K75" s="38"/>
      <c r="L75" s="38"/>
      <c r="M75" s="38"/>
      <c r="N75" s="38"/>
      <c r="O75" s="38"/>
      <c r="P75" s="38"/>
      <c r="Q75" s="38"/>
      <c r="R75" s="38"/>
      <c r="S75" s="38"/>
      <c r="T75" s="38"/>
      <c r="U75" s="38"/>
      <c r="V75" s="38"/>
      <c r="W75" s="38"/>
      <c r="X75" s="38"/>
      <c r="Y75" s="38"/>
      <c r="Z75" s="38"/>
      <c r="AA75" s="38"/>
      <c r="AB75" s="38"/>
      <c r="AC75" s="38"/>
      <c r="AD75" s="38"/>
      <c r="AE75" s="38"/>
      <c r="AF75" s="38"/>
    </row>
    <row r="76" customFormat="false" ht="33.75" hidden="false" customHeight="true" outlineLevel="0" collapsed="false">
      <c r="A76" s="10"/>
      <c r="B76" s="48"/>
      <c r="C76" s="45"/>
      <c r="D76" s="10"/>
      <c r="E76" s="37"/>
      <c r="F76" s="38"/>
      <c r="G76" s="38"/>
      <c r="H76" s="38"/>
      <c r="I76" s="38"/>
      <c r="J76" s="38"/>
      <c r="K76" s="38"/>
      <c r="L76" s="38"/>
      <c r="M76" s="38"/>
      <c r="N76" s="38"/>
      <c r="O76" s="38"/>
      <c r="P76" s="38"/>
      <c r="Q76" s="38"/>
      <c r="R76" s="38"/>
      <c r="S76" s="38"/>
      <c r="T76" s="38"/>
      <c r="U76" s="38"/>
      <c r="V76" s="38"/>
      <c r="W76" s="38"/>
      <c r="X76" s="38"/>
      <c r="Y76" s="38"/>
      <c r="Z76" s="38"/>
      <c r="AA76" s="38"/>
      <c r="AB76" s="38"/>
      <c r="AC76" s="38"/>
      <c r="AD76" s="38"/>
      <c r="AE76" s="38"/>
      <c r="AF76" s="38"/>
    </row>
    <row r="77" customFormat="false" ht="33" hidden="false" customHeight="true" outlineLevel="0" collapsed="false">
      <c r="A77" s="10"/>
      <c r="B77" s="48"/>
      <c r="C77" s="45"/>
      <c r="D77" s="10"/>
      <c r="E77" s="37"/>
      <c r="F77" s="38"/>
      <c r="G77" s="38"/>
      <c r="H77" s="38"/>
      <c r="I77" s="38"/>
      <c r="J77" s="38"/>
      <c r="K77" s="38"/>
      <c r="L77" s="38"/>
      <c r="M77" s="38"/>
      <c r="N77" s="38"/>
      <c r="O77" s="38"/>
      <c r="P77" s="38"/>
      <c r="Q77" s="38"/>
      <c r="R77" s="38"/>
      <c r="S77" s="38"/>
      <c r="T77" s="38"/>
      <c r="U77" s="38"/>
      <c r="V77" s="38"/>
      <c r="W77" s="38"/>
      <c r="X77" s="38"/>
      <c r="Y77" s="38"/>
      <c r="Z77" s="38"/>
      <c r="AA77" s="38"/>
      <c r="AB77" s="38"/>
      <c r="AC77" s="38"/>
      <c r="AD77" s="38"/>
      <c r="AE77" s="38"/>
      <c r="AF77" s="38"/>
    </row>
    <row r="78" customFormat="false" ht="32.25" hidden="false" customHeight="true" outlineLevel="0" collapsed="false">
      <c r="A78" s="10"/>
      <c r="B78" s="48"/>
      <c r="C78" s="45"/>
      <c r="D78" s="10"/>
      <c r="E78" s="37"/>
      <c r="F78" s="38"/>
      <c r="G78" s="38"/>
      <c r="H78" s="38"/>
      <c r="I78" s="38"/>
      <c r="J78" s="38"/>
      <c r="K78" s="38"/>
      <c r="L78" s="38"/>
      <c r="M78" s="38"/>
      <c r="N78" s="38"/>
      <c r="O78" s="38"/>
      <c r="P78" s="38"/>
      <c r="Q78" s="38"/>
      <c r="R78" s="38"/>
      <c r="S78" s="38"/>
      <c r="T78" s="38"/>
      <c r="U78" s="38"/>
      <c r="V78" s="38"/>
      <c r="W78" s="38"/>
      <c r="X78" s="38"/>
      <c r="Y78" s="38"/>
      <c r="Z78" s="38"/>
      <c r="AA78" s="38"/>
      <c r="AB78" s="38"/>
      <c r="AC78" s="38"/>
      <c r="AD78" s="38"/>
      <c r="AE78" s="38"/>
      <c r="AF78" s="38"/>
    </row>
    <row r="79" customFormat="false" ht="30" hidden="false" customHeight="true" outlineLevel="0" collapsed="false">
      <c r="A79" s="10"/>
      <c r="B79" s="48"/>
      <c r="C79" s="45"/>
      <c r="D79" s="10"/>
      <c r="E79" s="37"/>
      <c r="F79" s="38"/>
      <c r="G79" s="38"/>
      <c r="H79" s="38"/>
      <c r="I79" s="38"/>
      <c r="J79" s="38"/>
      <c r="K79" s="38"/>
      <c r="L79" s="38"/>
      <c r="M79" s="38"/>
      <c r="N79" s="38"/>
      <c r="O79" s="38"/>
      <c r="P79" s="38"/>
      <c r="Q79" s="38"/>
      <c r="R79" s="38"/>
      <c r="S79" s="38"/>
      <c r="T79" s="38"/>
      <c r="U79" s="38"/>
      <c r="V79" s="38"/>
      <c r="W79" s="38"/>
      <c r="X79" s="38"/>
      <c r="Y79" s="38"/>
      <c r="Z79" s="38"/>
      <c r="AA79" s="38"/>
      <c r="AB79" s="38"/>
      <c r="AC79" s="38"/>
      <c r="AD79" s="38"/>
      <c r="AE79" s="38"/>
      <c r="AF79" s="38"/>
    </row>
    <row r="80" customFormat="false" ht="32.25" hidden="false" customHeight="true" outlineLevel="0" collapsed="false">
      <c r="A80" s="10"/>
      <c r="B80" s="48"/>
      <c r="C80" s="45"/>
      <c r="D80" s="10"/>
      <c r="E80" s="37"/>
      <c r="F80" s="38"/>
      <c r="G80" s="38"/>
      <c r="H80" s="38"/>
      <c r="I80" s="38"/>
      <c r="J80" s="38"/>
      <c r="K80" s="38"/>
      <c r="L80" s="38"/>
      <c r="M80" s="38"/>
      <c r="N80" s="38"/>
      <c r="O80" s="38"/>
      <c r="P80" s="38"/>
      <c r="Q80" s="38"/>
      <c r="R80" s="38"/>
      <c r="S80" s="38"/>
      <c r="T80" s="38"/>
      <c r="U80" s="38"/>
      <c r="V80" s="38"/>
      <c r="W80" s="38"/>
      <c r="X80" s="38"/>
      <c r="Y80" s="38"/>
      <c r="Z80" s="38"/>
      <c r="AA80" s="38"/>
      <c r="AB80" s="38"/>
      <c r="AC80" s="38"/>
      <c r="AD80" s="38"/>
      <c r="AE80" s="38"/>
      <c r="AF80" s="38"/>
    </row>
    <row r="81" customFormat="false" ht="33" hidden="false" customHeight="true" outlineLevel="0" collapsed="false">
      <c r="A81" s="10"/>
      <c r="B81" s="48"/>
      <c r="C81" s="45"/>
      <c r="D81" s="10"/>
      <c r="E81" s="37"/>
      <c r="F81" s="38"/>
      <c r="G81" s="38"/>
      <c r="H81" s="38"/>
      <c r="I81" s="38"/>
      <c r="J81" s="38"/>
      <c r="K81" s="38"/>
      <c r="L81" s="38"/>
      <c r="M81" s="38"/>
      <c r="N81" s="38"/>
      <c r="O81" s="38"/>
      <c r="P81" s="38"/>
      <c r="Q81" s="38"/>
      <c r="R81" s="38"/>
      <c r="S81" s="38"/>
      <c r="T81" s="38"/>
      <c r="U81" s="38"/>
      <c r="V81" s="38"/>
      <c r="W81" s="38"/>
      <c r="X81" s="38"/>
      <c r="Y81" s="38"/>
      <c r="Z81" s="38"/>
      <c r="AA81" s="38"/>
      <c r="AB81" s="38"/>
      <c r="AC81" s="38"/>
      <c r="AD81" s="38"/>
      <c r="AE81" s="38"/>
      <c r="AF81" s="38"/>
    </row>
    <row r="82" customFormat="false" ht="30" hidden="false" customHeight="true" outlineLevel="0" collapsed="false">
      <c r="A82" s="10"/>
      <c r="B82" s="48"/>
      <c r="C82" s="45"/>
      <c r="D82" s="10"/>
      <c r="E82" s="37"/>
      <c r="F82" s="38"/>
      <c r="G82" s="38"/>
      <c r="H82" s="38"/>
      <c r="I82" s="38"/>
      <c r="J82" s="38"/>
      <c r="K82" s="38"/>
      <c r="L82" s="38"/>
      <c r="M82" s="38"/>
      <c r="N82" s="38"/>
      <c r="O82" s="38"/>
      <c r="P82" s="38"/>
      <c r="Q82" s="38"/>
      <c r="R82" s="38"/>
      <c r="S82" s="38"/>
      <c r="T82" s="38"/>
      <c r="U82" s="38"/>
      <c r="V82" s="38"/>
      <c r="W82" s="38"/>
      <c r="X82" s="38"/>
      <c r="Y82" s="38"/>
      <c r="Z82" s="38"/>
      <c r="AA82" s="38"/>
      <c r="AB82" s="38"/>
      <c r="AC82" s="38"/>
      <c r="AD82" s="38"/>
      <c r="AE82" s="38"/>
      <c r="AF82" s="38"/>
    </row>
    <row r="83" customFormat="false" ht="32.25" hidden="false" customHeight="true" outlineLevel="0" collapsed="false">
      <c r="A83" s="10"/>
      <c r="B83" s="48"/>
      <c r="C83" s="45"/>
      <c r="D83" s="10"/>
      <c r="E83" s="37"/>
      <c r="F83" s="38"/>
      <c r="G83" s="38"/>
      <c r="H83" s="38"/>
      <c r="I83" s="38"/>
      <c r="J83" s="38"/>
      <c r="K83" s="38"/>
      <c r="L83" s="38"/>
      <c r="M83" s="38"/>
      <c r="N83" s="38"/>
      <c r="O83" s="38"/>
      <c r="P83" s="38"/>
      <c r="Q83" s="38"/>
      <c r="R83" s="38"/>
      <c r="S83" s="38"/>
      <c r="T83" s="38"/>
      <c r="U83" s="38"/>
      <c r="V83" s="38"/>
      <c r="W83" s="38"/>
      <c r="X83" s="38"/>
      <c r="Y83" s="38"/>
      <c r="Z83" s="38"/>
      <c r="AA83" s="38"/>
      <c r="AB83" s="38"/>
      <c r="AC83" s="38"/>
      <c r="AD83" s="38"/>
      <c r="AE83" s="38"/>
      <c r="AF83" s="38"/>
    </row>
    <row r="84" customFormat="false" ht="30" hidden="false" customHeight="true" outlineLevel="0" collapsed="false">
      <c r="A84" s="10"/>
      <c r="B84" s="48"/>
      <c r="C84" s="45"/>
      <c r="D84" s="10"/>
      <c r="E84" s="37"/>
      <c r="F84" s="38"/>
      <c r="G84" s="38"/>
      <c r="H84" s="38"/>
      <c r="I84" s="38"/>
      <c r="J84" s="38"/>
      <c r="K84" s="38"/>
      <c r="L84" s="38"/>
      <c r="M84" s="38"/>
      <c r="N84" s="38"/>
      <c r="O84" s="38"/>
      <c r="P84" s="38"/>
      <c r="Q84" s="38"/>
      <c r="R84" s="38"/>
      <c r="S84" s="38"/>
      <c r="T84" s="38"/>
      <c r="U84" s="38"/>
      <c r="V84" s="38"/>
      <c r="W84" s="38"/>
      <c r="X84" s="38"/>
      <c r="Y84" s="38"/>
      <c r="Z84" s="38"/>
      <c r="AA84" s="38"/>
      <c r="AB84" s="38"/>
      <c r="AC84" s="38"/>
      <c r="AD84" s="38"/>
      <c r="AE84" s="38"/>
      <c r="AF84" s="38"/>
    </row>
    <row r="85" customFormat="false" ht="32.25" hidden="false" customHeight="true" outlineLevel="0" collapsed="false">
      <c r="A85" s="10"/>
      <c r="B85" s="48"/>
      <c r="C85" s="45"/>
      <c r="D85" s="10"/>
      <c r="E85" s="37"/>
      <c r="F85" s="38"/>
      <c r="G85" s="38"/>
      <c r="H85" s="38"/>
      <c r="I85" s="38"/>
      <c r="J85" s="38"/>
      <c r="K85" s="38"/>
      <c r="L85" s="38"/>
      <c r="M85" s="38"/>
      <c r="N85" s="38"/>
      <c r="O85" s="38"/>
      <c r="P85" s="38"/>
      <c r="Q85" s="38"/>
      <c r="R85" s="38"/>
      <c r="S85" s="38"/>
      <c r="T85" s="38"/>
      <c r="U85" s="38"/>
      <c r="V85" s="38"/>
      <c r="W85" s="38"/>
      <c r="X85" s="38"/>
      <c r="Y85" s="38"/>
      <c r="Z85" s="38"/>
      <c r="AA85" s="38"/>
      <c r="AB85" s="38"/>
      <c r="AC85" s="38"/>
      <c r="AD85" s="38"/>
      <c r="AE85" s="38"/>
      <c r="AF85" s="38"/>
    </row>
    <row r="86" customFormat="false" ht="32.25" hidden="false" customHeight="true" outlineLevel="0" collapsed="false">
      <c r="A86" s="10"/>
      <c r="B86" s="48"/>
      <c r="C86" s="45"/>
      <c r="D86" s="10"/>
      <c r="E86" s="37"/>
      <c r="F86" s="38"/>
      <c r="G86" s="38"/>
      <c r="H86" s="38"/>
      <c r="I86" s="38"/>
      <c r="J86" s="38"/>
      <c r="K86" s="38"/>
      <c r="L86" s="38"/>
      <c r="M86" s="38"/>
      <c r="N86" s="38"/>
      <c r="O86" s="38"/>
      <c r="P86" s="38"/>
      <c r="Q86" s="38"/>
      <c r="R86" s="38"/>
      <c r="S86" s="38"/>
      <c r="T86" s="38"/>
      <c r="U86" s="38"/>
      <c r="V86" s="38"/>
      <c r="W86" s="38"/>
      <c r="X86" s="38"/>
      <c r="Y86" s="38"/>
      <c r="Z86" s="38"/>
      <c r="AA86" s="38"/>
      <c r="AB86" s="38"/>
      <c r="AC86" s="38"/>
      <c r="AD86" s="38"/>
      <c r="AE86" s="38"/>
      <c r="AF86" s="38"/>
    </row>
    <row r="87" customFormat="false" ht="32.25" hidden="false" customHeight="true" outlineLevel="0" collapsed="false">
      <c r="A87" s="10"/>
      <c r="B87" s="48"/>
      <c r="C87" s="45"/>
      <c r="D87" s="10"/>
      <c r="E87" s="37"/>
      <c r="F87" s="38"/>
      <c r="G87" s="38"/>
      <c r="H87" s="38"/>
      <c r="I87" s="38"/>
      <c r="J87" s="38"/>
      <c r="K87" s="38"/>
      <c r="L87" s="38"/>
      <c r="M87" s="38"/>
      <c r="N87" s="38"/>
      <c r="O87" s="38"/>
      <c r="P87" s="38"/>
      <c r="Q87" s="38"/>
      <c r="R87" s="38"/>
      <c r="S87" s="38"/>
      <c r="T87" s="38"/>
      <c r="U87" s="38"/>
      <c r="V87" s="38"/>
      <c r="W87" s="38"/>
      <c r="X87" s="38"/>
      <c r="Y87" s="38"/>
      <c r="Z87" s="38"/>
      <c r="AA87" s="38"/>
      <c r="AB87" s="38"/>
      <c r="AC87" s="38"/>
      <c r="AD87" s="38"/>
      <c r="AE87" s="38"/>
      <c r="AF87" s="38"/>
    </row>
    <row r="88" customFormat="false" ht="15.75" hidden="false" customHeight="false" outlineLevel="0" collapsed="false">
      <c r="A88" s="27"/>
      <c r="B88" s="27"/>
      <c r="C88" s="41"/>
      <c r="D88" s="27"/>
      <c r="E88" s="27"/>
      <c r="F88" s="41"/>
      <c r="G88" s="41"/>
      <c r="H88" s="41"/>
      <c r="I88" s="41"/>
      <c r="J88" s="41"/>
      <c r="K88" s="41"/>
      <c r="L88" s="41"/>
      <c r="M88" s="41"/>
      <c r="N88" s="41"/>
      <c r="O88" s="41"/>
      <c r="P88" s="41"/>
      <c r="Q88" s="41"/>
      <c r="R88" s="41"/>
      <c r="S88" s="41"/>
      <c r="T88" s="41"/>
      <c r="U88" s="41"/>
      <c r="V88" s="41"/>
      <c r="W88" s="41"/>
      <c r="X88" s="41"/>
      <c r="Y88" s="41"/>
      <c r="Z88" s="41"/>
      <c r="AA88" s="41"/>
      <c r="AB88" s="41"/>
      <c r="AC88" s="41"/>
      <c r="AD88" s="41"/>
      <c r="AE88" s="41"/>
      <c r="AF88" s="41"/>
    </row>
    <row r="89" customFormat="false" ht="15.75" hidden="false" customHeight="false" outlineLevel="0" collapsed="false">
      <c r="A89" s="49"/>
      <c r="B89" s="27"/>
      <c r="F89" s="28"/>
      <c r="G89" s="28"/>
      <c r="H89" s="28"/>
      <c r="I89" s="28"/>
      <c r="J89" s="28"/>
      <c r="K89" s="28"/>
      <c r="L89" s="28"/>
      <c r="M89" s="28"/>
      <c r="N89" s="28"/>
      <c r="O89" s="28"/>
      <c r="P89" s="28"/>
      <c r="Q89" s="28"/>
      <c r="R89" s="28"/>
      <c r="S89" s="28"/>
      <c r="T89" s="28"/>
      <c r="U89" s="28"/>
      <c r="V89" s="28"/>
      <c r="W89" s="28"/>
      <c r="X89" s="28"/>
      <c r="Y89" s="28"/>
      <c r="Z89" s="28"/>
      <c r="AA89" s="28"/>
      <c r="AB89" s="28"/>
      <c r="AC89" s="28"/>
      <c r="AD89" s="28"/>
      <c r="AE89" s="28"/>
      <c r="AF89" s="28"/>
    </row>
  </sheetData>
  <mergeCells count="3">
    <mergeCell ref="A2:B2"/>
    <mergeCell ref="F2:U6"/>
    <mergeCell ref="V2:AF6"/>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4:AB266"/>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selection pane="topLeft" activeCell="E16" activeCellId="0" sqref="E16"/>
    </sheetView>
  </sheetViews>
  <sheetFormatPr defaultColWidth="13.71484375" defaultRowHeight="15" zeroHeight="false" outlineLevelRow="0" outlineLevelCol="0"/>
  <cols>
    <col collapsed="false" customWidth="true" hidden="false" outlineLevel="0" max="1" min="1" style="50" width="22.57"/>
    <col collapsed="false" customWidth="true" hidden="false" outlineLevel="0" max="2" min="2" style="51" width="21.14"/>
    <col collapsed="false" customWidth="true" hidden="false" outlineLevel="0" max="3" min="3" style="51" width="58.14"/>
    <col collapsed="false" customWidth="true" hidden="false" outlineLevel="0" max="4" min="4" style="51" width="18.86"/>
    <col collapsed="false" customWidth="true" hidden="false" outlineLevel="0" max="5" min="5" style="52" width="18.86"/>
    <col collapsed="false" customWidth="true" hidden="false" outlineLevel="0" max="6" min="6" style="51" width="16.43"/>
    <col collapsed="false" customWidth="true" hidden="false" outlineLevel="0" max="7" min="7" style="51" width="18.86"/>
    <col collapsed="false" customWidth="true" hidden="false" outlineLevel="0" max="8" min="8" style="51" width="15.86"/>
    <col collapsed="false" customWidth="true" hidden="false" outlineLevel="0" max="9" min="9" style="51" width="11.43"/>
    <col collapsed="false" customWidth="true" hidden="false" outlineLevel="0" max="10" min="10" style="51" width="10.86"/>
    <col collapsed="false" customWidth="true" hidden="false" outlineLevel="0" max="11" min="11" style="51" width="12.86"/>
    <col collapsed="false" customWidth="true" hidden="false" outlineLevel="0" max="12" min="12" style="51" width="10.14"/>
    <col collapsed="false" customWidth="true" hidden="false" outlineLevel="0" max="13" min="13" style="51" width="10.86"/>
    <col collapsed="false" customWidth="true" hidden="false" outlineLevel="0" max="14" min="14" style="51" width="12.86"/>
    <col collapsed="false" customWidth="true" hidden="false" outlineLevel="0" max="15" min="15" style="51" width="11"/>
    <col collapsed="false" customWidth="true" hidden="false" outlineLevel="0" max="17" min="16" style="51" width="10.86"/>
    <col collapsed="false" customWidth="true" hidden="false" outlineLevel="0" max="18" min="18" style="51" width="16.43"/>
    <col collapsed="false" customWidth="true" hidden="false" outlineLevel="0" max="19" min="19" style="51" width="12.72"/>
    <col collapsed="false" customWidth="false" hidden="false" outlineLevel="0" max="23" min="20" style="51" width="13.71"/>
    <col collapsed="false" customWidth="true" hidden="false" outlineLevel="0" max="24" min="24" style="51" width="18"/>
    <col collapsed="false" customWidth="true" hidden="false" outlineLevel="0" max="25" min="25" style="51" width="2.86"/>
    <col collapsed="false" customWidth="true" hidden="false" outlineLevel="0" max="26" min="26" style="51" width="17.71"/>
    <col collapsed="false" customWidth="true" hidden="false" outlineLevel="0" max="27" min="27" style="51" width="3.15"/>
    <col collapsed="false" customWidth="true" hidden="false" outlineLevel="0" max="28" min="28" style="51" width="9.57"/>
    <col collapsed="false" customWidth="false" hidden="false" outlineLevel="0" max="16384" min="29" style="51" width="13.71"/>
  </cols>
  <sheetData>
    <row r="4" customFormat="false" ht="21" hidden="false" customHeight="true" outlineLevel="0" collapsed="false">
      <c r="A4" s="53"/>
      <c r="B4" s="53"/>
      <c r="C4" s="54" t="s">
        <v>51</v>
      </c>
      <c r="D4" s="54"/>
      <c r="E4" s="54"/>
      <c r="F4" s="55" t="s">
        <v>52</v>
      </c>
      <c r="G4" s="56"/>
      <c r="H4" s="56"/>
      <c r="I4" s="57"/>
      <c r="J4" s="57"/>
      <c r="K4" s="57"/>
      <c r="L4" s="57"/>
      <c r="M4" s="57"/>
      <c r="N4" s="57"/>
      <c r="O4" s="57"/>
      <c r="P4" s="57"/>
      <c r="Q4" s="58"/>
      <c r="R4" s="58"/>
      <c r="S4" s="58"/>
    </row>
    <row r="5" customFormat="false" ht="21" hidden="false" customHeight="true" outlineLevel="0" collapsed="false">
      <c r="A5" s="53"/>
      <c r="B5" s="53"/>
      <c r="C5" s="59"/>
      <c r="D5" s="60"/>
      <c r="E5" s="61"/>
      <c r="F5" s="62" t="s">
        <v>53</v>
      </c>
      <c r="G5" s="63"/>
      <c r="H5" s="63"/>
      <c r="I5" s="57"/>
      <c r="J5" s="57"/>
      <c r="K5" s="57"/>
      <c r="L5" s="57"/>
      <c r="M5" s="57"/>
      <c r="N5" s="57"/>
      <c r="O5" s="57"/>
      <c r="P5" s="57"/>
      <c r="Q5" s="64"/>
      <c r="R5" s="64"/>
      <c r="S5" s="64"/>
      <c r="X5" s="65" t="s">
        <v>54</v>
      </c>
      <c r="Y5" s="66"/>
      <c r="Z5" s="65" t="s">
        <v>52</v>
      </c>
      <c r="AA5" s="66"/>
      <c r="AB5" s="67" t="n">
        <v>0</v>
      </c>
    </row>
    <row r="6" customFormat="false" ht="21" hidden="false" customHeight="true" outlineLevel="0" collapsed="false">
      <c r="A6" s="53"/>
      <c r="B6" s="53"/>
      <c r="C6" s="68" t="s">
        <v>55</v>
      </c>
      <c r="D6" s="68"/>
      <c r="E6" s="68"/>
      <c r="F6" s="62" t="s">
        <v>56</v>
      </c>
      <c r="G6" s="69"/>
      <c r="H6" s="69"/>
      <c r="I6" s="57"/>
      <c r="J6" s="57"/>
      <c r="K6" s="57"/>
      <c r="L6" s="57"/>
      <c r="M6" s="57"/>
      <c r="N6" s="57"/>
      <c r="O6" s="57"/>
      <c r="P6" s="57"/>
      <c r="Q6" s="64"/>
      <c r="R6" s="64"/>
      <c r="S6" s="64"/>
      <c r="X6" s="65" t="s">
        <v>57</v>
      </c>
      <c r="Y6" s="66"/>
      <c r="Z6" s="65" t="s">
        <v>53</v>
      </c>
      <c r="AA6" s="66"/>
      <c r="AB6" s="67" t="n">
        <f aca="false">+AB5+1</f>
        <v>1</v>
      </c>
    </row>
    <row r="7" s="76" customFormat="true" ht="21" hidden="false" customHeight="true" outlineLevel="0" collapsed="false">
      <c r="A7" s="53"/>
      <c r="B7" s="53"/>
      <c r="C7" s="70"/>
      <c r="D7" s="71"/>
      <c r="E7" s="72"/>
      <c r="F7" s="73" t="s">
        <v>58</v>
      </c>
      <c r="G7" s="74"/>
      <c r="H7" s="74"/>
      <c r="I7" s="57"/>
      <c r="J7" s="57"/>
      <c r="K7" s="57"/>
      <c r="L7" s="57"/>
      <c r="M7" s="57"/>
      <c r="N7" s="57"/>
      <c r="O7" s="57"/>
      <c r="P7" s="57"/>
      <c r="Q7" s="75"/>
      <c r="R7" s="75"/>
      <c r="S7" s="75"/>
      <c r="X7" s="65" t="s">
        <v>59</v>
      </c>
      <c r="Y7" s="66"/>
      <c r="Z7" s="65" t="s">
        <v>56</v>
      </c>
      <c r="AA7" s="66"/>
      <c r="AB7" s="67" t="n">
        <f aca="false">+AB6+1</f>
        <v>2</v>
      </c>
    </row>
    <row r="8" customFormat="false" ht="21" hidden="false" customHeight="true" outlineLevel="0" collapsed="false">
      <c r="A8" s="53"/>
      <c r="B8" s="53"/>
      <c r="C8" s="77" t="s">
        <v>60</v>
      </c>
      <c r="D8" s="77"/>
      <c r="E8" s="77"/>
      <c r="F8" s="78" t="s">
        <v>61</v>
      </c>
      <c r="G8" s="79" t="s">
        <v>62</v>
      </c>
      <c r="H8" s="79"/>
      <c r="I8" s="57"/>
      <c r="J8" s="57"/>
      <c r="K8" s="57"/>
      <c r="L8" s="57"/>
      <c r="M8" s="57"/>
      <c r="N8" s="57"/>
      <c r="O8" s="57"/>
      <c r="P8" s="57"/>
      <c r="Q8" s="64"/>
      <c r="R8" s="64"/>
      <c r="S8" s="64"/>
      <c r="X8" s="66"/>
      <c r="Y8" s="66"/>
      <c r="Z8" s="65" t="s">
        <v>61</v>
      </c>
      <c r="AA8" s="66"/>
      <c r="AB8" s="67" t="n">
        <f aca="false">+AB7+1</f>
        <v>3</v>
      </c>
    </row>
    <row r="9" customFormat="false" ht="15" hidden="false" customHeight="false" outlineLevel="0" collapsed="false">
      <c r="A9" s="80"/>
      <c r="B9" s="81"/>
      <c r="C9" s="81"/>
      <c r="D9" s="81"/>
      <c r="E9" s="81"/>
      <c r="F9" s="81"/>
      <c r="G9" s="82"/>
      <c r="H9" s="82"/>
      <c r="I9" s="64"/>
      <c r="J9" s="64"/>
      <c r="K9" s="64"/>
      <c r="L9" s="64"/>
      <c r="M9" s="64"/>
      <c r="N9" s="64"/>
      <c r="O9" s="64"/>
      <c r="P9" s="64"/>
      <c r="Q9" s="64"/>
      <c r="R9" s="64"/>
      <c r="S9" s="64"/>
      <c r="X9" s="66"/>
      <c r="Y9" s="66"/>
      <c r="Z9" s="65" t="s">
        <v>58</v>
      </c>
      <c r="AA9" s="66"/>
      <c r="AB9" s="67" t="n">
        <f aca="false">+AB8+1</f>
        <v>4</v>
      </c>
    </row>
    <row r="10" customFormat="false" ht="15" hidden="false" customHeight="false" outlineLevel="0" collapsed="false">
      <c r="A10" s="83" t="s">
        <v>63</v>
      </c>
      <c r="B10" s="83" t="s">
        <v>64</v>
      </c>
      <c r="C10" s="83" t="s">
        <v>65</v>
      </c>
      <c r="D10" s="84" t="s">
        <v>66</v>
      </c>
      <c r="E10" s="84" t="s">
        <v>67</v>
      </c>
      <c r="F10" s="84" t="s">
        <v>68</v>
      </c>
      <c r="G10" s="84" t="s">
        <v>69</v>
      </c>
      <c r="H10" s="85" t="s">
        <v>70</v>
      </c>
      <c r="I10" s="84" t="s">
        <v>68</v>
      </c>
      <c r="J10" s="84" t="s">
        <v>71</v>
      </c>
      <c r="K10" s="85" t="s">
        <v>70</v>
      </c>
      <c r="L10" s="85" t="s">
        <v>68</v>
      </c>
      <c r="M10" s="85" t="s">
        <v>71</v>
      </c>
      <c r="N10" s="85" t="s">
        <v>70</v>
      </c>
      <c r="O10" s="85" t="s">
        <v>68</v>
      </c>
      <c r="P10" s="85" t="s">
        <v>71</v>
      </c>
      <c r="Q10" s="80"/>
      <c r="R10" s="80"/>
      <c r="S10" s="80"/>
      <c r="X10" s="66"/>
      <c r="Y10" s="66"/>
      <c r="Z10" s="66"/>
      <c r="AA10" s="66"/>
      <c r="AB10" s="67" t="n">
        <f aca="false">+AB9+1</f>
        <v>5</v>
      </c>
    </row>
    <row r="11" s="91" customFormat="true" ht="21" hidden="false" customHeight="false" outlineLevel="0" collapsed="false">
      <c r="A11" s="86" t="s">
        <v>72</v>
      </c>
      <c r="B11" s="86"/>
      <c r="C11" s="86"/>
      <c r="D11" s="87"/>
      <c r="E11" s="87"/>
      <c r="F11" s="88"/>
      <c r="G11" s="88"/>
      <c r="H11" s="89"/>
      <c r="I11" s="88"/>
      <c r="J11" s="88"/>
      <c r="K11" s="89"/>
      <c r="L11" s="90"/>
      <c r="M11" s="90"/>
      <c r="N11" s="89"/>
      <c r="O11" s="90"/>
      <c r="P11" s="90"/>
      <c r="Q11" s="88"/>
      <c r="R11" s="88"/>
      <c r="S11" s="88"/>
      <c r="X11" s="92"/>
      <c r="Y11" s="92"/>
      <c r="Z11" s="92"/>
      <c r="AA11" s="92"/>
      <c r="AB11" s="93"/>
    </row>
    <row r="12" customFormat="false" ht="15" hidden="false" customHeight="false" outlineLevel="0" collapsed="false">
      <c r="A12" s="94" t="s">
        <v>73</v>
      </c>
      <c r="B12" s="95" t="s">
        <v>59</v>
      </c>
      <c r="C12" s="96" t="s">
        <v>74</v>
      </c>
      <c r="D12" s="97" t="s">
        <v>52</v>
      </c>
      <c r="E12" s="97" t="s">
        <v>72</v>
      </c>
      <c r="F12" s="97" t="n">
        <v>0</v>
      </c>
      <c r="G12" s="98" t="n">
        <v>45492</v>
      </c>
      <c r="H12" s="99" t="s">
        <v>75</v>
      </c>
      <c r="I12" s="100" t="n">
        <v>1</v>
      </c>
      <c r="J12" s="101" t="n">
        <v>45532</v>
      </c>
      <c r="K12" s="102" t="s">
        <v>76</v>
      </c>
      <c r="L12" s="100" t="n">
        <v>2</v>
      </c>
      <c r="M12" s="103" t="n">
        <v>45581</v>
      </c>
      <c r="N12" s="102" t="s">
        <v>77</v>
      </c>
      <c r="O12" s="104"/>
      <c r="P12" s="104"/>
      <c r="Q12" s="64"/>
      <c r="R12" s="64"/>
      <c r="S12" s="64"/>
      <c r="X12" s="66"/>
      <c r="Y12" s="66"/>
      <c r="Z12" s="66"/>
      <c r="AA12" s="66"/>
      <c r="AB12" s="67" t="n">
        <f aca="false">+AB10+1</f>
        <v>6</v>
      </c>
    </row>
    <row r="13" customFormat="false" ht="15" hidden="false" customHeight="false" outlineLevel="0" collapsed="false">
      <c r="A13" s="94" t="s">
        <v>78</v>
      </c>
      <c r="B13" s="95" t="s">
        <v>54</v>
      </c>
      <c r="C13" s="96" t="s">
        <v>79</v>
      </c>
      <c r="D13" s="97" t="s">
        <v>52</v>
      </c>
      <c r="E13" s="97" t="s">
        <v>72</v>
      </c>
      <c r="F13" s="97" t="n">
        <v>0</v>
      </c>
      <c r="G13" s="98" t="n">
        <v>45506</v>
      </c>
      <c r="H13" s="99" t="s">
        <v>80</v>
      </c>
      <c r="I13" s="100"/>
      <c r="J13" s="100"/>
      <c r="K13" s="105"/>
      <c r="L13" s="100"/>
      <c r="M13" s="104"/>
      <c r="N13" s="105"/>
      <c r="O13" s="104"/>
      <c r="P13" s="104"/>
      <c r="Q13" s="64"/>
      <c r="R13" s="64"/>
      <c r="S13" s="64"/>
      <c r="X13" s="66"/>
      <c r="Y13" s="66"/>
      <c r="Z13" s="66"/>
      <c r="AA13" s="66"/>
      <c r="AB13" s="67" t="n">
        <f aca="false">+AB12+1</f>
        <v>7</v>
      </c>
    </row>
    <row r="14" customFormat="false" ht="15" hidden="false" customHeight="false" outlineLevel="0" collapsed="false">
      <c r="A14" s="94"/>
      <c r="B14" s="95"/>
      <c r="C14" s="96"/>
      <c r="D14" s="97"/>
      <c r="E14" s="97"/>
      <c r="F14" s="97"/>
      <c r="G14" s="98"/>
      <c r="H14" s="99"/>
      <c r="I14" s="100"/>
      <c r="J14" s="100"/>
      <c r="K14" s="105"/>
      <c r="L14" s="100"/>
      <c r="M14" s="104"/>
      <c r="N14" s="105"/>
      <c r="O14" s="104"/>
      <c r="P14" s="104"/>
      <c r="Q14" s="64"/>
      <c r="R14" s="64"/>
      <c r="S14" s="64"/>
    </row>
    <row r="15" customFormat="false" ht="14.25" hidden="false" customHeight="true" outlineLevel="0" collapsed="false">
      <c r="A15" s="94"/>
      <c r="B15" s="95"/>
      <c r="C15" s="96"/>
      <c r="D15" s="97"/>
      <c r="E15" s="97"/>
      <c r="F15" s="97"/>
      <c r="G15" s="98"/>
      <c r="H15" s="99"/>
      <c r="I15" s="100"/>
      <c r="J15" s="101"/>
      <c r="K15" s="102"/>
      <c r="L15" s="100"/>
      <c r="M15" s="104"/>
      <c r="N15" s="102"/>
      <c r="O15" s="104"/>
      <c r="P15" s="104"/>
      <c r="Q15" s="64"/>
    </row>
    <row r="16" customFormat="false" ht="15" hidden="false" customHeight="false" outlineLevel="0" collapsed="false">
      <c r="A16" s="94"/>
      <c r="B16" s="95"/>
      <c r="C16" s="96"/>
      <c r="D16" s="97"/>
      <c r="E16" s="97"/>
      <c r="F16" s="97"/>
      <c r="G16" s="98"/>
      <c r="H16" s="99"/>
      <c r="I16" s="100"/>
      <c r="J16" s="100"/>
      <c r="K16" s="105"/>
      <c r="L16" s="100"/>
      <c r="M16" s="104"/>
      <c r="N16" s="105"/>
      <c r="O16" s="104"/>
      <c r="P16" s="104"/>
      <c r="Q16" s="64"/>
    </row>
    <row r="17" customFormat="false" ht="15" hidden="false" customHeight="false" outlineLevel="0" collapsed="false">
      <c r="A17" s="94"/>
      <c r="B17" s="95"/>
      <c r="C17" s="106"/>
      <c r="D17" s="97"/>
      <c r="E17" s="97"/>
      <c r="F17" s="97"/>
      <c r="G17" s="98"/>
      <c r="H17" s="99"/>
      <c r="I17" s="100"/>
      <c r="J17" s="101"/>
      <c r="K17" s="102"/>
      <c r="L17" s="100"/>
      <c r="M17" s="104"/>
      <c r="N17" s="102"/>
      <c r="O17" s="104"/>
      <c r="P17" s="104"/>
      <c r="Q17" s="64"/>
    </row>
    <row r="18" customFormat="false" ht="15" hidden="false" customHeight="false" outlineLevel="0" collapsed="false">
      <c r="A18" s="94"/>
      <c r="B18" s="95"/>
      <c r="C18" s="96"/>
      <c r="D18" s="97"/>
      <c r="E18" s="97"/>
      <c r="F18" s="97"/>
      <c r="G18" s="98"/>
      <c r="H18" s="99"/>
      <c r="I18" s="100"/>
      <c r="J18" s="100"/>
      <c r="K18" s="105"/>
      <c r="L18" s="100"/>
      <c r="M18" s="104"/>
      <c r="N18" s="105"/>
      <c r="O18" s="104"/>
      <c r="P18" s="104"/>
      <c r="Q18" s="64"/>
    </row>
    <row r="19" customFormat="false" ht="15" hidden="false" customHeight="false" outlineLevel="0" collapsed="false">
      <c r="A19" s="94"/>
      <c r="B19" s="95"/>
      <c r="C19" s="96"/>
      <c r="D19" s="97"/>
      <c r="E19" s="97"/>
      <c r="F19" s="97"/>
      <c r="G19" s="98"/>
      <c r="H19" s="99"/>
      <c r="I19" s="100"/>
      <c r="J19" s="100"/>
      <c r="K19" s="105"/>
      <c r="L19" s="100"/>
      <c r="M19" s="103"/>
      <c r="N19" s="105"/>
      <c r="O19" s="104"/>
      <c r="P19" s="104"/>
      <c r="Q19" s="64"/>
    </row>
    <row r="20" customFormat="false" ht="15.75" hidden="false" customHeight="true" outlineLevel="0" collapsed="false">
      <c r="A20" s="94"/>
      <c r="B20" s="95"/>
      <c r="C20" s="107"/>
      <c r="D20" s="97"/>
      <c r="E20" s="97"/>
      <c r="F20" s="97"/>
      <c r="G20" s="98"/>
      <c r="H20" s="99"/>
      <c r="I20" s="100"/>
      <c r="J20" s="101"/>
      <c r="K20" s="102"/>
      <c r="L20" s="100"/>
      <c r="M20" s="103"/>
      <c r="N20" s="102"/>
      <c r="O20" s="104"/>
      <c r="P20" s="104"/>
      <c r="Q20" s="64"/>
      <c r="R20" s="64"/>
      <c r="S20" s="64"/>
    </row>
    <row r="21" customFormat="false" ht="15.75" hidden="false" customHeight="true" outlineLevel="0" collapsed="false">
      <c r="A21" s="94"/>
      <c r="B21" s="95"/>
      <c r="C21" s="107"/>
      <c r="D21" s="97"/>
      <c r="E21" s="97"/>
      <c r="F21" s="97"/>
      <c r="G21" s="98"/>
      <c r="H21" s="99"/>
      <c r="I21" s="100"/>
      <c r="J21" s="100"/>
      <c r="K21" s="105"/>
      <c r="L21" s="100"/>
      <c r="M21" s="104"/>
      <c r="N21" s="105"/>
      <c r="O21" s="104"/>
      <c r="P21" s="104"/>
      <c r="Q21" s="64"/>
      <c r="R21" s="64"/>
      <c r="S21" s="64"/>
    </row>
    <row r="22" customFormat="false" ht="15.75" hidden="false" customHeight="true" outlineLevel="0" collapsed="false">
      <c r="A22" s="94"/>
      <c r="B22" s="95"/>
      <c r="C22" s="107"/>
      <c r="D22" s="97"/>
      <c r="E22" s="97"/>
      <c r="F22" s="97"/>
      <c r="G22" s="98"/>
      <c r="H22" s="99"/>
      <c r="I22" s="100"/>
      <c r="J22" s="101"/>
      <c r="K22" s="102"/>
      <c r="L22" s="100"/>
      <c r="M22" s="104"/>
      <c r="N22" s="102"/>
      <c r="O22" s="104"/>
      <c r="P22" s="104"/>
      <c r="Q22" s="64"/>
      <c r="R22" s="64"/>
      <c r="S22" s="64"/>
    </row>
    <row r="23" customFormat="false" ht="15.75" hidden="false" customHeight="true" outlineLevel="0" collapsed="false">
      <c r="A23" s="94"/>
      <c r="B23" s="95"/>
      <c r="C23" s="107"/>
      <c r="D23" s="97"/>
      <c r="E23" s="97"/>
      <c r="F23" s="97"/>
      <c r="G23" s="98"/>
      <c r="H23" s="99"/>
      <c r="I23" s="108"/>
      <c r="J23" s="108"/>
      <c r="K23" s="109"/>
      <c r="L23" s="108"/>
      <c r="M23" s="110"/>
      <c r="N23" s="109"/>
      <c r="O23" s="110"/>
      <c r="P23" s="110"/>
      <c r="Q23" s="64"/>
      <c r="R23" s="64"/>
      <c r="S23" s="64"/>
    </row>
    <row r="24" customFormat="false" ht="15.75" hidden="false" customHeight="true" outlineLevel="0" collapsed="false">
      <c r="A24" s="94"/>
      <c r="B24" s="95"/>
      <c r="C24" s="107"/>
      <c r="D24" s="97"/>
      <c r="E24" s="97"/>
      <c r="F24" s="97"/>
      <c r="G24" s="98"/>
      <c r="H24" s="99"/>
      <c r="I24" s="108"/>
      <c r="J24" s="108"/>
      <c r="K24" s="109"/>
      <c r="L24" s="108"/>
      <c r="M24" s="110"/>
      <c r="N24" s="109"/>
      <c r="O24" s="110"/>
      <c r="P24" s="110"/>
      <c r="Q24" s="64"/>
      <c r="R24" s="64"/>
      <c r="S24" s="64"/>
    </row>
    <row r="25" customFormat="false" ht="15.75" hidden="false" customHeight="true" outlineLevel="0" collapsed="false">
      <c r="A25" s="94"/>
      <c r="B25" s="95"/>
      <c r="C25" s="107"/>
      <c r="D25" s="97"/>
      <c r="E25" s="97"/>
      <c r="F25" s="97"/>
      <c r="G25" s="98"/>
      <c r="H25" s="99"/>
      <c r="I25" s="108"/>
      <c r="J25" s="108"/>
      <c r="K25" s="109"/>
      <c r="L25" s="108"/>
      <c r="M25" s="110"/>
      <c r="N25" s="109"/>
      <c r="O25" s="110"/>
      <c r="P25" s="110"/>
      <c r="Q25" s="64"/>
      <c r="R25" s="64"/>
      <c r="S25" s="64"/>
    </row>
    <row r="26" customFormat="false" ht="15.75" hidden="false" customHeight="true" outlineLevel="0" collapsed="false">
      <c r="A26" s="94"/>
      <c r="B26" s="95"/>
      <c r="C26" s="107"/>
      <c r="D26" s="97"/>
      <c r="E26" s="97"/>
      <c r="F26" s="97"/>
      <c r="G26" s="98"/>
      <c r="H26" s="99"/>
      <c r="I26" s="108"/>
      <c r="J26" s="108"/>
      <c r="K26" s="109"/>
      <c r="L26" s="108"/>
      <c r="M26" s="110"/>
      <c r="N26" s="109"/>
      <c r="O26" s="110"/>
      <c r="P26" s="110"/>
      <c r="Q26" s="64"/>
      <c r="R26" s="64"/>
      <c r="S26" s="64"/>
    </row>
    <row r="27" customFormat="false" ht="15.75" hidden="false" customHeight="true" outlineLevel="0" collapsed="false">
      <c r="A27" s="94"/>
      <c r="B27" s="95"/>
      <c r="C27" s="107"/>
      <c r="D27" s="97"/>
      <c r="E27" s="97"/>
      <c r="F27" s="99"/>
      <c r="G27" s="111"/>
      <c r="H27" s="99"/>
      <c r="I27" s="108"/>
      <c r="J27" s="108"/>
      <c r="K27" s="109"/>
      <c r="L27" s="108"/>
      <c r="M27" s="110"/>
      <c r="N27" s="109"/>
      <c r="O27" s="110"/>
      <c r="P27" s="110"/>
      <c r="Q27" s="64"/>
      <c r="R27" s="64"/>
      <c r="S27" s="64"/>
    </row>
    <row r="28" customFormat="false" ht="15.75" hidden="false" customHeight="true" outlineLevel="0" collapsed="false">
      <c r="A28" s="94"/>
      <c r="B28" s="95"/>
      <c r="C28" s="107"/>
      <c r="D28" s="97"/>
      <c r="E28" s="97"/>
      <c r="F28" s="112"/>
      <c r="G28" s="113"/>
      <c r="H28" s="114"/>
      <c r="I28" s="108"/>
      <c r="J28" s="108"/>
      <c r="K28" s="109"/>
      <c r="L28" s="108"/>
      <c r="M28" s="110"/>
      <c r="N28" s="109"/>
      <c r="O28" s="110"/>
      <c r="P28" s="110"/>
      <c r="Q28" s="64"/>
      <c r="R28" s="64"/>
      <c r="S28" s="64"/>
    </row>
    <row r="29" customFormat="false" ht="15.75" hidden="false" customHeight="true" outlineLevel="0" collapsed="false">
      <c r="A29" s="94"/>
      <c r="B29" s="95"/>
      <c r="C29" s="107"/>
      <c r="D29" s="97"/>
      <c r="E29" s="97"/>
      <c r="F29" s="97"/>
      <c r="G29" s="98"/>
      <c r="H29" s="99"/>
      <c r="I29" s="108"/>
      <c r="J29" s="108"/>
      <c r="K29" s="109"/>
      <c r="L29" s="108"/>
      <c r="M29" s="110"/>
      <c r="N29" s="109"/>
      <c r="O29" s="110"/>
      <c r="P29" s="110"/>
      <c r="Q29" s="64"/>
      <c r="R29" s="64"/>
      <c r="S29" s="64"/>
    </row>
    <row r="30" customFormat="false" ht="15.75" hidden="false" customHeight="true" outlineLevel="0" collapsed="false">
      <c r="A30" s="94"/>
      <c r="B30" s="95"/>
      <c r="C30" s="115"/>
      <c r="D30" s="97"/>
      <c r="E30" s="97"/>
      <c r="F30" s="99"/>
      <c r="G30" s="111"/>
      <c r="H30" s="99"/>
      <c r="I30" s="108"/>
      <c r="J30" s="108"/>
      <c r="K30" s="109"/>
      <c r="L30" s="108"/>
      <c r="M30" s="110"/>
      <c r="N30" s="109"/>
      <c r="O30" s="110"/>
      <c r="P30" s="110"/>
      <c r="Q30" s="64"/>
      <c r="R30" s="64"/>
      <c r="S30" s="64"/>
    </row>
    <row r="31" customFormat="false" ht="15.75" hidden="false" customHeight="true" outlineLevel="0" collapsed="false">
      <c r="A31" s="94"/>
      <c r="B31" s="95"/>
      <c r="C31" s="115"/>
      <c r="D31" s="97"/>
      <c r="E31" s="97"/>
      <c r="F31" s="99"/>
      <c r="G31" s="111"/>
      <c r="H31" s="99"/>
      <c r="I31" s="108"/>
      <c r="J31" s="108"/>
      <c r="K31" s="109"/>
      <c r="L31" s="108"/>
      <c r="M31" s="110"/>
      <c r="N31" s="109"/>
      <c r="O31" s="110"/>
      <c r="P31" s="110"/>
      <c r="Q31" s="64"/>
      <c r="R31" s="64"/>
      <c r="S31" s="64"/>
    </row>
    <row r="32" customFormat="false" ht="15.75" hidden="false" customHeight="true" outlineLevel="0" collapsed="false">
      <c r="A32" s="94"/>
      <c r="B32" s="95"/>
      <c r="C32" s="116"/>
      <c r="D32" s="97"/>
      <c r="E32" s="97"/>
      <c r="F32" s="99"/>
      <c r="G32" s="111"/>
      <c r="H32" s="99"/>
      <c r="I32" s="108"/>
      <c r="J32" s="108"/>
      <c r="K32" s="109"/>
      <c r="L32" s="108"/>
      <c r="M32" s="110"/>
      <c r="N32" s="109"/>
      <c r="O32" s="110"/>
      <c r="P32" s="110"/>
      <c r="Q32" s="64"/>
      <c r="R32" s="64"/>
      <c r="S32" s="64"/>
    </row>
    <row r="33" customFormat="false" ht="15.75" hidden="false" customHeight="true" outlineLevel="0" collapsed="false">
      <c r="A33" s="94"/>
      <c r="B33" s="95"/>
      <c r="C33" s="107"/>
      <c r="D33" s="97"/>
      <c r="E33" s="97"/>
      <c r="F33" s="99"/>
      <c r="G33" s="111"/>
      <c r="H33" s="99"/>
      <c r="I33" s="108"/>
      <c r="J33" s="108"/>
      <c r="K33" s="109"/>
      <c r="L33" s="108"/>
      <c r="M33" s="110"/>
      <c r="N33" s="109"/>
      <c r="O33" s="110"/>
      <c r="P33" s="110"/>
      <c r="Q33" s="64"/>
      <c r="R33" s="64"/>
      <c r="S33" s="64"/>
    </row>
    <row r="34" customFormat="false" ht="15.75" hidden="false" customHeight="true" outlineLevel="0" collapsed="false">
      <c r="A34" s="117"/>
      <c r="B34" s="95"/>
      <c r="C34" s="115"/>
      <c r="D34" s="97"/>
      <c r="E34" s="97"/>
      <c r="F34" s="112"/>
      <c r="G34" s="113"/>
      <c r="H34" s="118"/>
      <c r="I34" s="108"/>
      <c r="J34" s="108"/>
      <c r="K34" s="109"/>
      <c r="L34" s="108"/>
      <c r="M34" s="110"/>
      <c r="N34" s="109"/>
      <c r="O34" s="110"/>
      <c r="P34" s="110"/>
      <c r="Q34" s="64"/>
      <c r="R34" s="64"/>
      <c r="S34" s="64"/>
    </row>
    <row r="35" customFormat="false" ht="15.75" hidden="false" customHeight="true" outlineLevel="0" collapsed="false">
      <c r="A35" s="117"/>
      <c r="B35" s="95"/>
      <c r="C35" s="115"/>
      <c r="D35" s="97"/>
      <c r="E35" s="97"/>
      <c r="F35" s="112"/>
      <c r="G35" s="113"/>
      <c r="H35" s="118"/>
      <c r="I35" s="108"/>
      <c r="J35" s="108"/>
      <c r="K35" s="109"/>
      <c r="L35" s="108"/>
      <c r="M35" s="110"/>
      <c r="N35" s="109"/>
      <c r="O35" s="110"/>
      <c r="P35" s="110"/>
      <c r="Q35" s="64"/>
      <c r="R35" s="64"/>
      <c r="S35" s="64"/>
    </row>
    <row r="36" customFormat="false" ht="15.75" hidden="false" customHeight="true" outlineLevel="0" collapsed="false">
      <c r="A36" s="94"/>
      <c r="B36" s="95"/>
      <c r="C36" s="115"/>
      <c r="D36" s="97"/>
      <c r="E36" s="97"/>
      <c r="F36" s="112"/>
      <c r="G36" s="113"/>
      <c r="H36" s="118"/>
      <c r="I36" s="108"/>
      <c r="J36" s="108"/>
      <c r="K36" s="109"/>
      <c r="L36" s="108"/>
      <c r="M36" s="110"/>
      <c r="N36" s="109"/>
      <c r="O36" s="110"/>
      <c r="P36" s="110"/>
    </row>
    <row r="37" customFormat="false" ht="15.75" hidden="false" customHeight="true" outlineLevel="0" collapsed="false">
      <c r="A37" s="94"/>
      <c r="B37" s="95"/>
      <c r="C37" s="119"/>
      <c r="D37" s="97"/>
      <c r="E37" s="97"/>
      <c r="F37" s="112"/>
      <c r="G37" s="113"/>
      <c r="H37" s="118"/>
      <c r="I37" s="108"/>
      <c r="J37" s="108"/>
      <c r="K37" s="109"/>
      <c r="L37" s="108"/>
      <c r="M37" s="110"/>
      <c r="N37" s="109"/>
      <c r="O37" s="110"/>
      <c r="P37" s="110"/>
    </row>
    <row r="38" customFormat="false" ht="15.75" hidden="false" customHeight="true" outlineLevel="0" collapsed="false">
      <c r="A38" s="120"/>
      <c r="B38" s="95"/>
      <c r="C38" s="119"/>
      <c r="D38" s="97"/>
      <c r="E38" s="97"/>
      <c r="F38" s="112"/>
      <c r="G38" s="113"/>
      <c r="H38" s="118"/>
      <c r="I38" s="108"/>
      <c r="J38" s="108"/>
      <c r="K38" s="109"/>
      <c r="L38" s="108"/>
      <c r="M38" s="110"/>
      <c r="N38" s="109"/>
      <c r="O38" s="110"/>
      <c r="P38" s="110"/>
    </row>
    <row r="39" customFormat="false" ht="15.75" hidden="false" customHeight="true" outlineLevel="0" collapsed="false">
      <c r="A39" s="121"/>
      <c r="B39" s="95"/>
      <c r="C39" s="119"/>
      <c r="D39" s="97"/>
      <c r="E39" s="122"/>
      <c r="F39" s="111"/>
      <c r="G39" s="111"/>
      <c r="H39" s="99"/>
      <c r="I39" s="108"/>
      <c r="J39" s="108"/>
      <c r="K39" s="109"/>
      <c r="L39" s="108"/>
      <c r="M39" s="110"/>
      <c r="N39" s="109"/>
      <c r="O39" s="110"/>
      <c r="P39" s="110"/>
    </row>
    <row r="40" customFormat="false" ht="15" hidden="false" customHeight="true" outlineLevel="0" collapsed="false">
      <c r="A40" s="94"/>
      <c r="B40" s="95"/>
      <c r="C40" s="96"/>
      <c r="D40" s="97"/>
      <c r="E40" s="97"/>
      <c r="F40" s="97"/>
      <c r="G40" s="98"/>
      <c r="H40" s="99"/>
      <c r="I40" s="100"/>
      <c r="J40" s="101"/>
      <c r="K40" s="105"/>
      <c r="L40" s="100"/>
      <c r="M40" s="104"/>
      <c r="N40" s="105"/>
      <c r="O40" s="104"/>
      <c r="P40" s="104"/>
    </row>
    <row r="41" customFormat="false" ht="15" hidden="false" customHeight="true" outlineLevel="0" collapsed="false">
      <c r="A41" s="94"/>
      <c r="B41" s="95"/>
      <c r="C41" s="96"/>
      <c r="D41" s="97"/>
      <c r="E41" s="97"/>
      <c r="F41" s="97"/>
      <c r="G41" s="98"/>
      <c r="H41" s="99"/>
      <c r="I41" s="100"/>
      <c r="J41" s="100"/>
      <c r="K41" s="105"/>
      <c r="L41" s="100"/>
      <c r="M41" s="104"/>
      <c r="N41" s="105"/>
      <c r="O41" s="104"/>
      <c r="P41" s="104"/>
    </row>
    <row r="42" customFormat="false" ht="15" hidden="false" customHeight="true" outlineLevel="0" collapsed="false">
      <c r="A42" s="94"/>
      <c r="B42" s="95"/>
      <c r="C42" s="96"/>
      <c r="D42" s="97"/>
      <c r="E42" s="97"/>
      <c r="F42" s="97"/>
      <c r="G42" s="98"/>
      <c r="H42" s="99"/>
      <c r="I42" s="100"/>
      <c r="J42" s="101"/>
      <c r="K42" s="102"/>
      <c r="L42" s="100"/>
      <c r="M42" s="104"/>
      <c r="N42" s="102"/>
      <c r="O42" s="104"/>
      <c r="P42" s="104"/>
    </row>
    <row r="43" customFormat="false" ht="15" hidden="false" customHeight="true" outlineLevel="0" collapsed="false">
      <c r="A43" s="94"/>
      <c r="B43" s="95"/>
      <c r="C43" s="96"/>
      <c r="D43" s="97"/>
      <c r="E43" s="97"/>
      <c r="F43" s="97"/>
      <c r="G43" s="98"/>
      <c r="H43" s="99"/>
      <c r="I43" s="100"/>
      <c r="J43" s="101"/>
      <c r="K43" s="105"/>
      <c r="L43" s="100"/>
      <c r="M43" s="104"/>
      <c r="N43" s="105"/>
      <c r="O43" s="104"/>
      <c r="P43" s="104"/>
    </row>
    <row r="44" customFormat="false" ht="15" hidden="false" customHeight="true" outlineLevel="0" collapsed="false">
      <c r="A44" s="94"/>
      <c r="B44" s="95"/>
      <c r="C44" s="106"/>
      <c r="D44" s="97"/>
      <c r="E44" s="97"/>
      <c r="F44" s="97"/>
      <c r="G44" s="98"/>
      <c r="H44" s="99"/>
      <c r="I44" s="100"/>
      <c r="J44" s="101"/>
      <c r="K44" s="102"/>
      <c r="L44" s="100"/>
      <c r="M44" s="104"/>
      <c r="N44" s="102"/>
      <c r="O44" s="104"/>
      <c r="P44" s="104"/>
    </row>
    <row r="45" customFormat="false" ht="15" hidden="false" customHeight="true" outlineLevel="0" collapsed="false">
      <c r="A45" s="94"/>
      <c r="B45" s="95"/>
      <c r="C45" s="106"/>
      <c r="D45" s="97"/>
      <c r="E45" s="97"/>
      <c r="F45" s="97"/>
      <c r="G45" s="98"/>
      <c r="H45" s="99"/>
      <c r="I45" s="100"/>
      <c r="J45" s="100"/>
      <c r="K45" s="105"/>
      <c r="L45" s="100"/>
      <c r="M45" s="104"/>
      <c r="N45" s="105"/>
      <c r="O45" s="104"/>
      <c r="P45" s="104"/>
    </row>
    <row r="46" customFormat="false" ht="15" hidden="false" customHeight="true" outlineLevel="0" collapsed="false">
      <c r="A46" s="94"/>
      <c r="B46" s="95"/>
      <c r="C46" s="106"/>
      <c r="D46" s="97"/>
      <c r="E46" s="97"/>
      <c r="F46" s="97"/>
      <c r="G46" s="98"/>
      <c r="H46" s="99"/>
      <c r="I46" s="100"/>
      <c r="J46" s="100"/>
      <c r="K46" s="105"/>
      <c r="L46" s="100"/>
      <c r="M46" s="104"/>
      <c r="N46" s="105"/>
      <c r="O46" s="104"/>
      <c r="P46" s="104"/>
    </row>
    <row r="47" customFormat="false" ht="15" hidden="false" customHeight="true" outlineLevel="0" collapsed="false">
      <c r="A47" s="94"/>
      <c r="B47" s="95"/>
      <c r="C47" s="106"/>
      <c r="D47" s="97"/>
      <c r="E47" s="97"/>
      <c r="F47" s="97"/>
      <c r="G47" s="98"/>
      <c r="H47" s="99"/>
      <c r="I47" s="100"/>
      <c r="J47" s="100"/>
      <c r="K47" s="105"/>
      <c r="L47" s="100"/>
      <c r="M47" s="104"/>
      <c r="N47" s="105"/>
      <c r="O47" s="104"/>
      <c r="P47" s="104"/>
    </row>
    <row r="48" customFormat="false" ht="15" hidden="false" customHeight="true" outlineLevel="0" collapsed="false">
      <c r="A48" s="94"/>
      <c r="B48" s="95"/>
      <c r="C48" s="106"/>
      <c r="D48" s="97"/>
      <c r="E48" s="97"/>
      <c r="F48" s="97"/>
      <c r="G48" s="98"/>
      <c r="H48" s="99"/>
      <c r="I48" s="100"/>
      <c r="J48" s="100"/>
      <c r="K48" s="105"/>
      <c r="L48" s="100"/>
      <c r="M48" s="104"/>
      <c r="N48" s="105"/>
      <c r="O48" s="104"/>
      <c r="P48" s="104"/>
    </row>
    <row r="49" customFormat="false" ht="15" hidden="false" customHeight="true" outlineLevel="0" collapsed="false">
      <c r="A49" s="94"/>
      <c r="B49" s="95"/>
      <c r="C49" s="106"/>
      <c r="D49" s="97"/>
      <c r="E49" s="97"/>
      <c r="F49" s="97"/>
      <c r="G49" s="98"/>
      <c r="H49" s="99"/>
      <c r="I49" s="100"/>
      <c r="J49" s="100"/>
      <c r="K49" s="105"/>
      <c r="L49" s="100"/>
      <c r="M49" s="104"/>
      <c r="N49" s="105"/>
      <c r="O49" s="104"/>
      <c r="P49" s="104"/>
    </row>
    <row r="50" customFormat="false" ht="15" hidden="false" customHeight="true" outlineLevel="0" collapsed="false">
      <c r="A50" s="94"/>
      <c r="B50" s="95"/>
      <c r="C50" s="106"/>
      <c r="D50" s="97"/>
      <c r="E50" s="97"/>
      <c r="F50" s="97"/>
      <c r="G50" s="98"/>
      <c r="H50" s="99"/>
      <c r="I50" s="100"/>
      <c r="J50" s="100"/>
      <c r="K50" s="105"/>
      <c r="L50" s="100"/>
      <c r="M50" s="104"/>
      <c r="N50" s="105"/>
      <c r="O50" s="104"/>
      <c r="P50" s="104"/>
    </row>
    <row r="51" customFormat="false" ht="15" hidden="false" customHeight="true" outlineLevel="0" collapsed="false">
      <c r="A51" s="106"/>
      <c r="B51" s="95"/>
      <c r="C51" s="106"/>
      <c r="D51" s="97"/>
      <c r="E51" s="97"/>
      <c r="F51" s="97"/>
      <c r="G51" s="98"/>
      <c r="H51" s="99"/>
      <c r="I51" s="100"/>
      <c r="J51" s="100"/>
      <c r="K51" s="105"/>
      <c r="L51" s="100"/>
      <c r="M51" s="104"/>
      <c r="N51" s="105"/>
      <c r="O51" s="104"/>
      <c r="P51" s="104"/>
    </row>
    <row r="52" customFormat="false" ht="21" hidden="false" customHeight="true" outlineLevel="0" collapsed="false">
      <c r="A52" s="123" t="s">
        <v>81</v>
      </c>
      <c r="B52" s="124"/>
      <c r="C52" s="124"/>
      <c r="D52" s="124"/>
      <c r="E52" s="124"/>
      <c r="F52" s="125"/>
      <c r="G52" s="125"/>
      <c r="H52" s="125"/>
      <c r="I52" s="125"/>
      <c r="J52" s="125"/>
      <c r="K52" s="125"/>
      <c r="L52" s="125"/>
      <c r="M52" s="125"/>
      <c r="N52" s="125"/>
      <c r="O52" s="125"/>
      <c r="P52" s="126"/>
    </row>
    <row r="53" customFormat="false" ht="15" hidden="false" customHeight="true" outlineLevel="0" collapsed="false">
      <c r="A53" s="127"/>
      <c r="B53" s="128"/>
      <c r="C53" s="129"/>
      <c r="D53" s="130"/>
      <c r="E53" s="131"/>
      <c r="F53" s="132"/>
      <c r="G53" s="133"/>
      <c r="H53" s="134"/>
      <c r="I53" s="128"/>
      <c r="J53" s="133"/>
      <c r="K53" s="135"/>
      <c r="L53" s="104"/>
      <c r="M53" s="103"/>
      <c r="N53" s="136"/>
      <c r="O53" s="104"/>
      <c r="P53" s="137"/>
    </row>
    <row r="54" customFormat="false" ht="15" hidden="false" customHeight="true" outlineLevel="0" collapsed="false">
      <c r="A54" s="127"/>
      <c r="B54" s="128"/>
      <c r="C54" s="129"/>
      <c r="D54" s="130"/>
      <c r="E54" s="131"/>
      <c r="F54" s="132"/>
      <c r="G54" s="133"/>
      <c r="H54" s="134"/>
      <c r="I54" s="128"/>
      <c r="J54" s="133"/>
      <c r="K54" s="135"/>
      <c r="L54" s="104"/>
      <c r="M54" s="103"/>
      <c r="N54" s="136"/>
      <c r="O54" s="104"/>
      <c r="P54" s="137"/>
    </row>
    <row r="55" customFormat="false" ht="15" hidden="false" customHeight="true" outlineLevel="0" collapsed="false">
      <c r="A55" s="127"/>
      <c r="B55" s="128"/>
      <c r="C55" s="129"/>
      <c r="D55" s="130"/>
      <c r="E55" s="131"/>
      <c r="F55" s="132"/>
      <c r="G55" s="133"/>
      <c r="H55" s="134"/>
      <c r="I55" s="128"/>
      <c r="J55" s="133"/>
      <c r="K55" s="135"/>
      <c r="L55" s="104"/>
      <c r="M55" s="104"/>
      <c r="N55" s="134"/>
      <c r="O55" s="104"/>
      <c r="P55" s="138"/>
      <c r="Q55" s="64"/>
    </row>
    <row r="56" customFormat="false" ht="15" hidden="false" customHeight="true" outlineLevel="0" collapsed="false">
      <c r="A56" s="127"/>
      <c r="B56" s="128"/>
      <c r="C56" s="129"/>
      <c r="D56" s="130"/>
      <c r="E56" s="131"/>
      <c r="F56" s="132"/>
      <c r="G56" s="133"/>
      <c r="H56" s="118"/>
      <c r="I56" s="128"/>
      <c r="J56" s="128"/>
      <c r="K56" s="135"/>
      <c r="L56" s="104"/>
      <c r="M56" s="104"/>
      <c r="N56" s="134"/>
      <c r="O56" s="104"/>
      <c r="P56" s="138"/>
      <c r="Q56" s="64"/>
    </row>
    <row r="57" customFormat="false" ht="15" hidden="false" customHeight="true" outlineLevel="0" collapsed="false">
      <c r="A57" s="127"/>
      <c r="B57" s="128"/>
      <c r="C57" s="129"/>
      <c r="D57" s="130"/>
      <c r="E57" s="131"/>
      <c r="F57" s="128"/>
      <c r="G57" s="133"/>
      <c r="H57" s="135"/>
      <c r="I57" s="128"/>
      <c r="J57" s="133"/>
      <c r="K57" s="135"/>
      <c r="L57" s="104"/>
      <c r="M57" s="104"/>
      <c r="N57" s="134"/>
      <c r="O57" s="104"/>
      <c r="P57" s="138"/>
      <c r="Q57" s="64"/>
    </row>
    <row r="58" customFormat="false" ht="15" hidden="false" customHeight="true" outlineLevel="0" collapsed="false">
      <c r="A58" s="139"/>
      <c r="B58" s="104"/>
      <c r="C58" s="129"/>
      <c r="D58" s="130"/>
      <c r="E58" s="131"/>
      <c r="F58" s="131"/>
      <c r="G58" s="103"/>
      <c r="H58" s="130"/>
      <c r="I58" s="131"/>
      <c r="J58" s="133"/>
      <c r="K58" s="130"/>
      <c r="L58" s="131"/>
      <c r="M58" s="131"/>
      <c r="N58" s="130"/>
      <c r="O58" s="131"/>
      <c r="P58" s="138"/>
      <c r="Q58" s="64"/>
    </row>
    <row r="59" customFormat="false" ht="15" hidden="false" customHeight="true" outlineLevel="0" collapsed="false">
      <c r="A59" s="127"/>
      <c r="B59" s="128"/>
      <c r="C59" s="129"/>
      <c r="D59" s="130"/>
      <c r="E59" s="131"/>
      <c r="F59" s="132"/>
      <c r="G59" s="133"/>
      <c r="H59" s="134"/>
      <c r="I59" s="128"/>
      <c r="J59" s="133"/>
      <c r="K59" s="135"/>
      <c r="L59" s="104"/>
      <c r="M59" s="103"/>
      <c r="N59" s="134"/>
      <c r="O59" s="104"/>
      <c r="P59" s="137"/>
      <c r="Q59" s="140"/>
    </row>
    <row r="60" customFormat="false" ht="15" hidden="false" customHeight="true" outlineLevel="0" collapsed="false">
      <c r="A60" s="127"/>
      <c r="B60" s="128"/>
      <c r="C60" s="129"/>
      <c r="D60" s="130"/>
      <c r="E60" s="131"/>
      <c r="F60" s="132"/>
      <c r="G60" s="133"/>
      <c r="H60" s="134"/>
      <c r="I60" s="128"/>
      <c r="J60" s="133"/>
      <c r="K60" s="135"/>
      <c r="L60" s="104"/>
      <c r="M60" s="104"/>
      <c r="N60" s="134"/>
      <c r="O60" s="104"/>
      <c r="P60" s="138"/>
      <c r="Q60" s="64"/>
    </row>
    <row r="61" customFormat="false" ht="15" hidden="false" customHeight="true" outlineLevel="0" collapsed="false">
      <c r="A61" s="141"/>
      <c r="B61" s="104"/>
      <c r="C61" s="142"/>
      <c r="D61" s="130"/>
      <c r="E61" s="131"/>
      <c r="F61" s="143"/>
      <c r="G61" s="103"/>
      <c r="H61" s="134"/>
      <c r="I61" s="110"/>
      <c r="J61" s="144"/>
      <c r="K61" s="145"/>
      <c r="L61" s="104"/>
      <c r="M61" s="104"/>
      <c r="N61" s="134"/>
      <c r="O61" s="104"/>
      <c r="P61" s="138"/>
      <c r="Q61" s="64"/>
    </row>
    <row r="62" customFormat="false" ht="15" hidden="false" customHeight="true" outlineLevel="0" collapsed="false">
      <c r="A62" s="127"/>
      <c r="B62" s="128"/>
      <c r="C62" s="129"/>
      <c r="D62" s="130"/>
      <c r="E62" s="131"/>
      <c r="F62" s="132"/>
      <c r="G62" s="133"/>
      <c r="H62" s="134"/>
      <c r="I62" s="128"/>
      <c r="J62" s="133"/>
      <c r="K62" s="145"/>
      <c r="L62" s="104"/>
      <c r="M62" s="103"/>
      <c r="N62" s="134"/>
      <c r="O62" s="104"/>
      <c r="P62" s="138"/>
      <c r="Q62" s="64"/>
    </row>
    <row r="63" customFormat="false" ht="15" hidden="false" customHeight="true" outlineLevel="0" collapsed="false">
      <c r="A63" s="141"/>
      <c r="B63" s="104"/>
      <c r="C63" s="146"/>
      <c r="D63" s="130"/>
      <c r="E63" s="131"/>
      <c r="F63" s="143"/>
      <c r="G63" s="103"/>
      <c r="H63" s="134"/>
      <c r="I63" s="110"/>
      <c r="J63" s="144"/>
      <c r="K63" s="145"/>
      <c r="L63" s="104"/>
      <c r="M63" s="103"/>
      <c r="N63" s="134"/>
      <c r="O63" s="104"/>
      <c r="P63" s="138"/>
      <c r="Q63" s="64"/>
    </row>
    <row r="64" customFormat="false" ht="15" hidden="false" customHeight="true" outlineLevel="0" collapsed="false">
      <c r="A64" s="141"/>
      <c r="B64" s="104"/>
      <c r="C64" s="146"/>
      <c r="D64" s="130"/>
      <c r="E64" s="131"/>
      <c r="F64" s="143"/>
      <c r="G64" s="103"/>
      <c r="H64" s="134"/>
      <c r="I64" s="110"/>
      <c r="J64" s="144"/>
      <c r="K64" s="145"/>
      <c r="L64" s="104"/>
      <c r="M64" s="104"/>
      <c r="N64" s="134"/>
      <c r="O64" s="104"/>
      <c r="P64" s="138"/>
      <c r="Q64" s="64"/>
    </row>
    <row r="65" customFormat="false" ht="15" hidden="false" customHeight="true" outlineLevel="0" collapsed="false">
      <c r="A65" s="127"/>
      <c r="B65" s="128"/>
      <c r="C65" s="129"/>
      <c r="D65" s="130"/>
      <c r="E65" s="131"/>
      <c r="F65" s="132"/>
      <c r="G65" s="133"/>
      <c r="H65" s="134"/>
      <c r="I65" s="128"/>
      <c r="J65" s="133"/>
      <c r="K65" s="147"/>
      <c r="L65" s="104"/>
      <c r="M65" s="104"/>
      <c r="N65" s="134"/>
      <c r="O65" s="104"/>
      <c r="P65" s="138"/>
      <c r="Q65" s="64"/>
    </row>
    <row r="66" customFormat="false" ht="15" hidden="false" customHeight="true" outlineLevel="0" collapsed="false">
      <c r="A66" s="127"/>
      <c r="B66" s="128"/>
      <c r="C66" s="146"/>
      <c r="D66" s="130"/>
      <c r="E66" s="131"/>
      <c r="F66" s="132"/>
      <c r="G66" s="133"/>
      <c r="H66" s="134"/>
      <c r="I66" s="128"/>
      <c r="J66" s="133"/>
      <c r="K66" s="145"/>
      <c r="L66" s="104"/>
      <c r="M66" s="104"/>
      <c r="N66" s="134"/>
      <c r="O66" s="104"/>
      <c r="P66" s="138"/>
      <c r="Q66" s="64"/>
    </row>
    <row r="67" customFormat="false" ht="15" hidden="false" customHeight="true" outlineLevel="0" collapsed="false">
      <c r="A67" s="127"/>
      <c r="B67" s="128"/>
      <c r="C67" s="146"/>
      <c r="D67" s="130"/>
      <c r="E67" s="131"/>
      <c r="F67" s="132"/>
      <c r="G67" s="133"/>
      <c r="H67" s="134"/>
      <c r="I67" s="128"/>
      <c r="J67" s="133"/>
      <c r="K67" s="135"/>
      <c r="L67" s="104"/>
      <c r="M67" s="104"/>
      <c r="N67" s="134"/>
      <c r="O67" s="104"/>
      <c r="P67" s="138"/>
      <c r="Q67" s="64"/>
    </row>
    <row r="68" customFormat="false" ht="15" hidden="false" customHeight="true" outlineLevel="0" collapsed="false">
      <c r="A68" s="127"/>
      <c r="B68" s="128"/>
      <c r="C68" s="146"/>
      <c r="D68" s="130"/>
      <c r="E68" s="131"/>
      <c r="F68" s="132"/>
      <c r="G68" s="133"/>
      <c r="H68" s="134"/>
      <c r="I68" s="128"/>
      <c r="J68" s="128"/>
      <c r="K68" s="147"/>
      <c r="L68" s="104"/>
      <c r="M68" s="104"/>
      <c r="N68" s="134"/>
      <c r="O68" s="104"/>
      <c r="P68" s="138"/>
      <c r="Q68" s="64"/>
    </row>
    <row r="69" customFormat="false" ht="15" hidden="false" customHeight="true" outlineLevel="0" collapsed="false">
      <c r="A69" s="127"/>
      <c r="B69" s="128"/>
      <c r="C69" s="146"/>
      <c r="D69" s="130"/>
      <c r="E69" s="131"/>
      <c r="F69" s="132"/>
      <c r="G69" s="133"/>
      <c r="H69" s="134"/>
      <c r="I69" s="128"/>
      <c r="J69" s="133"/>
      <c r="K69" s="135"/>
      <c r="L69" s="104"/>
      <c r="M69" s="103"/>
      <c r="N69" s="136"/>
      <c r="O69" s="104"/>
      <c r="P69" s="138"/>
      <c r="Q69" s="64"/>
    </row>
    <row r="70" customFormat="false" ht="14.25" hidden="false" customHeight="true" outlineLevel="0" collapsed="false">
      <c r="A70" s="127"/>
      <c r="B70" s="128"/>
      <c r="C70" s="146"/>
      <c r="D70" s="130"/>
      <c r="E70" s="131"/>
      <c r="F70" s="132"/>
      <c r="G70" s="148"/>
      <c r="I70" s="128"/>
      <c r="J70" s="133"/>
      <c r="K70" s="134"/>
      <c r="L70" s="104"/>
      <c r="M70" s="103"/>
      <c r="N70" s="118"/>
      <c r="O70" s="104"/>
      <c r="P70" s="138"/>
      <c r="Q70" s="64"/>
    </row>
    <row r="71" customFormat="false" ht="15" hidden="false" customHeight="true" outlineLevel="0" collapsed="false">
      <c r="A71" s="127"/>
      <c r="B71" s="128"/>
      <c r="C71" s="146"/>
      <c r="D71" s="130"/>
      <c r="E71" s="131"/>
      <c r="F71" s="132"/>
      <c r="G71" s="133"/>
      <c r="H71" s="134"/>
      <c r="I71" s="128"/>
      <c r="J71" s="133"/>
      <c r="K71" s="135"/>
      <c r="L71" s="104"/>
      <c r="M71" s="103"/>
      <c r="N71" s="136"/>
      <c r="O71" s="104"/>
      <c r="P71" s="137"/>
      <c r="Q71" s="140"/>
    </row>
    <row r="72" customFormat="false" ht="15" hidden="false" customHeight="true" outlineLevel="0" collapsed="false">
      <c r="A72" s="127"/>
      <c r="B72" s="128"/>
      <c r="C72" s="146"/>
      <c r="D72" s="130"/>
      <c r="E72" s="131"/>
      <c r="F72" s="132"/>
      <c r="G72" s="133"/>
      <c r="H72" s="134"/>
      <c r="I72" s="128"/>
      <c r="J72" s="133"/>
      <c r="K72" s="135"/>
      <c r="L72" s="104"/>
      <c r="M72" s="103"/>
      <c r="N72" s="136"/>
      <c r="O72" s="104"/>
      <c r="P72" s="138"/>
      <c r="Q72" s="64"/>
    </row>
    <row r="73" customFormat="false" ht="15" hidden="false" customHeight="true" outlineLevel="0" collapsed="false">
      <c r="A73" s="127"/>
      <c r="B73" s="128"/>
      <c r="C73" s="146"/>
      <c r="D73" s="130"/>
      <c r="E73" s="131"/>
      <c r="F73" s="132"/>
      <c r="G73" s="133"/>
      <c r="H73" s="134"/>
      <c r="I73" s="128"/>
      <c r="J73" s="133"/>
      <c r="K73" s="135"/>
      <c r="L73" s="104"/>
      <c r="M73" s="103"/>
      <c r="N73" s="136"/>
      <c r="O73" s="104"/>
      <c r="P73" s="138"/>
      <c r="Q73" s="64"/>
    </row>
    <row r="74" customFormat="false" ht="15" hidden="false" customHeight="true" outlineLevel="0" collapsed="false">
      <c r="A74" s="127"/>
      <c r="B74" s="128"/>
      <c r="C74" s="146"/>
      <c r="D74" s="130"/>
      <c r="E74" s="131"/>
      <c r="F74" s="132"/>
      <c r="G74" s="133"/>
      <c r="H74" s="134"/>
      <c r="I74" s="128"/>
      <c r="J74" s="133"/>
      <c r="K74" s="135"/>
      <c r="L74" s="104"/>
      <c r="M74" s="103"/>
      <c r="N74" s="136"/>
      <c r="O74" s="104"/>
      <c r="P74" s="138"/>
      <c r="Q74" s="64"/>
    </row>
    <row r="75" customFormat="false" ht="15" hidden="false" customHeight="true" outlineLevel="0" collapsed="false">
      <c r="A75" s="127"/>
      <c r="B75" s="128"/>
      <c r="C75" s="146"/>
      <c r="D75" s="130"/>
      <c r="E75" s="131"/>
      <c r="F75" s="132"/>
      <c r="G75" s="133"/>
      <c r="H75" s="134"/>
      <c r="I75" s="128"/>
      <c r="J75" s="133"/>
      <c r="K75" s="135"/>
      <c r="L75" s="104"/>
      <c r="M75" s="103"/>
      <c r="N75" s="136"/>
      <c r="O75" s="104"/>
      <c r="P75" s="138"/>
      <c r="Q75" s="64"/>
    </row>
    <row r="76" customFormat="false" ht="15" hidden="false" customHeight="true" outlineLevel="0" collapsed="false">
      <c r="A76" s="127"/>
      <c r="B76" s="128"/>
      <c r="C76" s="146"/>
      <c r="D76" s="130"/>
      <c r="E76" s="131"/>
      <c r="F76" s="132"/>
      <c r="G76" s="133"/>
      <c r="H76" s="134"/>
      <c r="I76" s="128"/>
      <c r="J76" s="133"/>
      <c r="K76" s="135"/>
      <c r="L76" s="104"/>
      <c r="M76" s="103"/>
      <c r="N76" s="136"/>
      <c r="O76" s="104"/>
      <c r="P76" s="138"/>
      <c r="Q76" s="64"/>
    </row>
    <row r="77" customFormat="false" ht="15" hidden="false" customHeight="true" outlineLevel="0" collapsed="false">
      <c r="A77" s="127"/>
      <c r="B77" s="128"/>
      <c r="C77" s="146"/>
      <c r="D77" s="130"/>
      <c r="E77" s="131"/>
      <c r="F77" s="132"/>
      <c r="G77" s="149"/>
      <c r="H77" s="150"/>
      <c r="I77" s="128"/>
      <c r="J77" s="133"/>
      <c r="K77" s="135"/>
      <c r="L77" s="104"/>
      <c r="M77" s="103"/>
      <c r="N77" s="136"/>
      <c r="O77" s="104"/>
      <c r="P77" s="138"/>
      <c r="Q77" s="64"/>
    </row>
    <row r="78" customFormat="false" ht="19.5" hidden="false" customHeight="true" outlineLevel="0" collapsed="false">
      <c r="A78" s="123" t="s">
        <v>82</v>
      </c>
      <c r="B78" s="124"/>
      <c r="C78" s="124"/>
      <c r="D78" s="124"/>
      <c r="E78" s="124"/>
      <c r="F78" s="125"/>
      <c r="G78" s="125"/>
      <c r="H78" s="125"/>
      <c r="I78" s="125"/>
      <c r="J78" s="125"/>
      <c r="K78" s="125"/>
      <c r="L78" s="125"/>
      <c r="M78" s="125"/>
      <c r="N78" s="125"/>
      <c r="O78" s="125"/>
      <c r="P78" s="126"/>
      <c r="Q78" s="64"/>
    </row>
    <row r="79" customFormat="false" ht="15" hidden="false" customHeight="true" outlineLevel="0" collapsed="false">
      <c r="A79" s="127"/>
      <c r="B79" s="128"/>
      <c r="C79" s="146"/>
      <c r="D79" s="130"/>
      <c r="E79" s="151"/>
      <c r="F79" s="132"/>
      <c r="G79" s="133"/>
      <c r="H79" s="134"/>
      <c r="I79" s="128"/>
      <c r="J79" s="133"/>
      <c r="K79" s="135"/>
      <c r="L79" s="104"/>
      <c r="M79" s="103"/>
      <c r="N79" s="134"/>
      <c r="O79" s="104"/>
      <c r="P79" s="138"/>
      <c r="Q79" s="64"/>
    </row>
    <row r="80" customFormat="false" ht="15" hidden="false" customHeight="true" outlineLevel="0" collapsed="false">
      <c r="A80" s="127"/>
      <c r="B80" s="128"/>
      <c r="C80" s="146"/>
      <c r="D80" s="130"/>
      <c r="E80" s="151"/>
      <c r="F80" s="132"/>
      <c r="G80" s="133"/>
      <c r="H80" s="134"/>
      <c r="I80" s="152"/>
      <c r="J80" s="103"/>
      <c r="K80" s="134"/>
      <c r="L80" s="104"/>
      <c r="M80" s="104"/>
      <c r="N80" s="134"/>
      <c r="O80" s="104"/>
      <c r="P80" s="138"/>
      <c r="Q80" s="64"/>
    </row>
    <row r="81" customFormat="false" ht="15" hidden="false" customHeight="true" outlineLevel="0" collapsed="false">
      <c r="A81" s="141"/>
      <c r="B81" s="128"/>
      <c r="C81" s="146"/>
      <c r="D81" s="130"/>
      <c r="E81" s="151"/>
      <c r="F81" s="143"/>
      <c r="G81" s="103"/>
      <c r="H81" s="134"/>
      <c r="I81" s="110"/>
      <c r="J81" s="144"/>
      <c r="K81" s="134"/>
      <c r="L81" s="104"/>
      <c r="M81" s="104"/>
      <c r="N81" s="134"/>
      <c r="O81" s="104"/>
      <c r="P81" s="138"/>
      <c r="Q81" s="64"/>
    </row>
    <row r="82" customFormat="false" ht="15" hidden="false" customHeight="true" outlineLevel="0" collapsed="false">
      <c r="A82" s="141"/>
      <c r="B82" s="104"/>
      <c r="C82" s="153"/>
      <c r="D82" s="130"/>
      <c r="E82" s="151"/>
      <c r="F82" s="132"/>
      <c r="G82" s="133"/>
      <c r="H82" s="134"/>
      <c r="I82" s="128"/>
      <c r="J82" s="103"/>
      <c r="K82" s="134"/>
      <c r="L82" s="104"/>
      <c r="M82" s="104"/>
      <c r="N82" s="134"/>
      <c r="O82" s="104"/>
      <c r="P82" s="138"/>
      <c r="Q82" s="64"/>
    </row>
    <row r="83" customFormat="false" ht="15" hidden="false" customHeight="true" outlineLevel="0" collapsed="false">
      <c r="A83" s="141"/>
      <c r="B83" s="104"/>
      <c r="C83" s="154"/>
      <c r="D83" s="130"/>
      <c r="E83" s="151"/>
      <c r="F83" s="132"/>
      <c r="G83" s="133"/>
      <c r="H83" s="134"/>
      <c r="I83" s="128"/>
      <c r="J83" s="103"/>
      <c r="K83" s="134"/>
      <c r="L83" s="104"/>
      <c r="M83" s="104"/>
      <c r="N83" s="134"/>
      <c r="O83" s="104"/>
      <c r="P83" s="138"/>
      <c r="Q83" s="64"/>
    </row>
    <row r="84" customFormat="false" ht="15" hidden="false" customHeight="true" outlineLevel="0" collapsed="false">
      <c r="A84" s="141"/>
      <c r="B84" s="104"/>
      <c r="C84" s="153"/>
      <c r="D84" s="130"/>
      <c r="E84" s="151"/>
      <c r="F84" s="143"/>
      <c r="G84" s="103"/>
      <c r="H84" s="134"/>
      <c r="I84" s="110"/>
      <c r="J84" s="144"/>
      <c r="K84" s="145"/>
      <c r="L84" s="104"/>
      <c r="M84" s="104"/>
      <c r="N84" s="134"/>
      <c r="O84" s="104"/>
      <c r="P84" s="138"/>
      <c r="Q84" s="64"/>
    </row>
    <row r="85" customFormat="false" ht="15" hidden="false" customHeight="true" outlineLevel="0" collapsed="false">
      <c r="A85" s="141"/>
      <c r="B85" s="104"/>
      <c r="C85" s="154"/>
      <c r="D85" s="130"/>
      <c r="E85" s="151"/>
      <c r="F85" s="132"/>
      <c r="G85" s="133"/>
      <c r="H85" s="134"/>
      <c r="I85" s="128"/>
      <c r="J85" s="103"/>
      <c r="K85" s="134"/>
      <c r="L85" s="110"/>
      <c r="M85" s="110"/>
      <c r="N85" s="155"/>
      <c r="O85" s="110"/>
      <c r="P85" s="156"/>
      <c r="Q85" s="64"/>
    </row>
    <row r="86" customFormat="false" ht="15" hidden="false" customHeight="true" outlineLevel="0" collapsed="false">
      <c r="A86" s="141"/>
      <c r="B86" s="104"/>
      <c r="C86" s="153"/>
      <c r="D86" s="130"/>
      <c r="E86" s="151"/>
      <c r="F86" s="143"/>
      <c r="G86" s="103"/>
      <c r="H86" s="134"/>
      <c r="I86" s="110"/>
      <c r="J86" s="144"/>
      <c r="K86" s="145"/>
      <c r="L86" s="104"/>
      <c r="M86" s="103"/>
      <c r="N86" s="136"/>
      <c r="O86" s="104"/>
      <c r="P86" s="138"/>
      <c r="Q86" s="64"/>
    </row>
    <row r="87" customFormat="false" ht="15" hidden="false" customHeight="true" outlineLevel="0" collapsed="false">
      <c r="A87" s="141"/>
      <c r="B87" s="128"/>
      <c r="C87" s="146"/>
      <c r="D87" s="130"/>
      <c r="E87" s="151"/>
      <c r="F87" s="130"/>
      <c r="G87" s="157"/>
      <c r="H87" s="134"/>
      <c r="I87" s="156"/>
      <c r="J87" s="156"/>
      <c r="K87" s="127"/>
      <c r="L87" s="110"/>
      <c r="M87" s="110"/>
      <c r="N87" s="155"/>
      <c r="O87" s="110"/>
      <c r="P87" s="156"/>
      <c r="Q87" s="64"/>
    </row>
    <row r="88" customFormat="false" ht="15" hidden="false" customHeight="true" outlineLevel="0" collapsed="false">
      <c r="A88" s="141"/>
      <c r="B88" s="128"/>
      <c r="C88" s="146"/>
      <c r="D88" s="130"/>
      <c r="E88" s="151"/>
      <c r="F88" s="132"/>
      <c r="G88" s="133"/>
      <c r="H88" s="134"/>
      <c r="I88" s="156"/>
      <c r="J88" s="156"/>
      <c r="K88" s="127"/>
      <c r="L88" s="110"/>
      <c r="M88" s="110"/>
      <c r="N88" s="155"/>
      <c r="O88" s="110"/>
      <c r="P88" s="156"/>
      <c r="Q88" s="64"/>
    </row>
    <row r="89" customFormat="false" ht="21" hidden="false" customHeight="true" outlineLevel="0" collapsed="false">
      <c r="A89" s="158" t="s">
        <v>83</v>
      </c>
      <c r="B89" s="159"/>
      <c r="C89" s="159"/>
      <c r="D89" s="160"/>
      <c r="E89" s="161"/>
      <c r="F89" s="161"/>
      <c r="G89" s="161"/>
      <c r="H89" s="161"/>
      <c r="I89" s="161"/>
      <c r="J89" s="161"/>
      <c r="K89" s="161"/>
      <c r="L89" s="161"/>
      <c r="M89" s="161"/>
      <c r="N89" s="161"/>
      <c r="O89" s="161"/>
      <c r="P89" s="161"/>
      <c r="Q89" s="161"/>
    </row>
    <row r="90" customFormat="false" ht="15" hidden="false" customHeight="true" outlineLevel="0" collapsed="false">
      <c r="A90" s="127"/>
      <c r="B90" s="128"/>
      <c r="C90" s="129"/>
      <c r="D90" s="130"/>
      <c r="E90" s="162"/>
      <c r="F90" s="104"/>
      <c r="G90" s="133"/>
      <c r="H90" s="136"/>
      <c r="I90" s="104"/>
      <c r="J90" s="137"/>
      <c r="K90" s="136"/>
      <c r="L90" s="138"/>
      <c r="M90" s="138"/>
      <c r="N90" s="138"/>
      <c r="O90" s="138"/>
      <c r="P90" s="138"/>
      <c r="Q90" s="104"/>
    </row>
    <row r="91" customFormat="false" ht="15" hidden="false" customHeight="true" outlineLevel="0" collapsed="false">
      <c r="A91" s="127"/>
      <c r="B91" s="128"/>
      <c r="C91" s="129"/>
      <c r="D91" s="130"/>
      <c r="E91" s="162"/>
      <c r="F91" s="104"/>
      <c r="G91" s="133"/>
      <c r="H91" s="134"/>
      <c r="I91" s="104"/>
      <c r="J91" s="138"/>
      <c r="K91" s="104"/>
      <c r="L91" s="138"/>
      <c r="M91" s="138"/>
      <c r="N91" s="138"/>
      <c r="O91" s="138"/>
      <c r="P91" s="138"/>
      <c r="Q91" s="104"/>
    </row>
    <row r="92" customFormat="false" ht="15" hidden="false" customHeight="true" outlineLevel="0" collapsed="false">
      <c r="A92" s="127"/>
      <c r="B92" s="128"/>
      <c r="C92" s="129"/>
      <c r="D92" s="130"/>
      <c r="E92" s="162"/>
      <c r="F92" s="104"/>
      <c r="G92" s="133"/>
      <c r="H92" s="134"/>
      <c r="I92" s="104"/>
      <c r="J92" s="138"/>
      <c r="K92" s="104"/>
      <c r="L92" s="138"/>
      <c r="M92" s="138"/>
      <c r="N92" s="138"/>
      <c r="O92" s="138"/>
      <c r="P92" s="138"/>
      <c r="Q92" s="104"/>
    </row>
    <row r="93" customFormat="false" ht="15" hidden="false" customHeight="true" outlineLevel="0" collapsed="false">
      <c r="A93" s="127"/>
      <c r="B93" s="128"/>
      <c r="C93" s="129"/>
      <c r="D93" s="130"/>
      <c r="E93" s="162"/>
      <c r="F93" s="104"/>
      <c r="G93" s="133"/>
      <c r="H93" s="136"/>
      <c r="I93" s="104"/>
      <c r="J93" s="137"/>
      <c r="K93" s="103"/>
      <c r="L93" s="138"/>
      <c r="M93" s="138"/>
      <c r="N93" s="138"/>
      <c r="O93" s="138"/>
      <c r="P93" s="138"/>
      <c r="Q93" s="104"/>
    </row>
    <row r="94" customFormat="false" ht="15" hidden="false" customHeight="true" outlineLevel="0" collapsed="false">
      <c r="A94" s="127"/>
      <c r="B94" s="128"/>
      <c r="C94" s="129"/>
      <c r="D94" s="130"/>
      <c r="E94" s="162"/>
      <c r="F94" s="104"/>
      <c r="G94" s="133"/>
      <c r="H94" s="134"/>
      <c r="I94" s="104"/>
      <c r="J94" s="138"/>
      <c r="K94" s="104"/>
      <c r="L94" s="138"/>
      <c r="M94" s="138"/>
      <c r="N94" s="138"/>
      <c r="O94" s="138"/>
      <c r="P94" s="138"/>
      <c r="Q94" s="104"/>
    </row>
    <row r="95" customFormat="false" ht="15" hidden="false" customHeight="true" outlineLevel="0" collapsed="false">
      <c r="A95" s="127"/>
      <c r="B95" s="128"/>
      <c r="C95" s="129"/>
      <c r="D95" s="130"/>
      <c r="E95" s="162"/>
      <c r="F95" s="104"/>
      <c r="G95" s="133"/>
      <c r="H95" s="134"/>
      <c r="I95" s="104"/>
      <c r="J95" s="138"/>
      <c r="K95" s="104"/>
      <c r="L95" s="138"/>
      <c r="M95" s="138"/>
      <c r="N95" s="138"/>
      <c r="O95" s="138"/>
      <c r="P95" s="138"/>
      <c r="Q95" s="104"/>
    </row>
    <row r="96" customFormat="false" ht="15" hidden="false" customHeight="true" outlineLevel="0" collapsed="false">
      <c r="A96" s="127"/>
      <c r="B96" s="128"/>
      <c r="C96" s="129"/>
      <c r="D96" s="130"/>
      <c r="E96" s="162"/>
      <c r="F96" s="104"/>
      <c r="G96" s="133"/>
      <c r="H96" s="134"/>
      <c r="I96" s="104"/>
      <c r="J96" s="137"/>
      <c r="K96" s="104"/>
      <c r="L96" s="104"/>
      <c r="M96" s="103"/>
      <c r="N96" s="134"/>
      <c r="O96" s="138"/>
      <c r="P96" s="138"/>
      <c r="Q96" s="104"/>
    </row>
    <row r="97" customFormat="false" ht="15" hidden="false" customHeight="true" outlineLevel="0" collapsed="false">
      <c r="A97" s="141"/>
      <c r="B97" s="104"/>
      <c r="C97" s="129"/>
      <c r="D97" s="130"/>
      <c r="E97" s="151"/>
      <c r="F97" s="104"/>
      <c r="G97" s="103"/>
      <c r="H97" s="134"/>
      <c r="I97" s="104"/>
      <c r="J97" s="138"/>
      <c r="K97" s="104"/>
      <c r="L97" s="138"/>
      <c r="M97" s="138"/>
      <c r="N97" s="138"/>
      <c r="O97" s="138"/>
      <c r="P97" s="138"/>
      <c r="Q97" s="104"/>
    </row>
    <row r="98" customFormat="false" ht="15" hidden="false" customHeight="true" outlineLevel="0" collapsed="false">
      <c r="A98" s="127"/>
      <c r="B98" s="128"/>
      <c r="C98" s="129"/>
      <c r="D98" s="130"/>
      <c r="E98" s="162"/>
      <c r="F98" s="104"/>
      <c r="G98" s="133"/>
      <c r="H98" s="136"/>
      <c r="I98" s="104"/>
      <c r="J98" s="137"/>
      <c r="K98" s="103"/>
      <c r="L98" s="138"/>
      <c r="M98" s="137"/>
      <c r="N98" s="137"/>
      <c r="O98" s="138"/>
      <c r="P98" s="138"/>
      <c r="Q98" s="104"/>
    </row>
    <row r="99" customFormat="false" ht="15" hidden="false" customHeight="true" outlineLevel="0" collapsed="false">
      <c r="A99" s="163"/>
      <c r="B99" s="164"/>
      <c r="C99" s="165"/>
      <c r="D99" s="166"/>
      <c r="E99" s="162"/>
      <c r="F99" s="167"/>
      <c r="G99" s="133"/>
      <c r="H99" s="136"/>
      <c r="I99" s="104"/>
      <c r="J99" s="137"/>
      <c r="K99" s="103"/>
      <c r="L99" s="138"/>
      <c r="M99" s="137"/>
      <c r="N99" s="137"/>
      <c r="O99" s="138"/>
      <c r="P99" s="138"/>
      <c r="Q99" s="104"/>
    </row>
    <row r="100" customFormat="false" ht="15" hidden="false" customHeight="true" outlineLevel="0" collapsed="false">
      <c r="A100" s="163"/>
      <c r="B100" s="164"/>
      <c r="C100" s="168"/>
      <c r="D100" s="166"/>
      <c r="E100" s="162"/>
      <c r="F100" s="167"/>
      <c r="G100" s="133"/>
      <c r="H100" s="134"/>
      <c r="I100" s="104"/>
      <c r="J100" s="138"/>
      <c r="K100" s="104"/>
      <c r="L100" s="138"/>
      <c r="M100" s="138"/>
      <c r="N100" s="138"/>
      <c r="O100" s="138"/>
      <c r="P100" s="138"/>
      <c r="Q100" s="104"/>
    </row>
    <row r="101" customFormat="false" ht="15" hidden="false" customHeight="true" outlineLevel="0" collapsed="false">
      <c r="A101" s="127"/>
      <c r="B101" s="128"/>
      <c r="C101" s="129"/>
      <c r="D101" s="130"/>
      <c r="E101" s="162"/>
      <c r="F101" s="104"/>
      <c r="G101" s="133"/>
      <c r="H101" s="134"/>
      <c r="I101" s="104"/>
      <c r="J101" s="138"/>
      <c r="K101" s="104"/>
      <c r="L101" s="138"/>
      <c r="M101" s="138"/>
      <c r="N101" s="138"/>
      <c r="O101" s="138"/>
      <c r="P101" s="138"/>
      <c r="Q101" s="104"/>
    </row>
    <row r="102" customFormat="false" ht="15" hidden="false" customHeight="true" outlineLevel="0" collapsed="false">
      <c r="A102" s="127"/>
      <c r="B102" s="128"/>
      <c r="C102" s="129"/>
      <c r="D102" s="130"/>
      <c r="E102" s="162"/>
      <c r="F102" s="104"/>
      <c r="G102" s="133"/>
      <c r="H102" s="134"/>
      <c r="I102" s="104"/>
      <c r="J102" s="138"/>
      <c r="K102" s="104"/>
      <c r="L102" s="138"/>
      <c r="M102" s="138"/>
      <c r="N102" s="138"/>
      <c r="O102" s="138"/>
      <c r="P102" s="138"/>
      <c r="Q102" s="104"/>
    </row>
    <row r="103" customFormat="false" ht="15" hidden="false" customHeight="true" outlineLevel="0" collapsed="false">
      <c r="A103" s="163"/>
      <c r="B103" s="164"/>
      <c r="C103" s="169"/>
      <c r="D103" s="166"/>
      <c r="E103" s="170"/>
      <c r="F103" s="167"/>
      <c r="G103" s="171"/>
      <c r="H103" s="172"/>
      <c r="I103" s="173"/>
      <c r="J103" s="168"/>
      <c r="K103" s="173"/>
      <c r="L103" s="168"/>
      <c r="M103" s="168"/>
      <c r="N103" s="168"/>
      <c r="O103" s="168"/>
      <c r="P103" s="168"/>
      <c r="Q103" s="173"/>
    </row>
    <row r="104" customFormat="false" ht="15" hidden="false" customHeight="true" outlineLevel="0" collapsed="false">
      <c r="A104" s="163"/>
      <c r="B104" s="164"/>
      <c r="C104" s="169"/>
      <c r="D104" s="166"/>
      <c r="E104" s="170"/>
      <c r="F104" s="167"/>
      <c r="G104" s="171"/>
      <c r="H104" s="172"/>
      <c r="I104" s="173"/>
      <c r="J104" s="168"/>
      <c r="K104" s="173"/>
      <c r="L104" s="168"/>
      <c r="M104" s="168"/>
      <c r="N104" s="168"/>
      <c r="O104" s="168"/>
      <c r="P104" s="168"/>
      <c r="Q104" s="173"/>
    </row>
    <row r="105" customFormat="false" ht="15" hidden="false" customHeight="true" outlineLevel="0" collapsed="false">
      <c r="A105" s="163"/>
      <c r="B105" s="164"/>
      <c r="C105" s="169"/>
      <c r="D105" s="166"/>
      <c r="E105" s="170"/>
      <c r="F105" s="104"/>
      <c r="G105" s="133"/>
      <c r="H105" s="134"/>
      <c r="I105" s="104"/>
      <c r="J105" s="138"/>
      <c r="K105" s="104"/>
      <c r="L105" s="138"/>
      <c r="M105" s="138"/>
      <c r="N105" s="138"/>
      <c r="O105" s="138"/>
      <c r="P105" s="138"/>
      <c r="Q105" s="104"/>
    </row>
    <row r="106" customFormat="false" ht="15" hidden="false" customHeight="true" outlineLevel="0" collapsed="false">
      <c r="A106" s="163"/>
      <c r="B106" s="164"/>
      <c r="C106" s="169"/>
      <c r="D106" s="166"/>
      <c r="E106" s="170"/>
      <c r="F106" s="104"/>
      <c r="G106" s="133"/>
      <c r="H106" s="134"/>
      <c r="I106" s="104"/>
      <c r="J106" s="138"/>
      <c r="K106" s="104"/>
      <c r="L106" s="138"/>
      <c r="M106" s="138"/>
      <c r="N106" s="138"/>
      <c r="O106" s="138"/>
      <c r="P106" s="138"/>
      <c r="Q106" s="104"/>
    </row>
    <row r="107" customFormat="false" ht="15" hidden="false" customHeight="true" outlineLevel="0" collapsed="false">
      <c r="A107" s="127"/>
      <c r="B107" s="128"/>
      <c r="C107" s="146"/>
      <c r="D107" s="130"/>
      <c r="E107" s="162"/>
      <c r="F107" s="104"/>
      <c r="G107" s="133"/>
      <c r="H107" s="134"/>
      <c r="I107" s="104"/>
      <c r="J107" s="138"/>
      <c r="K107" s="104"/>
      <c r="L107" s="138"/>
      <c r="M107" s="138"/>
      <c r="N107" s="138"/>
      <c r="O107" s="138"/>
      <c r="P107" s="138"/>
      <c r="Q107" s="104"/>
    </row>
    <row r="108" customFormat="false" ht="15" hidden="false" customHeight="true" outlineLevel="0" collapsed="false">
      <c r="A108" s="127"/>
      <c r="B108" s="128"/>
      <c r="C108" s="146"/>
      <c r="D108" s="130"/>
      <c r="E108" s="162"/>
      <c r="F108" s="104"/>
      <c r="G108" s="133"/>
      <c r="H108" s="134"/>
      <c r="I108" s="104"/>
      <c r="J108" s="138"/>
      <c r="K108" s="104"/>
      <c r="L108" s="138"/>
      <c r="M108" s="138"/>
      <c r="N108" s="138"/>
      <c r="O108" s="138"/>
      <c r="P108" s="138"/>
      <c r="Q108" s="104"/>
    </row>
    <row r="109" customFormat="false" ht="15" hidden="false" customHeight="true" outlineLevel="0" collapsed="false">
      <c r="A109" s="127"/>
      <c r="B109" s="128"/>
      <c r="C109" s="146"/>
      <c r="D109" s="130"/>
      <c r="E109" s="162"/>
      <c r="F109" s="104"/>
      <c r="G109" s="133"/>
      <c r="H109" s="134"/>
      <c r="I109" s="104"/>
      <c r="J109" s="138"/>
      <c r="K109" s="104"/>
      <c r="L109" s="138"/>
      <c r="M109" s="138"/>
      <c r="N109" s="138"/>
      <c r="O109" s="138"/>
      <c r="P109" s="138"/>
      <c r="Q109" s="104"/>
    </row>
    <row r="110" customFormat="false" ht="15" hidden="false" customHeight="true" outlineLevel="0" collapsed="false">
      <c r="A110" s="127"/>
      <c r="B110" s="128"/>
      <c r="C110" s="146"/>
      <c r="D110" s="130"/>
      <c r="E110" s="162"/>
      <c r="F110" s="104"/>
      <c r="G110" s="133"/>
      <c r="H110" s="134"/>
      <c r="I110" s="104"/>
      <c r="J110" s="138"/>
      <c r="K110" s="104"/>
      <c r="L110" s="138"/>
      <c r="M110" s="138"/>
      <c r="N110" s="138"/>
      <c r="O110" s="138"/>
      <c r="P110" s="138"/>
      <c r="Q110" s="104"/>
    </row>
    <row r="111" customFormat="false" ht="15" hidden="false" customHeight="true" outlineLevel="0" collapsed="false">
      <c r="A111" s="127"/>
      <c r="B111" s="128"/>
      <c r="C111" s="146"/>
      <c r="D111" s="130"/>
      <c r="E111" s="162"/>
      <c r="F111" s="104"/>
      <c r="G111" s="133"/>
      <c r="H111" s="134"/>
      <c r="I111" s="104"/>
      <c r="J111" s="138"/>
      <c r="K111" s="104"/>
      <c r="L111" s="138"/>
      <c r="M111" s="138"/>
      <c r="N111" s="138"/>
      <c r="O111" s="138"/>
      <c r="P111" s="138"/>
      <c r="Q111" s="104"/>
    </row>
    <row r="112" customFormat="false" ht="15" hidden="false" customHeight="true" outlineLevel="0" collapsed="false">
      <c r="A112" s="127"/>
      <c r="B112" s="128"/>
      <c r="C112" s="146"/>
      <c r="D112" s="130"/>
      <c r="E112" s="162"/>
      <c r="F112" s="104"/>
      <c r="G112" s="133"/>
      <c r="H112" s="134"/>
      <c r="I112" s="104"/>
      <c r="J112" s="138"/>
      <c r="K112" s="104"/>
      <c r="L112" s="138"/>
      <c r="M112" s="138"/>
      <c r="N112" s="138"/>
      <c r="O112" s="138"/>
      <c r="P112" s="138"/>
      <c r="Q112" s="104"/>
    </row>
    <row r="113" customFormat="false" ht="15" hidden="false" customHeight="true" outlineLevel="0" collapsed="false">
      <c r="A113" s="127"/>
      <c r="B113" s="128"/>
      <c r="C113" s="146"/>
      <c r="D113" s="130"/>
      <c r="E113" s="162"/>
      <c r="F113" s="104"/>
      <c r="G113" s="133"/>
      <c r="H113" s="134"/>
      <c r="I113" s="104"/>
      <c r="J113" s="138"/>
      <c r="K113" s="104"/>
      <c r="L113" s="138"/>
      <c r="M113" s="138"/>
      <c r="N113" s="138"/>
      <c r="O113" s="138"/>
      <c r="P113" s="138"/>
      <c r="Q113" s="104"/>
    </row>
    <row r="114" customFormat="false" ht="15" hidden="false" customHeight="true" outlineLevel="0" collapsed="false">
      <c r="A114" s="127"/>
      <c r="B114" s="128"/>
      <c r="C114" s="146"/>
      <c r="D114" s="130"/>
      <c r="E114" s="162"/>
      <c r="F114" s="104"/>
      <c r="G114" s="133"/>
      <c r="H114" s="134"/>
      <c r="I114" s="104"/>
      <c r="J114" s="138"/>
      <c r="K114" s="104"/>
      <c r="L114" s="138"/>
      <c r="M114" s="138"/>
      <c r="N114" s="138"/>
      <c r="O114" s="138"/>
      <c r="P114" s="138"/>
      <c r="Q114" s="104"/>
    </row>
    <row r="115" customFormat="false" ht="15" hidden="false" customHeight="true" outlineLevel="0" collapsed="false">
      <c r="A115" s="127"/>
      <c r="B115" s="128"/>
      <c r="C115" s="146"/>
      <c r="D115" s="130"/>
      <c r="E115" s="162"/>
      <c r="F115" s="104"/>
      <c r="G115" s="133"/>
      <c r="H115" s="134"/>
      <c r="I115" s="104"/>
      <c r="J115" s="138"/>
      <c r="K115" s="104"/>
      <c r="L115" s="138"/>
      <c r="M115" s="138"/>
      <c r="N115" s="138"/>
      <c r="O115" s="138"/>
      <c r="P115" s="138"/>
      <c r="Q115" s="104"/>
    </row>
    <row r="116" customFormat="false" ht="15" hidden="false" customHeight="true" outlineLevel="0" collapsed="false">
      <c r="A116" s="163"/>
      <c r="B116" s="164"/>
      <c r="C116" s="169"/>
      <c r="D116" s="166"/>
      <c r="E116" s="170"/>
      <c r="F116" s="167"/>
      <c r="G116" s="171"/>
      <c r="H116" s="172"/>
      <c r="I116" s="173"/>
      <c r="J116" s="168"/>
      <c r="K116" s="173"/>
      <c r="L116" s="168"/>
      <c r="M116" s="168"/>
      <c r="N116" s="168"/>
      <c r="O116" s="168"/>
      <c r="P116" s="168"/>
      <c r="Q116" s="173"/>
    </row>
    <row r="117" customFormat="false" ht="15" hidden="false" customHeight="true" outlineLevel="0" collapsed="false">
      <c r="A117" s="163"/>
      <c r="B117" s="164"/>
      <c r="C117" s="169"/>
      <c r="D117" s="166"/>
      <c r="E117" s="170"/>
      <c r="F117" s="167"/>
      <c r="G117" s="171"/>
      <c r="H117" s="172"/>
      <c r="I117" s="173"/>
      <c r="J117" s="168"/>
      <c r="K117" s="173"/>
      <c r="L117" s="168"/>
      <c r="M117" s="168"/>
      <c r="N117" s="168"/>
      <c r="O117" s="168"/>
      <c r="P117" s="168"/>
      <c r="Q117" s="173"/>
    </row>
    <row r="118" customFormat="false" ht="15" hidden="false" customHeight="true" outlineLevel="0" collapsed="false">
      <c r="A118" s="163"/>
      <c r="B118" s="164"/>
      <c r="C118" s="169"/>
      <c r="D118" s="166"/>
      <c r="E118" s="170"/>
      <c r="F118" s="167"/>
      <c r="G118" s="171"/>
      <c r="H118" s="172"/>
      <c r="I118" s="173"/>
      <c r="J118" s="168"/>
      <c r="K118" s="173"/>
      <c r="L118" s="168"/>
      <c r="M118" s="168"/>
      <c r="N118" s="168"/>
      <c r="O118" s="168"/>
      <c r="P118" s="168"/>
      <c r="Q118" s="173"/>
    </row>
    <row r="119" customFormat="false" ht="15" hidden="false" customHeight="true" outlineLevel="0" collapsed="false">
      <c r="A119" s="127"/>
      <c r="B119" s="128"/>
      <c r="C119" s="146"/>
      <c r="D119" s="130"/>
      <c r="E119" s="162"/>
      <c r="F119" s="104"/>
      <c r="G119" s="133"/>
      <c r="H119" s="134"/>
      <c r="I119" s="104"/>
      <c r="J119" s="138"/>
      <c r="K119" s="104"/>
      <c r="L119" s="138"/>
      <c r="M119" s="138"/>
      <c r="N119" s="138"/>
      <c r="O119" s="138"/>
      <c r="P119" s="138"/>
      <c r="Q119" s="104"/>
    </row>
    <row r="120" customFormat="false" ht="15" hidden="false" customHeight="true" outlineLevel="0" collapsed="false">
      <c r="A120" s="163"/>
      <c r="B120" s="164"/>
      <c r="C120" s="169"/>
      <c r="D120" s="166"/>
      <c r="E120" s="170"/>
      <c r="F120" s="167"/>
      <c r="G120" s="171"/>
      <c r="H120" s="174"/>
      <c r="I120" s="173"/>
      <c r="J120" s="175"/>
      <c r="K120" s="176"/>
      <c r="L120" s="168"/>
      <c r="M120" s="168"/>
      <c r="N120" s="168"/>
      <c r="O120" s="168"/>
      <c r="P120" s="168"/>
      <c r="Q120" s="173"/>
    </row>
    <row r="121" customFormat="false" ht="15" hidden="false" customHeight="true" outlineLevel="0" collapsed="false">
      <c r="A121" s="163"/>
      <c r="B121" s="164"/>
      <c r="C121" s="169"/>
      <c r="D121" s="166"/>
      <c r="E121" s="170"/>
      <c r="F121" s="167"/>
      <c r="G121" s="171"/>
      <c r="H121" s="177"/>
      <c r="I121" s="178"/>
      <c r="J121" s="179"/>
      <c r="K121" s="178"/>
      <c r="L121" s="179"/>
      <c r="M121" s="179"/>
      <c r="N121" s="179"/>
      <c r="O121" s="179"/>
      <c r="P121" s="179"/>
      <c r="Q121" s="178"/>
    </row>
    <row r="122" customFormat="false" ht="15" hidden="false" customHeight="true" outlineLevel="0" collapsed="false">
      <c r="A122" s="127"/>
      <c r="B122" s="128"/>
      <c r="C122" s="146"/>
      <c r="D122" s="130"/>
      <c r="E122" s="162"/>
      <c r="F122" s="104"/>
      <c r="G122" s="133"/>
      <c r="H122" s="155"/>
      <c r="I122" s="110"/>
      <c r="J122" s="156"/>
      <c r="K122" s="110"/>
      <c r="L122" s="156"/>
      <c r="M122" s="156"/>
      <c r="N122" s="156"/>
      <c r="O122" s="156"/>
      <c r="P122" s="156"/>
      <c r="Q122" s="110"/>
    </row>
    <row r="123" customFormat="false" ht="15" hidden="false" customHeight="true" outlineLevel="0" collapsed="false">
      <c r="A123" s="127"/>
      <c r="B123" s="180"/>
      <c r="C123" s="181"/>
      <c r="D123" s="130"/>
      <c r="E123" s="182"/>
      <c r="F123" s="104"/>
      <c r="G123" s="183"/>
      <c r="H123" s="155"/>
      <c r="I123" s="110"/>
      <c r="J123" s="184"/>
      <c r="K123" s="155"/>
      <c r="L123" s="110"/>
      <c r="M123" s="184"/>
      <c r="N123" s="155"/>
      <c r="O123" s="156"/>
      <c r="P123" s="156"/>
      <c r="Q123" s="110"/>
    </row>
    <row r="124" customFormat="false" ht="15" hidden="false" customHeight="true" outlineLevel="0" collapsed="false">
      <c r="A124" s="127"/>
      <c r="B124" s="180"/>
      <c r="C124" s="181"/>
      <c r="D124" s="130"/>
      <c r="E124" s="182"/>
      <c r="F124" s="104"/>
      <c r="G124" s="183"/>
      <c r="H124" s="155"/>
      <c r="I124" s="110"/>
      <c r="J124" s="156"/>
      <c r="K124" s="155"/>
      <c r="L124" s="156"/>
      <c r="M124" s="156"/>
      <c r="N124" s="156"/>
      <c r="O124" s="156"/>
      <c r="P124" s="156"/>
      <c r="Q124" s="110"/>
    </row>
    <row r="125" customFormat="false" ht="15" hidden="false" customHeight="true" outlineLevel="0" collapsed="false">
      <c r="A125" s="127"/>
      <c r="B125" s="180"/>
      <c r="C125" s="181"/>
      <c r="D125" s="130"/>
      <c r="E125" s="182"/>
      <c r="F125" s="104"/>
      <c r="G125" s="183"/>
      <c r="H125" s="155"/>
      <c r="I125" s="110"/>
      <c r="J125" s="156"/>
      <c r="K125" s="155"/>
      <c r="L125" s="156"/>
      <c r="M125" s="156"/>
      <c r="N125" s="156"/>
      <c r="O125" s="156"/>
      <c r="P125" s="156"/>
      <c r="Q125" s="110"/>
    </row>
    <row r="126" customFormat="false" ht="15" hidden="false" customHeight="true" outlineLevel="0" collapsed="false">
      <c r="A126" s="127"/>
      <c r="B126" s="180"/>
      <c r="C126" s="146"/>
      <c r="D126" s="130"/>
      <c r="E126" s="182"/>
      <c r="F126" s="104"/>
      <c r="G126" s="133"/>
      <c r="H126" s="155"/>
      <c r="I126" s="110"/>
      <c r="J126" s="156"/>
      <c r="K126" s="155"/>
      <c r="L126" s="156"/>
      <c r="M126" s="156"/>
      <c r="N126" s="156"/>
      <c r="O126" s="156"/>
      <c r="P126" s="156"/>
      <c r="Q126" s="110"/>
    </row>
    <row r="127" customFormat="false" ht="15" hidden="false" customHeight="true" outlineLevel="0" collapsed="false">
      <c r="A127" s="127"/>
      <c r="B127" s="180"/>
      <c r="C127" s="146"/>
      <c r="D127" s="130"/>
      <c r="E127" s="182"/>
      <c r="F127" s="104"/>
      <c r="G127" s="133"/>
      <c r="H127" s="155"/>
      <c r="I127" s="110"/>
      <c r="J127" s="156"/>
      <c r="K127" s="155"/>
      <c r="L127" s="156"/>
      <c r="M127" s="156"/>
      <c r="N127" s="156"/>
      <c r="O127" s="156"/>
      <c r="P127" s="156"/>
      <c r="Q127" s="110"/>
    </row>
    <row r="128" customFormat="false" ht="15" hidden="false" customHeight="true" outlineLevel="0" collapsed="false">
      <c r="A128" s="127"/>
      <c r="B128" s="180"/>
      <c r="C128" s="146"/>
      <c r="D128" s="130"/>
      <c r="E128" s="182"/>
      <c r="F128" s="104"/>
      <c r="G128" s="149"/>
      <c r="H128" s="150"/>
      <c r="I128" s="110"/>
      <c r="J128" s="156"/>
      <c r="K128" s="155"/>
      <c r="L128" s="156"/>
      <c r="M128" s="156"/>
      <c r="N128" s="156"/>
      <c r="O128" s="156"/>
      <c r="P128" s="156"/>
      <c r="Q128" s="110"/>
    </row>
    <row r="129" customFormat="false" ht="15" hidden="false" customHeight="true" outlineLevel="0" collapsed="false">
      <c r="A129" s="127"/>
      <c r="B129" s="128"/>
      <c r="C129" s="146"/>
      <c r="D129" s="130"/>
      <c r="E129" s="182"/>
      <c r="F129" s="104"/>
      <c r="G129" s="133"/>
      <c r="H129" s="155"/>
      <c r="I129" s="110"/>
      <c r="J129" s="156"/>
      <c r="K129" s="155"/>
      <c r="L129" s="156"/>
      <c r="M129" s="156"/>
      <c r="N129" s="156"/>
      <c r="O129" s="156"/>
      <c r="P129" s="156"/>
      <c r="Q129" s="110"/>
    </row>
    <row r="130" customFormat="false" ht="15" hidden="false" customHeight="true" outlineLevel="0" collapsed="false">
      <c r="A130" s="127"/>
      <c r="B130" s="128"/>
      <c r="C130" s="181"/>
      <c r="D130" s="130"/>
      <c r="E130" s="182"/>
      <c r="F130" s="104"/>
      <c r="G130" s="133"/>
      <c r="H130" s="150"/>
      <c r="I130" s="110"/>
      <c r="J130" s="184"/>
      <c r="K130" s="155"/>
      <c r="L130" s="156"/>
      <c r="M130" s="156"/>
      <c r="N130" s="156"/>
      <c r="O130" s="156"/>
      <c r="P130" s="156"/>
      <c r="Q130" s="110"/>
    </row>
    <row r="131" customFormat="false" ht="15" hidden="false" customHeight="true" outlineLevel="0" collapsed="false">
      <c r="A131" s="127"/>
      <c r="B131" s="128"/>
      <c r="C131" s="181"/>
      <c r="D131" s="130"/>
      <c r="E131" s="182"/>
      <c r="F131" s="104"/>
      <c r="G131" s="133"/>
      <c r="H131" s="150"/>
      <c r="I131" s="110"/>
      <c r="J131" s="156"/>
      <c r="K131" s="155"/>
      <c r="L131" s="156"/>
      <c r="M131" s="156"/>
      <c r="N131" s="156"/>
      <c r="O131" s="156"/>
      <c r="P131" s="156"/>
      <c r="Q131" s="110"/>
    </row>
    <row r="132" customFormat="false" ht="15" hidden="false" customHeight="true" outlineLevel="0" collapsed="false">
      <c r="A132" s="127"/>
      <c r="B132" s="128"/>
      <c r="C132" s="146"/>
      <c r="D132" s="130"/>
      <c r="E132" s="182"/>
      <c r="F132" s="104"/>
      <c r="G132" s="133"/>
      <c r="H132" s="150"/>
      <c r="I132" s="110"/>
      <c r="J132" s="156"/>
      <c r="K132" s="110"/>
      <c r="L132" s="156"/>
      <c r="M132" s="156"/>
      <c r="N132" s="156"/>
      <c r="O132" s="156"/>
      <c r="P132" s="156"/>
      <c r="Q132" s="110"/>
    </row>
    <row r="133" customFormat="false" ht="15" hidden="false" customHeight="true" outlineLevel="0" collapsed="false">
      <c r="A133" s="127"/>
      <c r="B133" s="128"/>
      <c r="C133" s="146"/>
      <c r="D133" s="130"/>
      <c r="E133" s="182"/>
      <c r="F133" s="104"/>
      <c r="G133" s="149"/>
      <c r="H133" s="150"/>
      <c r="I133" s="110"/>
      <c r="J133" s="156"/>
      <c r="K133" s="110"/>
      <c r="L133" s="156"/>
      <c r="M133" s="156"/>
      <c r="N133" s="156"/>
      <c r="O133" s="156"/>
      <c r="P133" s="156"/>
      <c r="Q133" s="110"/>
    </row>
    <row r="134" customFormat="false" ht="15" hidden="false" customHeight="true" outlineLevel="0" collapsed="false">
      <c r="A134" s="127"/>
      <c r="B134" s="185"/>
      <c r="C134" s="186"/>
      <c r="D134" s="130"/>
      <c r="E134" s="187"/>
      <c r="F134" s="104"/>
      <c r="G134" s="149"/>
      <c r="H134" s="150"/>
      <c r="I134" s="104"/>
      <c r="J134" s="149"/>
      <c r="K134" s="104"/>
      <c r="L134" s="149"/>
      <c r="M134" s="104"/>
      <c r="N134" s="149"/>
      <c r="O134" s="104"/>
      <c r="P134" s="149"/>
      <c r="Q134" s="104"/>
    </row>
    <row r="135" customFormat="false" ht="15" hidden="false" customHeight="true" outlineLevel="0" collapsed="false">
      <c r="A135" s="127"/>
      <c r="B135" s="128"/>
      <c r="C135" s="146"/>
      <c r="D135" s="130"/>
      <c r="E135" s="182"/>
      <c r="F135" s="104"/>
      <c r="G135" s="188"/>
      <c r="H135" s="150"/>
      <c r="I135" s="110"/>
      <c r="J135" s="156"/>
      <c r="K135" s="110"/>
      <c r="L135" s="156"/>
      <c r="M135" s="156"/>
      <c r="N135" s="156"/>
      <c r="O135" s="156"/>
      <c r="P135" s="156"/>
      <c r="Q135" s="110"/>
    </row>
    <row r="136" customFormat="false" ht="15" hidden="false" customHeight="true" outlineLevel="0" collapsed="false">
      <c r="A136" s="127"/>
      <c r="B136" s="128"/>
      <c r="C136" s="146"/>
      <c r="D136" s="130"/>
      <c r="E136" s="182"/>
      <c r="F136" s="104"/>
      <c r="G136" s="188"/>
      <c r="H136" s="150"/>
      <c r="I136" s="110"/>
      <c r="J136" s="156"/>
      <c r="K136" s="110"/>
      <c r="L136" s="156"/>
      <c r="M136" s="156"/>
      <c r="N136" s="156"/>
      <c r="O136" s="156"/>
      <c r="P136" s="156"/>
      <c r="Q136" s="110"/>
    </row>
    <row r="137" customFormat="false" ht="15" hidden="false" customHeight="true" outlineLevel="0" collapsed="false">
      <c r="A137" s="127"/>
      <c r="B137" s="128"/>
      <c r="C137" s="146"/>
      <c r="D137" s="130"/>
      <c r="E137" s="182"/>
      <c r="F137" s="104"/>
      <c r="G137" s="188"/>
      <c r="H137" s="150"/>
      <c r="I137" s="110"/>
      <c r="J137" s="156"/>
      <c r="K137" s="110"/>
      <c r="L137" s="156"/>
      <c r="M137" s="156"/>
      <c r="N137" s="156"/>
      <c r="O137" s="156"/>
      <c r="P137" s="156"/>
      <c r="Q137" s="110"/>
    </row>
    <row r="138" customFormat="false" ht="15" hidden="false" customHeight="true" outlineLevel="0" collapsed="false">
      <c r="A138" s="127"/>
      <c r="B138" s="128"/>
      <c r="C138" s="146"/>
      <c r="D138" s="130"/>
      <c r="E138" s="182"/>
      <c r="F138" s="104"/>
      <c r="G138" s="188"/>
      <c r="H138" s="150"/>
      <c r="I138" s="110"/>
      <c r="J138" s="156"/>
      <c r="K138" s="110"/>
      <c r="L138" s="156"/>
      <c r="M138" s="156"/>
      <c r="N138" s="156"/>
      <c r="O138" s="156"/>
      <c r="P138" s="156"/>
      <c r="Q138" s="110"/>
    </row>
    <row r="139" customFormat="false" ht="15" hidden="false" customHeight="true" outlineLevel="0" collapsed="false">
      <c r="A139" s="127"/>
      <c r="B139" s="128"/>
      <c r="C139" s="146"/>
      <c r="D139" s="130"/>
      <c r="E139" s="182"/>
      <c r="F139" s="104"/>
      <c r="G139" s="188"/>
      <c r="H139" s="150"/>
      <c r="I139" s="110"/>
      <c r="J139" s="156"/>
      <c r="K139" s="110"/>
      <c r="L139" s="156"/>
      <c r="M139" s="156"/>
      <c r="N139" s="156"/>
      <c r="O139" s="156"/>
      <c r="P139" s="156"/>
      <c r="Q139" s="110"/>
    </row>
    <row r="140" customFormat="false" ht="15" hidden="false" customHeight="true" outlineLevel="0" collapsed="false">
      <c r="A140" s="127"/>
      <c r="B140" s="128"/>
      <c r="C140" s="146"/>
      <c r="D140" s="130"/>
      <c r="E140" s="182"/>
      <c r="F140" s="104"/>
      <c r="G140" s="103"/>
      <c r="H140" s="134"/>
      <c r="I140" s="110"/>
      <c r="J140" s="156"/>
      <c r="K140" s="110"/>
      <c r="L140" s="156"/>
      <c r="M140" s="156"/>
      <c r="N140" s="156"/>
      <c r="O140" s="156"/>
      <c r="P140" s="156"/>
      <c r="Q140" s="110"/>
    </row>
    <row r="141" customFormat="false" ht="15" hidden="false" customHeight="true" outlineLevel="0" collapsed="false">
      <c r="A141" s="127"/>
      <c r="B141" s="128"/>
      <c r="C141" s="146"/>
      <c r="D141" s="130"/>
      <c r="E141" s="182"/>
      <c r="F141" s="104"/>
      <c r="G141" s="103"/>
      <c r="H141" s="134"/>
      <c r="I141" s="110"/>
      <c r="J141" s="156"/>
      <c r="K141" s="110"/>
      <c r="L141" s="156"/>
      <c r="M141" s="156"/>
      <c r="N141" s="156"/>
      <c r="O141" s="156"/>
      <c r="P141" s="156"/>
      <c r="Q141" s="110"/>
    </row>
    <row r="142" customFormat="false" ht="15" hidden="false" customHeight="true" outlineLevel="0" collapsed="false">
      <c r="A142" s="127"/>
      <c r="B142" s="128"/>
      <c r="C142" s="146"/>
      <c r="D142" s="130"/>
      <c r="E142" s="182"/>
      <c r="F142" s="104"/>
      <c r="G142" s="103"/>
      <c r="H142" s="134"/>
      <c r="I142" s="110"/>
      <c r="J142" s="156"/>
      <c r="K142" s="110"/>
      <c r="L142" s="156"/>
      <c r="M142" s="156"/>
      <c r="N142" s="156"/>
      <c r="O142" s="156"/>
      <c r="P142" s="156"/>
      <c r="Q142" s="110"/>
    </row>
    <row r="143" customFormat="false" ht="15" hidden="false" customHeight="true" outlineLevel="0" collapsed="false">
      <c r="A143" s="127"/>
      <c r="B143" s="128"/>
      <c r="C143" s="146"/>
      <c r="D143" s="130"/>
      <c r="E143" s="182"/>
      <c r="F143" s="104"/>
      <c r="G143" s="103"/>
      <c r="H143" s="134"/>
      <c r="I143" s="110"/>
      <c r="J143" s="156"/>
      <c r="K143" s="110"/>
      <c r="L143" s="156"/>
      <c r="M143" s="156"/>
      <c r="N143" s="156"/>
      <c r="O143" s="156"/>
      <c r="P143" s="156"/>
      <c r="Q143" s="110"/>
    </row>
    <row r="144" customFormat="false" ht="15" hidden="false" customHeight="true" outlineLevel="0" collapsed="false">
      <c r="A144" s="127"/>
      <c r="B144" s="128"/>
      <c r="C144" s="146"/>
      <c r="D144" s="130"/>
      <c r="E144" s="182"/>
      <c r="F144" s="104"/>
      <c r="G144" s="103"/>
      <c r="H144" s="134"/>
      <c r="I144" s="110"/>
      <c r="J144" s="156"/>
      <c r="K144" s="110"/>
      <c r="L144" s="156"/>
      <c r="M144" s="156"/>
      <c r="N144" s="156"/>
      <c r="O144" s="156"/>
      <c r="P144" s="156"/>
      <c r="Q144" s="110"/>
    </row>
    <row r="145" customFormat="false" ht="15" hidden="false" customHeight="true" outlineLevel="0" collapsed="false">
      <c r="A145" s="189"/>
      <c r="B145" s="128"/>
      <c r="C145" s="146"/>
      <c r="D145" s="130"/>
      <c r="E145" s="182"/>
      <c r="F145" s="104"/>
      <c r="G145" s="188"/>
      <c r="H145" s="150"/>
      <c r="I145" s="110"/>
      <c r="J145" s="156"/>
      <c r="K145" s="110"/>
      <c r="L145" s="156"/>
      <c r="M145" s="156"/>
      <c r="N145" s="156"/>
      <c r="O145" s="156"/>
      <c r="P145" s="156"/>
      <c r="Q145" s="110"/>
    </row>
    <row r="146" customFormat="false" ht="15" hidden="false" customHeight="true" outlineLevel="0" collapsed="false">
      <c r="A146" s="189"/>
      <c r="B146" s="190"/>
      <c r="C146" s="181"/>
      <c r="D146" s="130"/>
      <c r="E146" s="182"/>
      <c r="F146" s="104"/>
      <c r="G146" s="188"/>
      <c r="H146" s="150"/>
      <c r="I146" s="110"/>
      <c r="J146" s="156"/>
      <c r="K146" s="110"/>
      <c r="L146" s="156"/>
      <c r="M146" s="156"/>
      <c r="N146" s="156"/>
      <c r="O146" s="156"/>
      <c r="P146" s="156"/>
      <c r="Q146" s="110"/>
    </row>
    <row r="147" customFormat="false" ht="15" hidden="false" customHeight="true" outlineLevel="0" collapsed="false">
      <c r="A147" s="189"/>
      <c r="B147" s="190"/>
      <c r="C147" s="181"/>
      <c r="D147" s="130"/>
      <c r="E147" s="182"/>
      <c r="F147" s="104"/>
      <c r="G147" s="188"/>
      <c r="H147" s="150"/>
      <c r="I147" s="110"/>
      <c r="J147" s="103"/>
      <c r="K147" s="134"/>
      <c r="L147" s="156"/>
      <c r="M147" s="156"/>
      <c r="N147" s="156"/>
      <c r="O147" s="156"/>
      <c r="P147" s="156"/>
      <c r="Q147" s="110"/>
    </row>
    <row r="148" customFormat="false" ht="15" hidden="false" customHeight="true" outlineLevel="0" collapsed="false">
      <c r="A148" s="189"/>
      <c r="B148" s="190"/>
      <c r="C148" s="181"/>
      <c r="D148" s="130"/>
      <c r="E148" s="182"/>
      <c r="F148" s="104"/>
      <c r="G148" s="103"/>
      <c r="H148" s="134"/>
      <c r="I148" s="110"/>
      <c r="J148" s="103"/>
      <c r="K148" s="134"/>
      <c r="L148" s="156"/>
      <c r="M148" s="156"/>
      <c r="N148" s="156"/>
      <c r="O148" s="156"/>
      <c r="P148" s="156"/>
      <c r="Q148" s="110"/>
    </row>
    <row r="149" customFormat="false" ht="15" hidden="false" customHeight="true" outlineLevel="0" collapsed="false">
      <c r="A149" s="189"/>
      <c r="B149" s="190"/>
      <c r="C149" s="181"/>
      <c r="D149" s="130"/>
      <c r="E149" s="182"/>
      <c r="F149" s="104"/>
      <c r="G149" s="103"/>
      <c r="H149" s="134"/>
      <c r="I149" s="110"/>
      <c r="J149" s="103"/>
      <c r="K149" s="134"/>
      <c r="L149" s="156"/>
      <c r="M149" s="156"/>
      <c r="N149" s="156"/>
      <c r="O149" s="156"/>
      <c r="P149" s="156"/>
      <c r="Q149" s="110"/>
    </row>
    <row r="150" customFormat="false" ht="15" hidden="false" customHeight="true" outlineLevel="0" collapsed="false">
      <c r="A150" s="189"/>
      <c r="B150" s="190"/>
      <c r="C150" s="181"/>
      <c r="D150" s="130"/>
      <c r="E150" s="182"/>
      <c r="F150" s="104"/>
      <c r="G150" s="103"/>
      <c r="H150" s="134"/>
      <c r="I150" s="110"/>
      <c r="J150" s="103"/>
      <c r="K150" s="134"/>
      <c r="L150" s="110"/>
      <c r="M150" s="184"/>
      <c r="N150" s="155"/>
      <c r="O150" s="110"/>
      <c r="P150" s="184"/>
      <c r="Q150" s="110"/>
    </row>
    <row r="151" customFormat="false" ht="15" hidden="false" customHeight="true" outlineLevel="0" collapsed="false">
      <c r="A151" s="189"/>
      <c r="B151" s="190"/>
      <c r="C151" s="181"/>
      <c r="D151" s="130"/>
      <c r="E151" s="182"/>
      <c r="F151" s="104"/>
      <c r="G151" s="103"/>
      <c r="H151" s="134"/>
      <c r="I151" s="110"/>
      <c r="J151" s="103"/>
      <c r="K151" s="134"/>
      <c r="L151" s="156"/>
      <c r="M151" s="156"/>
      <c r="N151" s="156"/>
      <c r="O151" s="156"/>
      <c r="P151" s="156"/>
      <c r="Q151" s="110"/>
    </row>
    <row r="152" customFormat="false" ht="15" hidden="false" customHeight="true" outlineLevel="0" collapsed="false">
      <c r="A152" s="189"/>
      <c r="B152" s="190"/>
      <c r="C152" s="181"/>
      <c r="D152" s="130"/>
      <c r="E152" s="182"/>
      <c r="F152" s="104"/>
      <c r="G152" s="149"/>
      <c r="H152" s="150"/>
      <c r="I152" s="110"/>
      <c r="J152" s="103"/>
      <c r="K152" s="134"/>
      <c r="L152" s="156"/>
      <c r="M152" s="156"/>
      <c r="N152" s="156"/>
      <c r="O152" s="156"/>
      <c r="P152" s="156"/>
      <c r="Q152" s="110"/>
    </row>
    <row r="153" customFormat="false" ht="15" hidden="false" customHeight="true" outlineLevel="0" collapsed="false">
      <c r="A153" s="189"/>
      <c r="B153" s="190"/>
      <c r="C153" s="181"/>
      <c r="D153" s="130"/>
      <c r="E153" s="182"/>
      <c r="F153" s="104"/>
      <c r="G153" s="149"/>
      <c r="H153" s="150"/>
      <c r="I153" s="110"/>
      <c r="J153" s="103"/>
      <c r="K153" s="134"/>
      <c r="L153" s="156"/>
      <c r="M153" s="156"/>
      <c r="N153" s="156"/>
      <c r="O153" s="156"/>
      <c r="P153" s="156"/>
      <c r="Q153" s="110"/>
    </row>
    <row r="154" customFormat="false" ht="15" hidden="false" customHeight="true" outlineLevel="0" collapsed="false">
      <c r="A154" s="189"/>
      <c r="B154" s="190"/>
      <c r="C154" s="181"/>
      <c r="D154" s="130"/>
      <c r="E154" s="182"/>
      <c r="F154" s="104"/>
      <c r="G154" s="149"/>
      <c r="H154" s="150"/>
      <c r="I154" s="110"/>
      <c r="J154" s="103"/>
      <c r="K154" s="134"/>
      <c r="L154" s="156"/>
      <c r="M154" s="137"/>
      <c r="N154" s="147"/>
      <c r="O154" s="156"/>
      <c r="P154" s="156"/>
      <c r="Q154" s="110"/>
    </row>
    <row r="155" customFormat="false" ht="15" hidden="false" customHeight="true" outlineLevel="0" collapsed="false">
      <c r="A155" s="189"/>
      <c r="B155" s="190"/>
      <c r="C155" s="181"/>
      <c r="D155" s="130"/>
      <c r="E155" s="182"/>
      <c r="F155" s="104"/>
      <c r="G155" s="149"/>
      <c r="H155" s="150"/>
      <c r="I155" s="110"/>
      <c r="J155" s="103"/>
      <c r="K155" s="134"/>
      <c r="L155" s="156"/>
      <c r="M155" s="137"/>
      <c r="N155" s="147"/>
      <c r="O155" s="156"/>
      <c r="P155" s="156"/>
      <c r="Q155" s="110"/>
    </row>
    <row r="156" customFormat="false" ht="15" hidden="false" customHeight="true" outlineLevel="0" collapsed="false">
      <c r="A156" s="189"/>
      <c r="B156" s="190"/>
      <c r="C156" s="181"/>
      <c r="D156" s="130"/>
      <c r="E156" s="182"/>
      <c r="F156" s="104"/>
      <c r="G156" s="149"/>
      <c r="H156" s="150"/>
      <c r="I156" s="110"/>
      <c r="J156" s="103"/>
      <c r="K156" s="134"/>
      <c r="L156" s="156"/>
      <c r="M156" s="137"/>
      <c r="N156" s="147"/>
      <c r="O156" s="156"/>
      <c r="P156" s="156"/>
      <c r="Q156" s="110"/>
    </row>
    <row r="157" customFormat="false" ht="15" hidden="false" customHeight="true" outlineLevel="0" collapsed="false">
      <c r="A157" s="189"/>
      <c r="B157" s="190"/>
      <c r="C157" s="181"/>
      <c r="D157" s="130"/>
      <c r="E157" s="182"/>
      <c r="F157" s="104"/>
      <c r="G157" s="103"/>
      <c r="H157" s="147"/>
      <c r="I157" s="110"/>
      <c r="J157" s="103"/>
      <c r="K157" s="134"/>
      <c r="L157" s="156"/>
      <c r="M157" s="137"/>
      <c r="N157" s="147"/>
      <c r="O157" s="156"/>
      <c r="P157" s="156"/>
      <c r="Q157" s="110"/>
    </row>
    <row r="158" customFormat="false" ht="15" hidden="false" customHeight="true" outlineLevel="0" collapsed="false">
      <c r="A158" s="189"/>
      <c r="B158" s="190"/>
      <c r="C158" s="181"/>
      <c r="D158" s="130"/>
      <c r="E158" s="182"/>
      <c r="F158" s="104"/>
      <c r="G158" s="149"/>
      <c r="H158" s="191"/>
      <c r="I158" s="110"/>
      <c r="J158" s="103"/>
      <c r="K158" s="134"/>
      <c r="L158" s="156"/>
      <c r="M158" s="137"/>
      <c r="N158" s="147"/>
      <c r="O158" s="156"/>
      <c r="P158" s="156"/>
      <c r="Q158" s="110"/>
    </row>
    <row r="159" customFormat="false" ht="15" hidden="false" customHeight="true" outlineLevel="0" collapsed="false">
      <c r="A159" s="189"/>
      <c r="B159" s="190"/>
      <c r="C159" s="181"/>
      <c r="D159" s="130"/>
      <c r="E159" s="182"/>
      <c r="F159" s="104"/>
      <c r="G159" s="149"/>
      <c r="H159" s="191"/>
      <c r="I159" s="110"/>
      <c r="J159" s="103"/>
      <c r="K159" s="134"/>
      <c r="L159" s="156"/>
      <c r="M159" s="137"/>
      <c r="N159" s="147"/>
      <c r="O159" s="156"/>
      <c r="P159" s="156"/>
      <c r="Q159" s="110"/>
    </row>
    <row r="160" customFormat="false" ht="15" hidden="false" customHeight="true" outlineLevel="0" collapsed="false">
      <c r="A160" s="189"/>
      <c r="B160" s="190"/>
      <c r="C160" s="146"/>
      <c r="D160" s="130"/>
      <c r="E160" s="162"/>
      <c r="F160" s="133"/>
      <c r="G160" s="188"/>
      <c r="H160" s="150"/>
      <c r="I160" s="110"/>
      <c r="J160" s="156"/>
      <c r="K160" s="110"/>
      <c r="L160" s="156"/>
      <c r="M160" s="156"/>
      <c r="N160" s="156"/>
      <c r="O160" s="156"/>
      <c r="P160" s="156"/>
      <c r="Q160" s="110"/>
    </row>
    <row r="161" customFormat="false" ht="15" hidden="false" customHeight="true" outlineLevel="0" collapsed="false">
      <c r="A161" s="127"/>
      <c r="B161" s="128"/>
      <c r="C161" s="146"/>
      <c r="D161" s="130"/>
      <c r="E161" s="162"/>
      <c r="F161" s="103"/>
      <c r="G161" s="103"/>
      <c r="H161" s="134"/>
      <c r="I161" s="110"/>
      <c r="J161" s="156"/>
      <c r="K161" s="110"/>
      <c r="L161" s="156"/>
      <c r="M161" s="156"/>
      <c r="N161" s="156"/>
      <c r="O161" s="156"/>
      <c r="P161" s="156"/>
      <c r="Q161" s="110"/>
    </row>
    <row r="162" customFormat="false" ht="21" hidden="false" customHeight="true" outlineLevel="0" collapsed="false">
      <c r="A162" s="158" t="s">
        <v>45</v>
      </c>
      <c r="B162" s="159"/>
      <c r="C162" s="160"/>
      <c r="D162" s="192"/>
      <c r="E162" s="192"/>
      <c r="F162" s="193"/>
      <c r="G162" s="193"/>
      <c r="H162" s="193"/>
      <c r="I162" s="193"/>
      <c r="J162" s="193"/>
      <c r="K162" s="193"/>
      <c r="L162" s="193"/>
      <c r="M162" s="193"/>
      <c r="N162" s="193"/>
      <c r="O162" s="193"/>
      <c r="P162" s="193"/>
      <c r="Q162" s="193"/>
    </row>
    <row r="163" customFormat="false" ht="15" hidden="false" customHeight="true" outlineLevel="0" collapsed="false">
      <c r="A163" s="194"/>
      <c r="B163" s="128"/>
      <c r="C163" s="195"/>
      <c r="D163" s="130"/>
      <c r="E163" s="130"/>
      <c r="F163" s="104"/>
      <c r="G163" s="157"/>
      <c r="H163" s="103"/>
      <c r="I163" s="134"/>
      <c r="J163" s="103"/>
      <c r="K163" s="103"/>
      <c r="L163" s="104"/>
      <c r="M163" s="103"/>
      <c r="N163" s="136"/>
      <c r="O163" s="138"/>
      <c r="P163" s="137"/>
      <c r="Q163" s="137"/>
    </row>
    <row r="164" customFormat="false" ht="15" hidden="false" customHeight="true" outlineLevel="0" collapsed="false">
      <c r="A164" s="196"/>
      <c r="B164" s="128"/>
      <c r="C164" s="197"/>
      <c r="D164" s="130"/>
      <c r="E164" s="130"/>
      <c r="F164" s="104"/>
      <c r="G164" s="157"/>
      <c r="H164" s="103"/>
      <c r="I164" s="104"/>
      <c r="J164" s="103"/>
      <c r="K164" s="103"/>
      <c r="L164" s="104"/>
      <c r="M164" s="103"/>
      <c r="N164" s="136"/>
      <c r="O164" s="138"/>
      <c r="P164" s="137"/>
      <c r="Q164" s="137"/>
    </row>
    <row r="165" customFormat="false" ht="15" hidden="false" customHeight="true" outlineLevel="0" collapsed="false">
      <c r="A165" s="194"/>
      <c r="B165" s="128"/>
      <c r="C165" s="198"/>
      <c r="D165" s="130"/>
      <c r="E165" s="130"/>
      <c r="F165" s="104"/>
      <c r="G165" s="157"/>
      <c r="H165" s="103"/>
      <c r="I165" s="104"/>
      <c r="J165" s="103"/>
      <c r="K165" s="103"/>
      <c r="L165" s="104"/>
      <c r="M165" s="103"/>
      <c r="N165" s="136"/>
      <c r="O165" s="138"/>
      <c r="P165" s="137"/>
      <c r="Q165" s="137"/>
    </row>
    <row r="166" customFormat="false" ht="15" hidden="false" customHeight="true" outlineLevel="0" collapsed="false">
      <c r="A166" s="194"/>
      <c r="B166" s="128"/>
      <c r="C166" s="198"/>
      <c r="D166" s="130"/>
      <c r="E166" s="130"/>
      <c r="F166" s="104"/>
      <c r="G166" s="157"/>
      <c r="H166" s="103"/>
      <c r="I166" s="104"/>
      <c r="J166" s="103"/>
      <c r="K166" s="103"/>
      <c r="L166" s="104"/>
      <c r="M166" s="103"/>
      <c r="N166" s="136"/>
      <c r="O166" s="138"/>
      <c r="P166" s="137"/>
      <c r="Q166" s="137"/>
    </row>
    <row r="167" customFormat="false" ht="15" hidden="false" customHeight="true" outlineLevel="0" collapsed="false">
      <c r="A167" s="194"/>
      <c r="B167" s="128"/>
      <c r="C167" s="198"/>
      <c r="D167" s="130"/>
      <c r="E167" s="130"/>
      <c r="F167" s="104"/>
      <c r="G167" s="157"/>
      <c r="H167" s="103"/>
      <c r="I167" s="104"/>
      <c r="J167" s="103"/>
      <c r="K167" s="103"/>
      <c r="L167" s="104"/>
      <c r="M167" s="103"/>
      <c r="N167" s="136"/>
      <c r="O167" s="138"/>
      <c r="P167" s="137"/>
      <c r="Q167" s="137"/>
    </row>
    <row r="168" customFormat="false" ht="15" hidden="false" customHeight="true" outlineLevel="0" collapsed="false">
      <c r="A168" s="194"/>
      <c r="B168" s="128"/>
      <c r="C168" s="198"/>
      <c r="D168" s="130"/>
      <c r="E168" s="130"/>
      <c r="F168" s="104"/>
      <c r="G168" s="157"/>
      <c r="H168" s="103"/>
      <c r="I168" s="104"/>
      <c r="J168" s="103"/>
      <c r="K168" s="103"/>
      <c r="L168" s="104"/>
      <c r="M168" s="103"/>
      <c r="N168" s="136"/>
      <c r="O168" s="138"/>
      <c r="P168" s="137"/>
      <c r="Q168" s="137"/>
    </row>
    <row r="169" customFormat="false" ht="15" hidden="false" customHeight="true" outlineLevel="0" collapsed="false">
      <c r="A169" s="194"/>
      <c r="B169" s="128"/>
      <c r="C169" s="198"/>
      <c r="D169" s="130"/>
      <c r="E169" s="130"/>
      <c r="F169" s="104"/>
      <c r="G169" s="157"/>
      <c r="H169" s="103"/>
      <c r="I169" s="104"/>
      <c r="J169" s="103"/>
      <c r="K169" s="103"/>
      <c r="L169" s="104"/>
      <c r="M169" s="103"/>
      <c r="N169" s="136"/>
      <c r="O169" s="138"/>
      <c r="P169" s="137"/>
      <c r="Q169" s="137"/>
    </row>
    <row r="170" customFormat="false" ht="15" hidden="false" customHeight="true" outlineLevel="0" collapsed="false">
      <c r="A170" s="199"/>
      <c r="B170" s="128"/>
      <c r="C170" s="198"/>
      <c r="D170" s="130"/>
      <c r="E170" s="130"/>
      <c r="F170" s="104"/>
      <c r="G170" s="133"/>
      <c r="H170" s="103"/>
      <c r="I170" s="104"/>
      <c r="J170" s="103"/>
      <c r="K170" s="103"/>
      <c r="L170" s="104"/>
      <c r="M170" s="103"/>
      <c r="N170" s="136"/>
      <c r="O170" s="138"/>
      <c r="P170" s="137"/>
      <c r="Q170" s="137"/>
    </row>
    <row r="171" customFormat="false" ht="15" hidden="false" customHeight="true" outlineLevel="0" collapsed="false">
      <c r="A171" s="199"/>
      <c r="B171" s="128"/>
      <c r="C171" s="200"/>
      <c r="D171" s="130"/>
      <c r="E171" s="130"/>
      <c r="F171" s="201"/>
      <c r="G171" s="183"/>
      <c r="H171" s="103"/>
      <c r="I171" s="104"/>
      <c r="J171" s="104"/>
      <c r="K171" s="104"/>
      <c r="L171" s="104"/>
      <c r="M171" s="104"/>
      <c r="N171" s="134"/>
      <c r="O171" s="138"/>
      <c r="P171" s="138"/>
      <c r="Q171" s="138"/>
    </row>
    <row r="172" customFormat="false" ht="15" hidden="false" customHeight="true" outlineLevel="0" collapsed="false">
      <c r="A172" s="202"/>
      <c r="B172" s="180"/>
      <c r="C172" s="203"/>
      <c r="D172" s="130"/>
      <c r="E172" s="204"/>
      <c r="F172" s="104"/>
      <c r="G172" s="133"/>
      <c r="H172" s="205"/>
      <c r="I172" s="104"/>
      <c r="J172" s="104"/>
      <c r="K172" s="104"/>
      <c r="L172" s="104"/>
      <c r="M172" s="104"/>
      <c r="N172" s="134"/>
      <c r="O172" s="138"/>
      <c r="P172" s="138"/>
      <c r="Q172" s="138"/>
    </row>
    <row r="173" customFormat="false" ht="15" hidden="false" customHeight="true" outlineLevel="0" collapsed="false">
      <c r="A173" s="199"/>
      <c r="B173" s="128"/>
      <c r="C173" s="206"/>
      <c r="D173" s="130"/>
      <c r="E173" s="207"/>
      <c r="F173" s="208"/>
      <c r="G173" s="209"/>
      <c r="H173" s="205"/>
      <c r="I173" s="104"/>
      <c r="J173" s="133"/>
      <c r="K173" s="104"/>
      <c r="L173" s="104"/>
      <c r="M173" s="104"/>
      <c r="N173" s="134"/>
      <c r="O173" s="138"/>
      <c r="P173" s="138"/>
      <c r="Q173" s="138"/>
    </row>
    <row r="174" customFormat="false" ht="15" hidden="false" customHeight="true" outlineLevel="0" collapsed="false">
      <c r="A174" s="210"/>
      <c r="B174" s="148"/>
      <c r="C174" s="211"/>
      <c r="D174" s="130"/>
      <c r="E174" s="212"/>
      <c r="F174" s="148"/>
      <c r="G174" s="148"/>
      <c r="H174" s="205"/>
      <c r="I174" s="104"/>
      <c r="J174" s="104"/>
      <c r="K174" s="104"/>
      <c r="L174" s="104"/>
      <c r="M174" s="104"/>
      <c r="N174" s="134"/>
      <c r="O174" s="138"/>
      <c r="P174" s="138"/>
      <c r="Q174" s="138"/>
    </row>
    <row r="175" customFormat="false" ht="15" hidden="false" customHeight="true" outlineLevel="0" collapsed="false">
      <c r="A175" s="109"/>
      <c r="B175" s="128"/>
      <c r="C175" s="213"/>
      <c r="D175" s="130"/>
      <c r="E175" s="214"/>
      <c r="F175" s="208"/>
      <c r="G175" s="157"/>
      <c r="H175" s="205"/>
      <c r="I175" s="104"/>
      <c r="J175" s="104"/>
      <c r="K175" s="104"/>
      <c r="L175" s="104"/>
      <c r="M175" s="104"/>
      <c r="N175" s="134"/>
      <c r="O175" s="138"/>
      <c r="P175" s="138"/>
      <c r="Q175" s="138"/>
    </row>
    <row r="176" customFormat="false" ht="15" hidden="false" customHeight="true" outlineLevel="0" collapsed="false">
      <c r="A176" s="215"/>
      <c r="B176" s="128"/>
      <c r="C176" s="213"/>
      <c r="D176" s="130"/>
      <c r="E176" s="214"/>
      <c r="F176" s="128"/>
      <c r="G176" s="157"/>
      <c r="H176" s="205"/>
      <c r="I176" s="104"/>
      <c r="J176" s="104"/>
      <c r="K176" s="104"/>
      <c r="L176" s="104"/>
      <c r="M176" s="104"/>
      <c r="N176" s="134"/>
      <c r="O176" s="138"/>
      <c r="P176" s="138"/>
      <c r="Q176" s="138"/>
    </row>
    <row r="177" customFormat="false" ht="15" hidden="false" customHeight="true" outlineLevel="0" collapsed="false">
      <c r="A177" s="215"/>
      <c r="B177" s="128"/>
      <c r="C177" s="213"/>
      <c r="D177" s="130"/>
      <c r="E177" s="214"/>
      <c r="F177" s="128"/>
      <c r="G177" s="157"/>
      <c r="H177" s="205"/>
      <c r="I177" s="104"/>
      <c r="J177" s="104"/>
      <c r="K177" s="104"/>
      <c r="L177" s="104"/>
      <c r="M177" s="104"/>
      <c r="N177" s="134"/>
      <c r="O177" s="138"/>
      <c r="P177" s="138"/>
      <c r="Q177" s="138"/>
    </row>
    <row r="178" customFormat="false" ht="15" hidden="false" customHeight="true" outlineLevel="0" collapsed="false">
      <c r="A178" s="215"/>
      <c r="B178" s="128"/>
      <c r="C178" s="213"/>
      <c r="D178" s="130"/>
      <c r="E178" s="214"/>
      <c r="F178" s="128"/>
      <c r="G178" s="157"/>
      <c r="H178" s="205"/>
      <c r="I178" s="138"/>
      <c r="J178" s="104"/>
      <c r="K178" s="104"/>
      <c r="L178" s="104"/>
      <c r="M178" s="104"/>
      <c r="N178" s="134"/>
      <c r="O178" s="138"/>
      <c r="P178" s="138"/>
      <c r="Q178" s="138"/>
    </row>
    <row r="179" customFormat="false" ht="15" hidden="false" customHeight="true" outlineLevel="0" collapsed="false">
      <c r="A179" s="216"/>
      <c r="B179" s="128"/>
      <c r="C179" s="213"/>
      <c r="D179" s="130"/>
      <c r="E179" s="214"/>
      <c r="F179" s="217"/>
      <c r="G179" s="157"/>
      <c r="H179" s="103"/>
      <c r="I179" s="138"/>
      <c r="J179" s="103"/>
      <c r="K179" s="103"/>
      <c r="L179" s="104"/>
      <c r="M179" s="103"/>
      <c r="N179" s="136"/>
      <c r="O179" s="138"/>
      <c r="P179" s="138"/>
      <c r="Q179" s="138"/>
    </row>
    <row r="180" customFormat="false" ht="15" hidden="false" customHeight="true" outlineLevel="0" collapsed="false">
      <c r="A180" s="202"/>
      <c r="B180" s="180"/>
      <c r="C180" s="203"/>
      <c r="D180" s="130"/>
      <c r="E180" s="204"/>
      <c r="F180" s="128"/>
      <c r="G180" s="218"/>
      <c r="H180" s="205"/>
      <c r="I180" s="138"/>
      <c r="J180" s="103"/>
      <c r="K180" s="103"/>
      <c r="L180" s="104"/>
      <c r="M180" s="103"/>
      <c r="N180" s="136"/>
      <c r="O180" s="138"/>
      <c r="P180" s="138"/>
      <c r="Q180" s="138"/>
    </row>
    <row r="181" customFormat="false" ht="15" hidden="false" customHeight="true" outlineLevel="0" collapsed="false">
      <c r="A181" s="215"/>
      <c r="B181" s="128"/>
      <c r="C181" s="219"/>
      <c r="D181" s="130"/>
      <c r="E181" s="220"/>
      <c r="F181" s="208"/>
      <c r="G181" s="209"/>
      <c r="H181" s="205"/>
      <c r="I181" s="128"/>
      <c r="J181" s="133"/>
      <c r="K181" s="103"/>
      <c r="L181" s="104"/>
      <c r="M181" s="103"/>
      <c r="N181" s="136"/>
      <c r="O181" s="138"/>
      <c r="P181" s="138"/>
      <c r="Q181" s="138"/>
    </row>
    <row r="182" customFormat="false" ht="15" hidden="false" customHeight="true" outlineLevel="0" collapsed="false">
      <c r="A182" s="127"/>
      <c r="B182" s="128"/>
      <c r="C182" s="146"/>
      <c r="D182" s="130"/>
      <c r="E182" s="128"/>
      <c r="F182" s="188"/>
      <c r="G182" s="221"/>
      <c r="H182" s="103"/>
      <c r="I182" s="138"/>
      <c r="J182" s="104"/>
      <c r="K182" s="104"/>
      <c r="L182" s="104"/>
      <c r="M182" s="104"/>
      <c r="N182" s="134"/>
      <c r="O182" s="138"/>
      <c r="P182" s="138"/>
      <c r="Q182" s="138"/>
    </row>
    <row r="183" customFormat="false" ht="15" hidden="false" customHeight="true" outlineLevel="0" collapsed="false">
      <c r="A183" s="127"/>
      <c r="B183" s="128"/>
      <c r="C183" s="206"/>
      <c r="D183" s="130"/>
      <c r="E183" s="147"/>
      <c r="F183" s="128"/>
      <c r="G183" s="157"/>
      <c r="H183" s="103"/>
      <c r="I183" s="138"/>
      <c r="J183" s="103"/>
      <c r="K183" s="103"/>
      <c r="L183" s="104"/>
      <c r="M183" s="104"/>
      <c r="N183" s="134"/>
      <c r="O183" s="138"/>
      <c r="P183" s="138"/>
      <c r="Q183" s="138"/>
    </row>
    <row r="184" customFormat="false" ht="15" hidden="false" customHeight="true" outlineLevel="0" collapsed="false">
      <c r="A184" s="127"/>
      <c r="B184" s="222"/>
      <c r="C184" s="206"/>
      <c r="D184" s="130"/>
      <c r="E184" s="147"/>
      <c r="F184" s="128"/>
      <c r="G184" s="157"/>
      <c r="H184" s="103"/>
      <c r="I184" s="156"/>
      <c r="J184" s="110"/>
      <c r="K184" s="110"/>
      <c r="L184" s="110"/>
      <c r="M184" s="110"/>
      <c r="N184" s="155"/>
      <c r="O184" s="156"/>
      <c r="P184" s="156"/>
      <c r="Q184" s="156"/>
    </row>
    <row r="185" customFormat="false" ht="15" hidden="false" customHeight="true" outlineLevel="0" collapsed="false">
      <c r="A185" s="127"/>
      <c r="B185" s="222"/>
      <c r="C185" s="223"/>
      <c r="D185" s="130"/>
      <c r="E185" s="147"/>
      <c r="F185" s="128"/>
      <c r="G185" s="157"/>
      <c r="H185" s="103"/>
      <c r="I185" s="156"/>
      <c r="J185" s="110"/>
      <c r="K185" s="110"/>
      <c r="L185" s="110"/>
      <c r="M185" s="110"/>
      <c r="N185" s="155"/>
      <c r="O185" s="156"/>
      <c r="P185" s="156"/>
      <c r="Q185" s="156"/>
    </row>
    <row r="186" customFormat="false" ht="15" hidden="false" customHeight="true" outlineLevel="0" collapsed="false">
      <c r="A186" s="127"/>
      <c r="B186" s="222"/>
      <c r="C186" s="223"/>
      <c r="D186" s="130"/>
      <c r="E186" s="147"/>
      <c r="F186" s="128"/>
      <c r="G186" s="157"/>
      <c r="H186" s="103"/>
      <c r="I186" s="156"/>
      <c r="J186" s="110"/>
      <c r="K186" s="110"/>
      <c r="L186" s="110"/>
      <c r="M186" s="110"/>
      <c r="N186" s="155"/>
      <c r="O186" s="156"/>
      <c r="P186" s="156"/>
      <c r="Q186" s="156"/>
    </row>
    <row r="187" customFormat="false" ht="15" hidden="false" customHeight="true" outlineLevel="0" collapsed="false">
      <c r="A187" s="127"/>
      <c r="B187" s="222"/>
      <c r="C187" s="223"/>
      <c r="D187" s="130"/>
      <c r="E187" s="147"/>
      <c r="F187" s="128"/>
      <c r="G187" s="157"/>
      <c r="H187" s="103"/>
      <c r="I187" s="156"/>
      <c r="J187" s="110"/>
      <c r="K187" s="110"/>
      <c r="L187" s="110"/>
      <c r="M187" s="110"/>
      <c r="N187" s="155"/>
      <c r="O187" s="156"/>
      <c r="P187" s="156"/>
      <c r="Q187" s="156"/>
    </row>
    <row r="188" customFormat="false" ht="15" hidden="false" customHeight="true" outlineLevel="0" collapsed="false">
      <c r="A188" s="127"/>
      <c r="B188" s="222"/>
      <c r="C188" s="223"/>
      <c r="D188" s="130"/>
      <c r="E188" s="147"/>
      <c r="F188" s="180"/>
      <c r="G188" s="157"/>
      <c r="H188" s="103"/>
      <c r="I188" s="156"/>
      <c r="J188" s="110"/>
      <c r="K188" s="110"/>
      <c r="L188" s="110"/>
      <c r="M188" s="110"/>
      <c r="N188" s="155"/>
      <c r="O188" s="156"/>
      <c r="P188" s="156"/>
      <c r="Q188" s="156"/>
    </row>
    <row r="189" customFormat="false" ht="15" hidden="false" customHeight="true" outlineLevel="0" collapsed="false">
      <c r="A189" s="127"/>
      <c r="B189" s="222"/>
      <c r="C189" s="223"/>
      <c r="D189" s="130"/>
      <c r="E189" s="224"/>
      <c r="F189" s="128"/>
      <c r="G189" s="157"/>
      <c r="H189" s="225"/>
      <c r="I189" s="156"/>
      <c r="J189" s="110"/>
      <c r="K189" s="110"/>
      <c r="L189" s="110"/>
      <c r="M189" s="110"/>
      <c r="N189" s="155"/>
      <c r="O189" s="156"/>
      <c r="P189" s="156"/>
      <c r="Q189" s="156"/>
    </row>
    <row r="190" customFormat="false" ht="15" hidden="false" customHeight="true" outlineLevel="0" collapsed="false">
      <c r="A190" s="202"/>
      <c r="B190" s="180"/>
      <c r="C190" s="203"/>
      <c r="D190" s="130"/>
      <c r="E190" s="204"/>
      <c r="F190" s="128"/>
      <c r="G190" s="218"/>
      <c r="H190" s="225"/>
      <c r="I190" s="156"/>
      <c r="J190" s="110"/>
      <c r="K190" s="110"/>
      <c r="L190" s="110"/>
      <c r="M190" s="110"/>
      <c r="N190" s="155"/>
      <c r="O190" s="156"/>
      <c r="P190" s="156"/>
      <c r="Q190" s="156"/>
    </row>
    <row r="191" customFormat="false" ht="15" hidden="false" customHeight="true" outlineLevel="0" collapsed="false">
      <c r="A191" s="226"/>
      <c r="B191" s="227"/>
      <c r="C191" s="228"/>
      <c r="D191" s="130"/>
      <c r="E191" s="229"/>
      <c r="F191" s="230"/>
      <c r="G191" s="231"/>
      <c r="H191" s="232"/>
      <c r="I191" s="180"/>
      <c r="J191" s="183"/>
      <c r="K191" s="233"/>
      <c r="L191" s="234"/>
      <c r="M191" s="234"/>
      <c r="N191" s="235"/>
      <c r="O191" s="233"/>
      <c r="P191" s="233"/>
      <c r="Q191" s="233"/>
    </row>
    <row r="192" customFormat="false" ht="22.5" hidden="false" customHeight="true" outlineLevel="0" collapsed="false">
      <c r="A192" s="158" t="s">
        <v>84</v>
      </c>
      <c r="B192" s="159"/>
      <c r="C192" s="159"/>
      <c r="D192" s="159"/>
      <c r="E192" s="159"/>
      <c r="F192" s="236"/>
      <c r="G192" s="236"/>
      <c r="H192" s="236"/>
      <c r="I192" s="236"/>
      <c r="J192" s="236"/>
      <c r="K192" s="236"/>
      <c r="L192" s="236"/>
      <c r="M192" s="236"/>
      <c r="N192" s="236"/>
      <c r="O192" s="236"/>
      <c r="P192" s="237"/>
      <c r="Q192" s="237"/>
    </row>
    <row r="193" customFormat="false" ht="15" hidden="false" customHeight="true" outlineLevel="0" collapsed="false">
      <c r="A193" s="127"/>
      <c r="B193" s="128"/>
      <c r="C193" s="153"/>
      <c r="D193" s="130"/>
      <c r="E193" s="104"/>
      <c r="F193" s="104"/>
      <c r="G193" s="133"/>
      <c r="H193" s="134"/>
      <c r="I193" s="104"/>
      <c r="J193" s="137"/>
      <c r="K193" s="134"/>
      <c r="L193" s="138"/>
      <c r="M193" s="138"/>
      <c r="N193" s="134"/>
      <c r="O193" s="104"/>
      <c r="P193" s="137"/>
      <c r="Q193" s="128"/>
      <c r="R193" s="64"/>
      <c r="S193" s="64"/>
      <c r="T193" s="64"/>
    </row>
    <row r="194" customFormat="false" ht="15" hidden="false" customHeight="true" outlineLevel="0" collapsed="false">
      <c r="A194" s="127"/>
      <c r="B194" s="128"/>
      <c r="C194" s="153"/>
      <c r="D194" s="130"/>
      <c r="E194" s="104"/>
      <c r="F194" s="104"/>
      <c r="G194" s="133"/>
      <c r="H194" s="134"/>
      <c r="I194" s="104"/>
      <c r="J194" s="137"/>
      <c r="K194" s="134"/>
      <c r="L194" s="104"/>
      <c r="M194" s="137"/>
      <c r="N194" s="134"/>
      <c r="O194" s="104"/>
      <c r="P194" s="137"/>
      <c r="Q194" s="128"/>
      <c r="R194" s="64"/>
      <c r="S194" s="64"/>
      <c r="T194" s="64"/>
    </row>
    <row r="195" customFormat="false" ht="15" hidden="false" customHeight="true" outlineLevel="0" collapsed="false">
      <c r="A195" s="127"/>
      <c r="B195" s="128"/>
      <c r="C195" s="153"/>
      <c r="D195" s="130"/>
      <c r="E195" s="104"/>
      <c r="F195" s="104"/>
      <c r="G195" s="133"/>
      <c r="H195" s="134"/>
      <c r="I195" s="104"/>
      <c r="J195" s="138"/>
      <c r="K195" s="134"/>
      <c r="L195" s="238"/>
      <c r="M195" s="138"/>
      <c r="N195" s="134"/>
      <c r="O195" s="104"/>
      <c r="P195" s="137"/>
      <c r="Q195" s="128"/>
      <c r="R195" s="64"/>
      <c r="S195" s="64"/>
      <c r="T195" s="64"/>
    </row>
    <row r="196" customFormat="false" ht="15" hidden="false" customHeight="true" outlineLevel="0" collapsed="false">
      <c r="A196" s="127"/>
      <c r="B196" s="128"/>
      <c r="C196" s="153"/>
      <c r="D196" s="130"/>
      <c r="E196" s="104"/>
      <c r="F196" s="104"/>
      <c r="G196" s="133"/>
      <c r="H196" s="134"/>
      <c r="I196" s="238"/>
      <c r="J196" s="103"/>
      <c r="K196" s="134"/>
      <c r="L196" s="104"/>
      <c r="M196" s="137"/>
      <c r="N196" s="136"/>
      <c r="O196" s="104"/>
      <c r="P196" s="137"/>
      <c r="Q196" s="128"/>
      <c r="R196" s="64"/>
      <c r="S196" s="64"/>
      <c r="T196" s="64"/>
    </row>
    <row r="197" customFormat="false" ht="15" hidden="false" customHeight="true" outlineLevel="0" collapsed="false">
      <c r="A197" s="127"/>
      <c r="B197" s="128"/>
      <c r="C197" s="153"/>
      <c r="D197" s="130"/>
      <c r="E197" s="151"/>
      <c r="F197" s="104"/>
      <c r="G197" s="133"/>
      <c r="H197" s="134"/>
      <c r="I197" s="104"/>
      <c r="J197" s="138"/>
      <c r="K197" s="134"/>
      <c r="L197" s="104"/>
      <c r="M197" s="138"/>
      <c r="N197" s="134"/>
      <c r="O197" s="104"/>
      <c r="P197" s="137"/>
      <c r="Q197" s="128"/>
      <c r="R197" s="64"/>
      <c r="S197" s="64"/>
      <c r="T197" s="64"/>
    </row>
    <row r="198" customFormat="false" ht="15" hidden="false" customHeight="true" outlineLevel="0" collapsed="false">
      <c r="A198" s="127"/>
      <c r="B198" s="128"/>
      <c r="C198" s="146"/>
      <c r="D198" s="130"/>
      <c r="E198" s="104"/>
      <c r="F198" s="104"/>
      <c r="G198" s="133"/>
      <c r="H198" s="134"/>
      <c r="I198" s="104"/>
      <c r="J198" s="138"/>
      <c r="K198" s="134"/>
      <c r="L198" s="104"/>
      <c r="M198" s="138"/>
      <c r="N198" s="134"/>
      <c r="O198" s="104"/>
      <c r="P198" s="137"/>
      <c r="Q198" s="128"/>
      <c r="R198" s="64"/>
      <c r="S198" s="64"/>
      <c r="T198" s="64"/>
    </row>
    <row r="199" customFormat="false" ht="15" hidden="false" customHeight="true" outlineLevel="0" collapsed="false">
      <c r="A199" s="127"/>
      <c r="B199" s="128"/>
      <c r="C199" s="153"/>
      <c r="D199" s="130"/>
      <c r="E199" s="151"/>
      <c r="F199" s="104"/>
      <c r="G199" s="133"/>
      <c r="H199" s="134"/>
      <c r="I199" s="104"/>
      <c r="J199" s="138"/>
      <c r="K199" s="134"/>
      <c r="L199" s="104"/>
      <c r="M199" s="138"/>
      <c r="N199" s="134"/>
      <c r="O199" s="104"/>
      <c r="P199" s="137"/>
      <c r="Q199" s="128"/>
      <c r="R199" s="64"/>
      <c r="S199" s="64"/>
      <c r="T199" s="64"/>
    </row>
    <row r="200" customFormat="false" ht="15" hidden="false" customHeight="true" outlineLevel="0" collapsed="false">
      <c r="A200" s="127"/>
      <c r="B200" s="128"/>
      <c r="C200" s="153"/>
      <c r="D200" s="130"/>
      <c r="E200" s="151"/>
      <c r="F200" s="104"/>
      <c r="G200" s="133"/>
      <c r="H200" s="134"/>
      <c r="I200" s="104"/>
      <c r="J200" s="138"/>
      <c r="K200" s="134"/>
      <c r="L200" s="104"/>
      <c r="M200" s="138"/>
      <c r="N200" s="134"/>
      <c r="O200" s="104"/>
      <c r="P200" s="137"/>
      <c r="Q200" s="128"/>
      <c r="R200" s="64"/>
      <c r="S200" s="64"/>
      <c r="T200" s="64"/>
    </row>
    <row r="201" customFormat="false" ht="15" hidden="false" customHeight="true" outlineLevel="0" collapsed="false">
      <c r="A201" s="127"/>
      <c r="B201" s="128"/>
      <c r="C201" s="146"/>
      <c r="D201" s="130"/>
      <c r="E201" s="104"/>
      <c r="F201" s="104"/>
      <c r="G201" s="133"/>
      <c r="H201" s="134"/>
      <c r="I201" s="104"/>
      <c r="J201" s="137"/>
      <c r="K201" s="136"/>
      <c r="L201" s="104"/>
      <c r="M201" s="137"/>
      <c r="N201" s="136"/>
      <c r="O201" s="104"/>
      <c r="P201" s="137"/>
      <c r="Q201" s="128"/>
      <c r="R201" s="64"/>
      <c r="S201" s="64"/>
      <c r="T201" s="64"/>
    </row>
    <row r="202" customFormat="false" ht="15" hidden="false" customHeight="true" outlineLevel="0" collapsed="false">
      <c r="A202" s="127"/>
      <c r="B202" s="128"/>
      <c r="C202" s="146"/>
      <c r="D202" s="130"/>
      <c r="E202" s="104"/>
      <c r="F202" s="104"/>
      <c r="G202" s="133"/>
      <c r="H202" s="134"/>
      <c r="I202" s="104"/>
      <c r="J202" s="137"/>
      <c r="K202" s="136"/>
      <c r="L202" s="104"/>
      <c r="M202" s="137"/>
      <c r="N202" s="136"/>
      <c r="O202" s="104"/>
      <c r="P202" s="137"/>
      <c r="Q202" s="128"/>
      <c r="R202" s="64"/>
      <c r="S202" s="64"/>
      <c r="T202" s="64"/>
    </row>
    <row r="203" customFormat="false" ht="15" hidden="false" customHeight="true" outlineLevel="0" collapsed="false">
      <c r="A203" s="127"/>
      <c r="B203" s="128"/>
      <c r="C203" s="146"/>
      <c r="D203" s="130"/>
      <c r="E203" s="104"/>
      <c r="F203" s="104"/>
      <c r="G203" s="133"/>
      <c r="H203" s="134"/>
      <c r="I203" s="104"/>
      <c r="J203" s="137"/>
      <c r="K203" s="136"/>
      <c r="L203" s="104"/>
      <c r="M203" s="137"/>
      <c r="N203" s="136"/>
      <c r="O203" s="104"/>
      <c r="P203" s="137"/>
      <c r="Q203" s="128"/>
      <c r="R203" s="64"/>
      <c r="S203" s="64"/>
      <c r="T203" s="64"/>
    </row>
    <row r="204" customFormat="false" ht="15" hidden="false" customHeight="true" outlineLevel="0" collapsed="false">
      <c r="A204" s="127"/>
      <c r="B204" s="128"/>
      <c r="C204" s="146"/>
      <c r="D204" s="130"/>
      <c r="E204" s="104"/>
      <c r="F204" s="104"/>
      <c r="G204" s="133"/>
      <c r="H204" s="134"/>
      <c r="I204" s="104"/>
      <c r="J204" s="137"/>
      <c r="K204" s="136"/>
      <c r="L204" s="104"/>
      <c r="M204" s="137"/>
      <c r="N204" s="136"/>
      <c r="O204" s="104"/>
      <c r="P204" s="137"/>
      <c r="Q204" s="128"/>
      <c r="R204" s="64"/>
      <c r="S204" s="64"/>
      <c r="T204" s="64"/>
    </row>
    <row r="205" customFormat="false" ht="15" hidden="false" customHeight="true" outlineLevel="0" collapsed="false">
      <c r="A205" s="127"/>
      <c r="B205" s="128"/>
      <c r="C205" s="146"/>
      <c r="D205" s="130"/>
      <c r="E205" s="104"/>
      <c r="F205" s="104"/>
      <c r="G205" s="133"/>
      <c r="H205" s="134"/>
      <c r="I205" s="104"/>
      <c r="J205" s="138"/>
      <c r="K205" s="134"/>
      <c r="L205" s="104"/>
      <c r="M205" s="138"/>
      <c r="N205" s="134"/>
      <c r="O205" s="104"/>
      <c r="P205" s="137"/>
      <c r="Q205" s="128"/>
      <c r="R205" s="64"/>
      <c r="S205" s="64"/>
      <c r="T205" s="64"/>
    </row>
    <row r="206" customFormat="false" ht="15" hidden="false" customHeight="true" outlineLevel="0" collapsed="false">
      <c r="A206" s="127"/>
      <c r="B206" s="128"/>
      <c r="C206" s="146"/>
      <c r="D206" s="130"/>
      <c r="E206" s="104"/>
      <c r="F206" s="104"/>
      <c r="G206" s="133"/>
      <c r="H206" s="134"/>
      <c r="I206" s="104"/>
      <c r="J206" s="137"/>
      <c r="K206" s="136"/>
      <c r="L206" s="104"/>
      <c r="M206" s="138"/>
      <c r="N206" s="134"/>
      <c r="O206" s="104"/>
      <c r="P206" s="137"/>
      <c r="Q206" s="128"/>
      <c r="R206" s="64"/>
      <c r="S206" s="64"/>
      <c r="T206" s="64"/>
    </row>
    <row r="207" customFormat="false" ht="15" hidden="false" customHeight="true" outlineLevel="0" collapsed="false">
      <c r="A207" s="127"/>
      <c r="B207" s="128"/>
      <c r="C207" s="239"/>
      <c r="D207" s="130"/>
      <c r="E207" s="110"/>
      <c r="F207" s="104"/>
      <c r="G207" s="133"/>
      <c r="H207" s="134"/>
      <c r="I207" s="110"/>
      <c r="J207" s="156"/>
      <c r="K207" s="155"/>
      <c r="L207" s="110"/>
      <c r="M207" s="156"/>
      <c r="N207" s="155"/>
      <c r="O207" s="104"/>
      <c r="P207" s="137"/>
      <c r="Q207" s="152"/>
      <c r="R207" s="64"/>
      <c r="S207" s="64"/>
      <c r="T207" s="64"/>
    </row>
    <row r="208" customFormat="false" ht="15" hidden="false" customHeight="true" outlineLevel="0" collapsed="false">
      <c r="A208" s="127"/>
      <c r="B208" s="128"/>
      <c r="C208" s="239"/>
      <c r="D208" s="130"/>
      <c r="E208" s="110"/>
      <c r="F208" s="104"/>
      <c r="G208" s="133"/>
      <c r="H208" s="134"/>
      <c r="I208" s="110"/>
      <c r="J208" s="156"/>
      <c r="K208" s="155"/>
      <c r="L208" s="110"/>
      <c r="M208" s="156"/>
      <c r="N208" s="155"/>
      <c r="O208" s="104"/>
      <c r="P208" s="137"/>
      <c r="Q208" s="152"/>
      <c r="R208" s="64"/>
      <c r="S208" s="64"/>
      <c r="T208" s="64"/>
    </row>
    <row r="209" customFormat="false" ht="15" hidden="false" customHeight="true" outlineLevel="0" collapsed="false">
      <c r="A209" s="127"/>
      <c r="B209" s="128"/>
      <c r="C209" s="239"/>
      <c r="D209" s="130"/>
      <c r="E209" s="110"/>
      <c r="F209" s="104"/>
      <c r="G209" s="133"/>
      <c r="H209" s="134"/>
      <c r="I209" s="110"/>
      <c r="J209" s="184"/>
      <c r="K209" s="155"/>
      <c r="L209" s="156"/>
      <c r="M209" s="156"/>
      <c r="N209" s="155"/>
      <c r="O209" s="104"/>
      <c r="P209" s="156"/>
      <c r="Q209" s="152"/>
      <c r="R209" s="64"/>
      <c r="S209" s="64"/>
      <c r="T209" s="64"/>
    </row>
    <row r="210" customFormat="false" ht="15" hidden="false" customHeight="true" outlineLevel="0" collapsed="false">
      <c r="A210" s="139"/>
      <c r="B210" s="104"/>
      <c r="C210" s="240"/>
      <c r="D210" s="130"/>
      <c r="E210" s="110"/>
      <c r="F210" s="104"/>
      <c r="G210" s="103"/>
      <c r="H210" s="134"/>
      <c r="I210" s="110"/>
      <c r="J210" s="144"/>
      <c r="K210" s="155"/>
      <c r="L210" s="110"/>
      <c r="M210" s="144"/>
      <c r="N210" s="155"/>
      <c r="O210" s="104"/>
      <c r="P210" s="156"/>
      <c r="Q210" s="152"/>
      <c r="R210" s="64"/>
      <c r="S210" s="64"/>
      <c r="T210" s="64"/>
    </row>
    <row r="211" customFormat="false" ht="21" hidden="false" customHeight="true" outlineLevel="0" collapsed="false">
      <c r="A211" s="139"/>
      <c r="B211" s="104"/>
      <c r="C211" s="241"/>
      <c r="D211" s="130"/>
      <c r="E211" s="110"/>
      <c r="F211" s="104"/>
      <c r="G211" s="103"/>
      <c r="H211" s="134"/>
      <c r="I211" s="110"/>
      <c r="J211" s="144"/>
      <c r="K211" s="155"/>
      <c r="L211" s="156"/>
      <c r="M211" s="156"/>
      <c r="N211" s="155"/>
      <c r="O211" s="104"/>
      <c r="P211" s="156"/>
      <c r="Q211" s="152"/>
      <c r="R211" s="64"/>
      <c r="S211" s="64"/>
      <c r="T211" s="64"/>
    </row>
    <row r="212" customFormat="false" ht="30" hidden="false" customHeight="true" outlineLevel="0" collapsed="false">
      <c r="A212" s="139"/>
      <c r="B212" s="104"/>
      <c r="C212" s="241"/>
      <c r="D212" s="130"/>
      <c r="E212" s="110"/>
      <c r="F212" s="104"/>
      <c r="G212" s="103"/>
      <c r="H212" s="134"/>
      <c r="I212" s="110"/>
      <c r="J212" s="144"/>
      <c r="K212" s="155"/>
      <c r="L212" s="156"/>
      <c r="M212" s="156"/>
      <c r="N212" s="155"/>
      <c r="O212" s="104"/>
      <c r="P212" s="156"/>
      <c r="Q212" s="152"/>
      <c r="R212" s="64"/>
      <c r="S212" s="64"/>
      <c r="T212" s="64"/>
    </row>
    <row r="213" customFormat="false" ht="15" hidden="false" customHeight="true" outlineLevel="0" collapsed="false">
      <c r="A213" s="127"/>
      <c r="B213" s="128"/>
      <c r="C213" s="239"/>
      <c r="D213" s="130"/>
      <c r="E213" s="110"/>
      <c r="F213" s="104"/>
      <c r="G213" s="133"/>
      <c r="H213" s="134"/>
      <c r="I213" s="110"/>
      <c r="J213" s="156"/>
      <c r="K213" s="155"/>
      <c r="L213" s="156"/>
      <c r="M213" s="156"/>
      <c r="N213" s="155"/>
      <c r="O213" s="104"/>
      <c r="P213" s="156"/>
      <c r="Q213" s="152"/>
      <c r="R213" s="64"/>
      <c r="S213" s="64"/>
      <c r="T213" s="64"/>
    </row>
    <row r="214" customFormat="false" ht="15" hidden="false" customHeight="true" outlineLevel="0" collapsed="false">
      <c r="A214" s="127"/>
      <c r="B214" s="128"/>
      <c r="C214" s="239"/>
      <c r="D214" s="130"/>
      <c r="E214" s="110"/>
      <c r="F214" s="104"/>
      <c r="G214" s="133"/>
      <c r="H214" s="134"/>
      <c r="I214" s="110"/>
      <c r="J214" s="156"/>
      <c r="K214" s="155"/>
      <c r="L214" s="156"/>
      <c r="M214" s="156"/>
      <c r="N214" s="155"/>
      <c r="O214" s="104"/>
      <c r="P214" s="156"/>
      <c r="Q214" s="152"/>
      <c r="R214" s="64"/>
      <c r="S214" s="64"/>
      <c r="T214" s="64"/>
    </row>
    <row r="215" customFormat="false" ht="15" hidden="false" customHeight="true" outlineLevel="0" collapsed="false">
      <c r="A215" s="127"/>
      <c r="B215" s="128"/>
      <c r="C215" s="239"/>
      <c r="D215" s="130"/>
      <c r="E215" s="110"/>
      <c r="F215" s="104"/>
      <c r="G215" s="133"/>
      <c r="H215" s="134"/>
      <c r="I215" s="110"/>
      <c r="J215" s="156"/>
      <c r="K215" s="155"/>
      <c r="L215" s="156"/>
      <c r="M215" s="156"/>
      <c r="N215" s="155"/>
      <c r="O215" s="104"/>
      <c r="P215" s="156"/>
      <c r="Q215" s="152"/>
      <c r="R215" s="64"/>
      <c r="S215" s="64"/>
      <c r="T215" s="64"/>
    </row>
    <row r="216" customFormat="false" ht="15" hidden="false" customHeight="true" outlineLevel="0" collapsed="false">
      <c r="A216" s="127"/>
      <c r="B216" s="128"/>
      <c r="C216" s="239"/>
      <c r="D216" s="130"/>
      <c r="E216" s="110"/>
      <c r="F216" s="104"/>
      <c r="G216" s="133"/>
      <c r="H216" s="134"/>
      <c r="I216" s="110"/>
      <c r="J216" s="156"/>
      <c r="K216" s="155"/>
      <c r="L216" s="156"/>
      <c r="M216" s="156"/>
      <c r="N216" s="155"/>
      <c r="O216" s="104"/>
      <c r="P216" s="156"/>
      <c r="Q216" s="152"/>
      <c r="R216" s="64"/>
      <c r="S216" s="64"/>
      <c r="T216" s="64"/>
    </row>
    <row r="217" customFormat="false" ht="15" hidden="false" customHeight="true" outlineLevel="0" collapsed="false">
      <c r="A217" s="127"/>
      <c r="B217" s="128"/>
      <c r="C217" s="239"/>
      <c r="D217" s="130"/>
      <c r="E217" s="110"/>
      <c r="F217" s="104"/>
      <c r="G217" s="133"/>
      <c r="H217" s="134"/>
      <c r="I217" s="110"/>
      <c r="J217" s="156"/>
      <c r="K217" s="155"/>
      <c r="L217" s="156"/>
      <c r="M217" s="156"/>
      <c r="N217" s="155"/>
      <c r="O217" s="104"/>
      <c r="P217" s="156"/>
      <c r="Q217" s="152"/>
      <c r="R217" s="64"/>
      <c r="S217" s="64"/>
      <c r="T217" s="64"/>
    </row>
    <row r="218" customFormat="false" ht="15" hidden="false" customHeight="true" outlineLevel="0" collapsed="false">
      <c r="A218" s="127"/>
      <c r="B218" s="128"/>
      <c r="C218" s="239"/>
      <c r="D218" s="130"/>
      <c r="E218" s="110"/>
      <c r="F218" s="104"/>
      <c r="G218" s="133"/>
      <c r="H218" s="134"/>
      <c r="I218" s="110"/>
      <c r="J218" s="184"/>
      <c r="K218" s="155"/>
      <c r="L218" s="156"/>
      <c r="M218" s="184"/>
      <c r="N218" s="155"/>
      <c r="O218" s="104"/>
      <c r="P218" s="184"/>
      <c r="Q218" s="242"/>
      <c r="R218" s="64"/>
      <c r="S218" s="243"/>
      <c r="T218" s="244"/>
    </row>
    <row r="219" customFormat="false" ht="15" hidden="false" customHeight="true" outlineLevel="0" collapsed="false">
      <c r="A219" s="226"/>
      <c r="B219" s="180"/>
      <c r="C219" s="245"/>
      <c r="D219" s="130"/>
      <c r="E219" s="234"/>
      <c r="F219" s="201"/>
      <c r="G219" s="183"/>
      <c r="H219" s="246"/>
      <c r="I219" s="234"/>
      <c r="J219" s="233"/>
      <c r="K219" s="235"/>
      <c r="L219" s="233"/>
      <c r="M219" s="233"/>
      <c r="N219" s="235"/>
      <c r="O219" s="201"/>
      <c r="P219" s="233"/>
      <c r="Q219" s="233"/>
      <c r="R219" s="64"/>
      <c r="S219" s="64"/>
      <c r="T219" s="64"/>
    </row>
    <row r="220" customFormat="false" ht="21" hidden="false" customHeight="true" outlineLevel="0" collapsed="false">
      <c r="A220" s="247" t="s">
        <v>85</v>
      </c>
      <c r="B220" s="248"/>
      <c r="C220" s="248"/>
      <c r="D220" s="248"/>
      <c r="E220" s="249"/>
      <c r="F220" s="250"/>
      <c r="G220" s="250"/>
      <c r="H220" s="250"/>
      <c r="I220" s="250"/>
      <c r="J220" s="250"/>
      <c r="K220" s="250"/>
      <c r="L220" s="250"/>
      <c r="M220" s="250"/>
      <c r="N220" s="250"/>
      <c r="O220" s="250"/>
      <c r="P220" s="250"/>
      <c r="Q220" s="250"/>
    </row>
    <row r="221" customFormat="false" ht="15" hidden="false" customHeight="true" outlineLevel="0" collapsed="false">
      <c r="A221" s="127"/>
      <c r="B221" s="128"/>
      <c r="C221" s="129"/>
      <c r="D221" s="130"/>
      <c r="E221" s="130"/>
      <c r="F221" s="97"/>
      <c r="G221" s="133"/>
      <c r="H221" s="134"/>
      <c r="I221" s="104"/>
      <c r="J221" s="103"/>
      <c r="K221" s="134"/>
      <c r="L221" s="104"/>
      <c r="M221" s="137"/>
      <c r="N221" s="136"/>
      <c r="O221" s="104"/>
      <c r="P221" s="138"/>
      <c r="Q221" s="136"/>
    </row>
    <row r="222" customFormat="false" ht="15" hidden="false" customHeight="true" outlineLevel="0" collapsed="false">
      <c r="A222" s="127"/>
      <c r="B222" s="128"/>
      <c r="C222" s="129"/>
      <c r="D222" s="130"/>
      <c r="E222" s="130"/>
      <c r="F222" s="97"/>
      <c r="G222" s="133"/>
      <c r="H222" s="147"/>
      <c r="I222" s="104"/>
      <c r="J222" s="103"/>
      <c r="K222" s="134"/>
      <c r="L222" s="104"/>
      <c r="M222" s="138"/>
      <c r="N222" s="134"/>
      <c r="O222" s="104"/>
      <c r="P222" s="138"/>
      <c r="Q222" s="134"/>
    </row>
    <row r="223" customFormat="false" ht="15" hidden="false" customHeight="true" outlineLevel="0" collapsed="false">
      <c r="A223" s="127"/>
      <c r="B223" s="128"/>
      <c r="C223" s="129"/>
      <c r="D223" s="130"/>
      <c r="E223" s="130"/>
      <c r="F223" s="97"/>
      <c r="G223" s="133"/>
      <c r="H223" s="147"/>
      <c r="I223" s="104"/>
      <c r="J223" s="104"/>
      <c r="K223" s="134"/>
      <c r="L223" s="104"/>
      <c r="M223" s="138"/>
      <c r="N223" s="134"/>
      <c r="O223" s="104"/>
      <c r="P223" s="138"/>
      <c r="Q223" s="134"/>
    </row>
    <row r="224" customFormat="false" ht="15" hidden="false" customHeight="true" outlineLevel="0" collapsed="false">
      <c r="A224" s="127"/>
      <c r="B224" s="128"/>
      <c r="C224" s="129"/>
      <c r="D224" s="130"/>
      <c r="E224" s="130"/>
      <c r="F224" s="97"/>
      <c r="G224" s="133"/>
      <c r="H224" s="147"/>
      <c r="I224" s="104"/>
      <c r="J224" s="103"/>
      <c r="K224" s="136"/>
      <c r="L224" s="104"/>
      <c r="M224" s="138"/>
      <c r="N224" s="134"/>
      <c r="O224" s="104"/>
      <c r="P224" s="138"/>
      <c r="Q224" s="134"/>
    </row>
    <row r="225" customFormat="false" ht="15" hidden="false" customHeight="true" outlineLevel="0" collapsed="false">
      <c r="A225" s="127"/>
      <c r="B225" s="128"/>
      <c r="C225" s="129"/>
      <c r="D225" s="130"/>
      <c r="E225" s="130"/>
      <c r="F225" s="97"/>
      <c r="G225" s="133"/>
      <c r="H225" s="147"/>
      <c r="I225" s="104"/>
      <c r="J225" s="103"/>
      <c r="K225" s="134"/>
      <c r="L225" s="104"/>
      <c r="M225" s="138"/>
      <c r="N225" s="134"/>
      <c r="O225" s="104"/>
      <c r="P225" s="138"/>
      <c r="Q225" s="134"/>
    </row>
    <row r="226" customFormat="false" ht="15" hidden="false" customHeight="true" outlineLevel="0" collapsed="false">
      <c r="A226" s="127"/>
      <c r="B226" s="128"/>
      <c r="C226" s="251"/>
      <c r="D226" s="130"/>
      <c r="E226" s="130"/>
      <c r="F226" s="97"/>
      <c r="G226" s="133"/>
      <c r="H226" s="147"/>
      <c r="I226" s="104"/>
      <c r="J226" s="104"/>
      <c r="K226" s="134"/>
      <c r="L226" s="104"/>
      <c r="M226" s="138"/>
      <c r="N226" s="134"/>
      <c r="O226" s="104"/>
      <c r="P226" s="138"/>
      <c r="Q226" s="134"/>
    </row>
    <row r="227" customFormat="false" ht="15" hidden="false" customHeight="true" outlineLevel="0" collapsed="false">
      <c r="A227" s="127"/>
      <c r="B227" s="128"/>
      <c r="C227" s="129"/>
      <c r="D227" s="130"/>
      <c r="E227" s="130"/>
      <c r="F227" s="97"/>
      <c r="G227" s="133"/>
      <c r="H227" s="147"/>
      <c r="I227" s="104"/>
      <c r="J227" s="104"/>
      <c r="K227" s="134"/>
      <c r="L227" s="104"/>
      <c r="M227" s="138"/>
      <c r="N227" s="134"/>
      <c r="O227" s="104"/>
      <c r="P227" s="138"/>
      <c r="Q227" s="134"/>
    </row>
    <row r="228" customFormat="false" ht="15" hidden="false" customHeight="true" outlineLevel="0" collapsed="false">
      <c r="A228" s="127"/>
      <c r="B228" s="128"/>
      <c r="C228" s="138"/>
      <c r="D228" s="130"/>
      <c r="E228" s="130"/>
      <c r="F228" s="97"/>
      <c r="G228" s="133"/>
      <c r="H228" s="147"/>
      <c r="I228" s="104"/>
      <c r="J228" s="104"/>
      <c r="K228" s="134"/>
      <c r="L228" s="104"/>
      <c r="M228" s="138"/>
      <c r="N228" s="134"/>
      <c r="O228" s="104"/>
      <c r="P228" s="138"/>
      <c r="Q228" s="134"/>
    </row>
    <row r="229" customFormat="false" ht="15" hidden="false" customHeight="true" outlineLevel="0" collapsed="false">
      <c r="A229" s="127"/>
      <c r="B229" s="128"/>
      <c r="C229" s="129"/>
      <c r="D229" s="130"/>
      <c r="E229" s="130"/>
      <c r="F229" s="97"/>
      <c r="G229" s="133"/>
      <c r="H229" s="147"/>
      <c r="I229" s="104"/>
      <c r="J229" s="103"/>
      <c r="K229" s="136"/>
      <c r="L229" s="104"/>
      <c r="M229" s="137"/>
      <c r="N229" s="136"/>
      <c r="O229" s="104"/>
      <c r="P229" s="138"/>
      <c r="Q229" s="134"/>
    </row>
    <row r="230" customFormat="false" ht="15" hidden="false" customHeight="true" outlineLevel="0" collapsed="false">
      <c r="A230" s="127"/>
      <c r="B230" s="128"/>
      <c r="C230" s="129"/>
      <c r="D230" s="130"/>
      <c r="E230" s="130"/>
      <c r="F230" s="97"/>
      <c r="G230" s="133"/>
      <c r="H230" s="147"/>
      <c r="I230" s="104"/>
      <c r="J230" s="103"/>
      <c r="K230" s="136"/>
      <c r="L230" s="104"/>
      <c r="M230" s="137"/>
      <c r="N230" s="136"/>
      <c r="O230" s="104"/>
      <c r="P230" s="138"/>
      <c r="Q230" s="134"/>
    </row>
    <row r="231" customFormat="false" ht="15" hidden="false" customHeight="true" outlineLevel="0" collapsed="false">
      <c r="A231" s="127"/>
      <c r="B231" s="128"/>
      <c r="C231" s="146"/>
      <c r="D231" s="130"/>
      <c r="E231" s="130"/>
      <c r="F231" s="97"/>
      <c r="G231" s="133"/>
      <c r="H231" s="147"/>
      <c r="I231" s="104"/>
      <c r="J231" s="103"/>
      <c r="K231" s="134"/>
      <c r="L231" s="104"/>
      <c r="M231" s="137"/>
      <c r="N231" s="136"/>
      <c r="O231" s="104"/>
      <c r="P231" s="137"/>
      <c r="Q231" s="134"/>
    </row>
    <row r="232" customFormat="false" ht="15" hidden="false" customHeight="true" outlineLevel="0" collapsed="false">
      <c r="A232" s="127"/>
      <c r="B232" s="128"/>
      <c r="C232" s="129"/>
      <c r="D232" s="130"/>
      <c r="E232" s="128"/>
      <c r="F232" s="97"/>
      <c r="G232" s="133"/>
      <c r="H232" s="147"/>
      <c r="I232" s="104"/>
      <c r="J232" s="103"/>
      <c r="K232" s="136"/>
      <c r="L232" s="104"/>
      <c r="M232" s="138"/>
      <c r="N232" s="134"/>
      <c r="O232" s="104"/>
      <c r="P232" s="138"/>
      <c r="Q232" s="134"/>
    </row>
    <row r="233" customFormat="false" ht="15" hidden="false" customHeight="true" outlineLevel="0" collapsed="false">
      <c r="A233" s="252"/>
      <c r="B233" s="128"/>
      <c r="C233" s="129"/>
      <c r="D233" s="130"/>
      <c r="E233" s="152"/>
      <c r="F233" s="97"/>
      <c r="G233" s="133"/>
      <c r="H233" s="147"/>
      <c r="I233" s="110"/>
      <c r="J233" s="110"/>
      <c r="K233" s="155"/>
      <c r="L233" s="110"/>
      <c r="M233" s="156"/>
      <c r="N233" s="155"/>
      <c r="O233" s="110"/>
      <c r="P233" s="156"/>
      <c r="Q233" s="155"/>
    </row>
    <row r="234" customFormat="false" ht="15" hidden="false" customHeight="true" outlineLevel="0" collapsed="false">
      <c r="A234" s="252"/>
      <c r="B234" s="128"/>
      <c r="C234" s="152"/>
      <c r="D234" s="130"/>
      <c r="E234" s="152"/>
      <c r="F234" s="97"/>
      <c r="G234" s="133"/>
      <c r="H234" s="147"/>
      <c r="I234" s="110"/>
      <c r="J234" s="110"/>
      <c r="K234" s="155"/>
      <c r="L234" s="110"/>
      <c r="M234" s="156"/>
      <c r="N234" s="155"/>
      <c r="O234" s="110"/>
      <c r="P234" s="156"/>
      <c r="Q234" s="155"/>
    </row>
    <row r="235" customFormat="false" ht="24" hidden="false" customHeight="true" outlineLevel="0" collapsed="false">
      <c r="A235" s="253" t="s">
        <v>30</v>
      </c>
      <c r="B235" s="248"/>
      <c r="C235" s="249"/>
      <c r="D235" s="254"/>
      <c r="E235" s="254"/>
      <c r="F235" s="250"/>
      <c r="G235" s="250"/>
      <c r="H235" s="250"/>
      <c r="I235" s="250"/>
      <c r="J235" s="250"/>
      <c r="K235" s="250"/>
      <c r="L235" s="250"/>
      <c r="M235" s="250"/>
      <c r="N235" s="250"/>
      <c r="O235" s="250"/>
      <c r="P235" s="250"/>
      <c r="Q235" s="250"/>
    </row>
    <row r="236" customFormat="false" ht="15" hidden="false" customHeight="true" outlineLevel="0" collapsed="false">
      <c r="A236" s="127"/>
      <c r="B236" s="128"/>
      <c r="C236" s="146"/>
      <c r="D236" s="130"/>
      <c r="E236" s="128"/>
      <c r="F236" s="97"/>
      <c r="G236" s="133"/>
      <c r="H236" s="134"/>
      <c r="I236" s="104"/>
      <c r="J236" s="137"/>
      <c r="K236" s="136"/>
      <c r="L236" s="104"/>
      <c r="M236" s="137"/>
      <c r="N236" s="135"/>
      <c r="O236" s="104"/>
      <c r="P236" s="137"/>
      <c r="Q236" s="135"/>
    </row>
    <row r="237" customFormat="false" ht="15" hidden="false" customHeight="true" outlineLevel="0" collapsed="false">
      <c r="A237" s="127"/>
      <c r="B237" s="128"/>
      <c r="C237" s="129"/>
      <c r="D237" s="130"/>
      <c r="E237" s="128"/>
      <c r="F237" s="97"/>
      <c r="G237" s="133"/>
      <c r="H237" s="134"/>
      <c r="I237" s="104"/>
      <c r="J237" s="138"/>
      <c r="K237" s="134"/>
      <c r="L237" s="138"/>
      <c r="M237" s="138"/>
      <c r="N237" s="147"/>
      <c r="O237" s="104"/>
      <c r="P237" s="137"/>
      <c r="Q237" s="147"/>
      <c r="R237" s="64"/>
    </row>
    <row r="238" customFormat="false" ht="15" hidden="false" customHeight="true" outlineLevel="0" collapsed="false">
      <c r="A238" s="127"/>
      <c r="B238" s="128"/>
      <c r="C238" s="129"/>
      <c r="D238" s="130"/>
      <c r="E238" s="128"/>
      <c r="F238" s="97"/>
      <c r="G238" s="133"/>
      <c r="H238" s="134"/>
      <c r="I238" s="104"/>
      <c r="J238" s="138"/>
      <c r="K238" s="134"/>
      <c r="L238" s="138"/>
      <c r="M238" s="138"/>
      <c r="N238" s="147"/>
      <c r="O238" s="104"/>
      <c r="P238" s="137"/>
      <c r="Q238" s="147"/>
      <c r="R238" s="64"/>
    </row>
    <row r="239" customFormat="false" ht="15" hidden="false" customHeight="true" outlineLevel="0" collapsed="false">
      <c r="A239" s="127"/>
      <c r="B239" s="128"/>
      <c r="C239" s="129"/>
      <c r="D239" s="130"/>
      <c r="E239" s="128"/>
      <c r="F239" s="97"/>
      <c r="G239" s="133"/>
      <c r="H239" s="134"/>
      <c r="I239" s="104"/>
      <c r="J239" s="138"/>
      <c r="K239" s="134"/>
      <c r="L239" s="138"/>
      <c r="M239" s="138"/>
      <c r="N239" s="147"/>
      <c r="O239" s="104"/>
      <c r="P239" s="137"/>
      <c r="Q239" s="147"/>
      <c r="R239" s="64"/>
    </row>
    <row r="240" customFormat="false" ht="15" hidden="false" customHeight="true" outlineLevel="0" collapsed="false">
      <c r="A240" s="127"/>
      <c r="B240" s="128"/>
      <c r="C240" s="129"/>
      <c r="D240" s="130"/>
      <c r="E240" s="128"/>
      <c r="F240" s="97"/>
      <c r="G240" s="133"/>
      <c r="H240" s="134"/>
      <c r="I240" s="238"/>
      <c r="J240" s="103"/>
      <c r="K240" s="134"/>
      <c r="L240" s="104"/>
      <c r="M240" s="137"/>
      <c r="N240" s="135"/>
      <c r="O240" s="104"/>
      <c r="P240" s="137"/>
      <c r="Q240" s="147"/>
      <c r="R240" s="64"/>
      <c r="S240" s="255"/>
    </row>
    <row r="241" customFormat="false" ht="15" hidden="false" customHeight="true" outlineLevel="0" collapsed="false">
      <c r="A241" s="127"/>
      <c r="B241" s="128"/>
      <c r="C241" s="129"/>
      <c r="D241" s="130"/>
      <c r="E241" s="151"/>
      <c r="F241" s="97"/>
      <c r="G241" s="133"/>
      <c r="H241" s="134"/>
      <c r="I241" s="104"/>
      <c r="J241" s="137"/>
      <c r="K241" s="134"/>
      <c r="L241" s="104"/>
      <c r="M241" s="137"/>
      <c r="N241" s="147"/>
      <c r="O241" s="104"/>
      <c r="P241" s="137"/>
      <c r="Q241" s="147"/>
      <c r="R241" s="64"/>
    </row>
    <row r="242" customFormat="false" ht="15" hidden="false" customHeight="true" outlineLevel="0" collapsed="false">
      <c r="A242" s="127"/>
      <c r="B242" s="128"/>
      <c r="C242" s="138"/>
      <c r="D242" s="130"/>
      <c r="E242" s="151"/>
      <c r="F242" s="97"/>
      <c r="G242" s="133"/>
      <c r="H242" s="134"/>
      <c r="I242" s="104"/>
      <c r="J242" s="138"/>
      <c r="K242" s="134"/>
      <c r="L242" s="138"/>
      <c r="M242" s="138"/>
      <c r="N242" s="147"/>
      <c r="O242" s="104"/>
      <c r="P242" s="137"/>
      <c r="Q242" s="147"/>
      <c r="R242" s="64"/>
    </row>
    <row r="243" customFormat="false" ht="15" hidden="false" customHeight="true" outlineLevel="0" collapsed="false">
      <c r="A243" s="127"/>
      <c r="B243" s="128"/>
      <c r="C243" s="129"/>
      <c r="D243" s="130"/>
      <c r="E243" s="151"/>
      <c r="F243" s="97"/>
      <c r="G243" s="133"/>
      <c r="H243" s="134"/>
      <c r="I243" s="104"/>
      <c r="J243" s="138"/>
      <c r="K243" s="134"/>
      <c r="L243" s="138"/>
      <c r="M243" s="138"/>
      <c r="N243" s="147"/>
      <c r="O243" s="104"/>
      <c r="P243" s="137"/>
      <c r="Q243" s="147"/>
      <c r="R243" s="64"/>
    </row>
    <row r="244" customFormat="false" ht="15" hidden="false" customHeight="true" outlineLevel="0" collapsed="false">
      <c r="A244" s="127"/>
      <c r="B244" s="128"/>
      <c r="C244" s="129"/>
      <c r="D244" s="130"/>
      <c r="E244" s="151"/>
      <c r="F244" s="97"/>
      <c r="G244" s="133"/>
      <c r="H244" s="134"/>
      <c r="I244" s="104"/>
      <c r="J244" s="138"/>
      <c r="K244" s="134"/>
      <c r="L244" s="138"/>
      <c r="M244" s="138"/>
      <c r="N244" s="147"/>
      <c r="O244" s="104"/>
      <c r="P244" s="137"/>
      <c r="Q244" s="147"/>
      <c r="R244" s="64"/>
    </row>
    <row r="245" customFormat="false" ht="15" hidden="false" customHeight="true" outlineLevel="0" collapsed="false">
      <c r="A245" s="127"/>
      <c r="B245" s="128"/>
      <c r="C245" s="146"/>
      <c r="D245" s="130"/>
      <c r="E245" s="151"/>
      <c r="F245" s="97"/>
      <c r="G245" s="133"/>
      <c r="H245" s="134"/>
      <c r="I245" s="104"/>
      <c r="J245" s="137"/>
      <c r="K245" s="136"/>
      <c r="L245" s="138"/>
      <c r="M245" s="137"/>
      <c r="N245" s="135"/>
      <c r="O245" s="104"/>
      <c r="P245" s="137"/>
      <c r="Q245" s="147"/>
      <c r="R245" s="64"/>
    </row>
    <row r="246" customFormat="false" ht="15" hidden="false" customHeight="true" outlineLevel="0" collapsed="false">
      <c r="A246" s="127"/>
      <c r="B246" s="128"/>
      <c r="C246" s="146"/>
      <c r="D246" s="130"/>
      <c r="E246" s="151"/>
      <c r="F246" s="97"/>
      <c r="G246" s="133"/>
      <c r="H246" s="134"/>
      <c r="I246" s="104"/>
      <c r="J246" s="137"/>
      <c r="K246" s="136"/>
      <c r="L246" s="138"/>
      <c r="M246" s="137"/>
      <c r="N246" s="135"/>
      <c r="O246" s="104"/>
      <c r="P246" s="137"/>
      <c r="Q246" s="147"/>
      <c r="R246" s="64"/>
    </row>
    <row r="247" customFormat="false" ht="15" hidden="false" customHeight="true" outlineLevel="0" collapsed="false">
      <c r="A247" s="127"/>
      <c r="B247" s="128"/>
      <c r="C247" s="146"/>
      <c r="D247" s="130"/>
      <c r="E247" s="151"/>
      <c r="F247" s="97"/>
      <c r="G247" s="133"/>
      <c r="H247" s="134"/>
      <c r="I247" s="104"/>
      <c r="J247" s="137"/>
      <c r="K247" s="136"/>
      <c r="L247" s="138"/>
      <c r="M247" s="137"/>
      <c r="N247" s="135"/>
      <c r="O247" s="104"/>
      <c r="P247" s="137"/>
      <c r="Q247" s="147"/>
      <c r="R247" s="64"/>
    </row>
    <row r="248" customFormat="false" ht="15" hidden="false" customHeight="true" outlineLevel="0" collapsed="false">
      <c r="A248" s="127"/>
      <c r="B248" s="128"/>
      <c r="C248" s="146"/>
      <c r="D248" s="130"/>
      <c r="E248" s="151"/>
      <c r="F248" s="97"/>
      <c r="G248" s="133"/>
      <c r="H248" s="134"/>
      <c r="I248" s="104"/>
      <c r="J248" s="137"/>
      <c r="K248" s="136"/>
      <c r="L248" s="138"/>
      <c r="M248" s="137"/>
      <c r="N248" s="135"/>
      <c r="O248" s="104"/>
      <c r="P248" s="137"/>
      <c r="Q248" s="147"/>
      <c r="R248" s="64"/>
    </row>
    <row r="249" customFormat="false" ht="15" hidden="false" customHeight="true" outlineLevel="0" collapsed="false">
      <c r="A249" s="127"/>
      <c r="B249" s="128"/>
      <c r="C249" s="146"/>
      <c r="D249" s="130"/>
      <c r="E249" s="151"/>
      <c r="F249" s="97"/>
      <c r="G249" s="133"/>
      <c r="H249" s="134"/>
      <c r="I249" s="104"/>
      <c r="J249" s="137"/>
      <c r="K249" s="136"/>
      <c r="L249" s="138"/>
      <c r="M249" s="137"/>
      <c r="N249" s="135"/>
      <c r="O249" s="104"/>
      <c r="P249" s="137"/>
      <c r="Q249" s="147"/>
      <c r="R249" s="64"/>
    </row>
    <row r="250" customFormat="false" ht="15" hidden="false" customHeight="true" outlineLevel="0" collapsed="false">
      <c r="A250" s="127"/>
      <c r="B250" s="104"/>
      <c r="C250" s="146"/>
      <c r="D250" s="130"/>
      <c r="E250" s="151"/>
      <c r="F250" s="97"/>
      <c r="G250" s="133"/>
      <c r="H250" s="134"/>
      <c r="I250" s="104"/>
      <c r="J250" s="137"/>
      <c r="K250" s="136"/>
      <c r="L250" s="138"/>
      <c r="M250" s="137"/>
      <c r="N250" s="135"/>
      <c r="O250" s="104"/>
      <c r="P250" s="137"/>
      <c r="Q250" s="147"/>
      <c r="R250" s="64"/>
    </row>
    <row r="251" customFormat="false" ht="15" hidden="false" customHeight="true" outlineLevel="0" collapsed="false">
      <c r="A251" s="127"/>
      <c r="B251" s="104"/>
      <c r="C251" s="146"/>
      <c r="D251" s="130"/>
      <c r="E251" s="104"/>
      <c r="F251" s="97"/>
      <c r="G251" s="133"/>
      <c r="H251" s="134"/>
      <c r="I251" s="104"/>
      <c r="J251" s="137"/>
      <c r="K251" s="136"/>
      <c r="L251" s="138"/>
      <c r="M251" s="137"/>
      <c r="N251" s="135"/>
      <c r="O251" s="104"/>
      <c r="P251" s="137"/>
      <c r="Q251" s="147"/>
    </row>
    <row r="252" customFormat="false" ht="15" hidden="false" customHeight="true" outlineLevel="0" collapsed="false">
      <c r="A252" s="127"/>
      <c r="B252" s="104"/>
      <c r="C252" s="146"/>
      <c r="D252" s="130"/>
      <c r="E252" s="104"/>
      <c r="F252" s="132"/>
      <c r="G252" s="133"/>
      <c r="H252" s="134"/>
      <c r="I252" s="104"/>
      <c r="J252" s="137"/>
      <c r="K252" s="136"/>
      <c r="L252" s="138"/>
      <c r="M252" s="137"/>
      <c r="N252" s="135"/>
      <c r="O252" s="104"/>
      <c r="P252" s="137"/>
      <c r="Q252" s="147"/>
    </row>
    <row r="253" customFormat="false" ht="15" hidden="false" customHeight="true" outlineLevel="0" collapsed="false">
      <c r="A253" s="127"/>
      <c r="B253" s="104"/>
      <c r="C253" s="146"/>
      <c r="D253" s="130"/>
      <c r="E253" s="104"/>
      <c r="F253" s="97"/>
      <c r="G253" s="133"/>
      <c r="H253" s="134"/>
      <c r="I253" s="104"/>
      <c r="J253" s="137"/>
      <c r="K253" s="136"/>
      <c r="L253" s="138"/>
      <c r="M253" s="137"/>
      <c r="N253" s="135"/>
      <c r="O253" s="104"/>
      <c r="P253" s="137"/>
      <c r="Q253" s="147"/>
    </row>
    <row r="254" customFormat="false" ht="15" hidden="false" customHeight="true" outlineLevel="0" collapsed="false">
      <c r="A254" s="127"/>
      <c r="B254" s="104"/>
      <c r="C254" s="146"/>
      <c r="D254" s="130"/>
      <c r="E254" s="104"/>
      <c r="F254" s="97"/>
      <c r="G254" s="133"/>
      <c r="H254" s="134"/>
      <c r="I254" s="104"/>
      <c r="J254" s="137"/>
      <c r="K254" s="136"/>
      <c r="L254" s="138"/>
      <c r="M254" s="137"/>
      <c r="N254" s="135"/>
      <c r="O254" s="104"/>
      <c r="P254" s="137"/>
      <c r="Q254" s="147"/>
    </row>
    <row r="255" customFormat="false" ht="15" hidden="false" customHeight="true" outlineLevel="0" collapsed="false">
      <c r="A255" s="127"/>
      <c r="B255" s="104"/>
      <c r="C255" s="146"/>
      <c r="D255" s="130"/>
      <c r="E255" s="104"/>
      <c r="F255" s="97"/>
      <c r="G255" s="133"/>
      <c r="H255" s="134"/>
      <c r="I255" s="104"/>
      <c r="J255" s="137"/>
      <c r="K255" s="136"/>
      <c r="L255" s="138"/>
      <c r="M255" s="137"/>
      <c r="N255" s="135"/>
      <c r="O255" s="104"/>
      <c r="P255" s="137"/>
      <c r="Q255" s="147"/>
    </row>
    <row r="256" customFormat="false" ht="15" hidden="false" customHeight="true" outlineLevel="0" collapsed="false">
      <c r="A256" s="127"/>
      <c r="B256" s="104"/>
      <c r="C256" s="146"/>
      <c r="D256" s="130"/>
      <c r="E256" s="104"/>
      <c r="F256" s="97"/>
      <c r="G256" s="133"/>
      <c r="H256" s="134"/>
      <c r="I256" s="104"/>
      <c r="J256" s="137"/>
      <c r="K256" s="136"/>
      <c r="L256" s="138"/>
      <c r="M256" s="137"/>
      <c r="N256" s="135"/>
      <c r="O256" s="104"/>
      <c r="P256" s="137"/>
      <c r="Q256" s="147"/>
    </row>
    <row r="257" customFormat="false" ht="15" hidden="false" customHeight="true" outlineLevel="0" collapsed="false">
      <c r="A257" s="127"/>
      <c r="B257" s="104"/>
      <c r="C257" s="146"/>
      <c r="D257" s="130"/>
      <c r="E257" s="104"/>
      <c r="F257" s="97"/>
      <c r="G257" s="133"/>
      <c r="H257" s="134"/>
      <c r="I257" s="104"/>
      <c r="J257" s="137"/>
      <c r="K257" s="136"/>
      <c r="L257" s="138"/>
      <c r="M257" s="137"/>
      <c r="N257" s="135"/>
      <c r="O257" s="104"/>
      <c r="P257" s="137"/>
      <c r="Q257" s="147"/>
    </row>
    <row r="258" customFormat="false" ht="15" hidden="false" customHeight="true" outlineLevel="0" collapsed="false">
      <c r="A258" s="127"/>
      <c r="B258" s="104"/>
      <c r="C258" s="146"/>
      <c r="D258" s="130"/>
      <c r="E258" s="104"/>
      <c r="F258" s="97"/>
      <c r="G258" s="133"/>
      <c r="H258" s="134"/>
      <c r="I258" s="104"/>
      <c r="J258" s="137"/>
      <c r="K258" s="136"/>
      <c r="L258" s="138"/>
      <c r="M258" s="137"/>
      <c r="N258" s="135"/>
      <c r="O258" s="104"/>
      <c r="P258" s="137"/>
      <c r="Q258" s="147"/>
    </row>
    <row r="259" customFormat="false" ht="15" hidden="false" customHeight="true" outlineLevel="0" collapsed="false">
      <c r="A259" s="127"/>
      <c r="B259" s="104"/>
      <c r="C259" s="146"/>
      <c r="D259" s="130"/>
      <c r="E259" s="104"/>
      <c r="F259" s="97"/>
      <c r="G259" s="133"/>
      <c r="H259" s="134"/>
      <c r="I259" s="104"/>
      <c r="J259" s="137"/>
      <c r="K259" s="136"/>
      <c r="L259" s="138"/>
      <c r="M259" s="137"/>
      <c r="N259" s="135"/>
      <c r="O259" s="104"/>
      <c r="P259" s="137"/>
      <c r="Q259" s="147"/>
    </row>
    <row r="260" customFormat="false" ht="15" hidden="false" customHeight="true" outlineLevel="0" collapsed="false">
      <c r="A260" s="256"/>
      <c r="B260" s="257"/>
      <c r="C260" s="258"/>
      <c r="D260" s="259"/>
      <c r="E260" s="257"/>
      <c r="F260" s="260"/>
      <c r="G260" s="261"/>
      <c r="H260" s="262"/>
      <c r="I260" s="257"/>
      <c r="J260" s="263"/>
      <c r="K260" s="264"/>
      <c r="L260" s="265"/>
      <c r="M260" s="263"/>
      <c r="N260" s="266"/>
      <c r="O260" s="257"/>
      <c r="P260" s="263"/>
      <c r="Q260" s="267"/>
    </row>
    <row r="262" customFormat="false" ht="15" hidden="false" customHeight="true" outlineLevel="0" collapsed="false">
      <c r="D262" s="130" t="s">
        <v>52</v>
      </c>
      <c r="E262" s="110" t="n">
        <f aca="false">COUNTIF(D12:D251, "APROBADO")</f>
        <v>2</v>
      </c>
      <c r="F262" s="268" t="s">
        <v>86</v>
      </c>
      <c r="G262" s="268"/>
    </row>
    <row r="263" customFormat="false" ht="15" hidden="false" customHeight="true" outlineLevel="0" collapsed="false">
      <c r="A263" s="50" t="s">
        <v>87</v>
      </c>
      <c r="D263" s="130" t="s">
        <v>53</v>
      </c>
      <c r="E263" s="110" t="n">
        <f aca="false">COUNTIF(D12:D251, "ELABORACIÓN")</f>
        <v>0</v>
      </c>
      <c r="F263" s="268"/>
      <c r="G263" s="268"/>
    </row>
    <row r="264" customFormat="false" ht="15" hidden="false" customHeight="true" outlineLevel="0" collapsed="false">
      <c r="D264" s="130" t="s">
        <v>56</v>
      </c>
      <c r="E264" s="110" t="n">
        <f aca="false">COUNTIF(D12:D251, "PENDIENTE")</f>
        <v>0</v>
      </c>
      <c r="F264" s="268"/>
      <c r="G264" s="268"/>
    </row>
    <row r="265" customFormat="false" ht="15" hidden="false" customHeight="true" outlineLevel="0" collapsed="false">
      <c r="D265" s="130" t="s">
        <v>58</v>
      </c>
      <c r="E265" s="110" t="n">
        <f aca="false">COUNTIF(D12:D251, "COMENTADO")</f>
        <v>0</v>
      </c>
      <c r="F265" s="268"/>
      <c r="G265" s="268"/>
    </row>
    <row r="266" customFormat="false" ht="15" hidden="false" customHeight="true" outlineLevel="0" collapsed="false">
      <c r="D266" s="155" t="s">
        <v>88</v>
      </c>
      <c r="E266" s="269" t="n">
        <f aca="false">+SUM(E262:E265)</f>
        <v>2</v>
      </c>
      <c r="F266" s="270" t="n">
        <f aca="false">E262/E266</f>
        <v>1</v>
      </c>
      <c r="G266" s="270"/>
    </row>
  </sheetData>
  <autoFilter ref="A10:P10"/>
  <mergeCells count="14">
    <mergeCell ref="A4:B8"/>
    <mergeCell ref="C4:E4"/>
    <mergeCell ref="G4:H4"/>
    <mergeCell ref="I4:P8"/>
    <mergeCell ref="G5:H5"/>
    <mergeCell ref="C6:E6"/>
    <mergeCell ref="G6:H6"/>
    <mergeCell ref="G7:H7"/>
    <mergeCell ref="C8:E8"/>
    <mergeCell ref="G8:H8"/>
    <mergeCell ref="A11:C11"/>
    <mergeCell ref="F162:Q162"/>
    <mergeCell ref="F262:G265"/>
    <mergeCell ref="F266:G266"/>
  </mergeCells>
  <conditionalFormatting sqref="D12:D51">
    <cfRule type="containsText" priority="2" operator="containsText" aboveAverage="0" equalAverage="0" bottom="0" percent="0" rank="0" text="COMENTADO" dxfId="3">
      <formula>NOT(ISERROR(SEARCH("COMENTADO",D12)))</formula>
    </cfRule>
    <cfRule type="containsText" priority="3" operator="containsText" aboveAverage="0" equalAverage="0" bottom="0" percent="0" rank="0" text="ELABORACIÓN" dxfId="4">
      <formula>NOT(ISERROR(SEARCH("ELABORACIÓN",D12)))</formula>
    </cfRule>
    <cfRule type="containsText" priority="4" operator="containsText" aboveAverage="0" equalAverage="0" bottom="0" percent="0" rank="0" text="APROBADO" dxfId="5">
      <formula>NOT(ISERROR(SEARCH("APROBADO",D12)))</formula>
    </cfRule>
    <cfRule type="containsText" priority="5" operator="containsText" aboveAverage="0" equalAverage="0" bottom="0" percent="0" rank="0" text="PENDIENTE" dxfId="6">
      <formula>NOT(ISERROR(SEARCH("PENDIENTE",D12)))</formula>
    </cfRule>
  </conditionalFormatting>
  <conditionalFormatting sqref="D53:D77 D79:D88 D90:D98">
    <cfRule type="containsText" priority="6" operator="containsText" aboveAverage="0" equalAverage="0" bottom="0" percent="0" rank="0" text="ELABORACIÓN" dxfId="7">
      <formula>NOT(ISERROR(SEARCH("ELABORACIÓN",D53)))</formula>
    </cfRule>
    <cfRule type="containsText" priority="7" operator="containsText" aboveAverage="0" equalAverage="0" bottom="0" percent="0" rank="0" text="APROBADO" dxfId="8">
      <formula>NOT(ISERROR(SEARCH("APROBADO",D53)))</formula>
    </cfRule>
    <cfRule type="containsText" priority="8" operator="containsText" aboveAverage="0" equalAverage="0" bottom="0" percent="0" rank="0" text="PENDIENTE" dxfId="9">
      <formula>NOT(ISERROR(SEARCH("PENDIENTE",D53)))</formula>
    </cfRule>
  </conditionalFormatting>
  <conditionalFormatting sqref="D53:D77 D79:D88">
    <cfRule type="containsText" priority="9" operator="containsText" aboveAverage="0" equalAverage="0" bottom="0" percent="0" rank="0" text="COMENTADO" dxfId="10">
      <formula>NOT(ISERROR(SEARCH("COMENTADO",D53)))</formula>
    </cfRule>
  </conditionalFormatting>
  <conditionalFormatting sqref="D90:D161">
    <cfRule type="containsText" priority="10" operator="containsText" aboveAverage="0" equalAverage="0" bottom="0" percent="0" rank="0" text="COMENTADO" dxfId="11">
      <formula>NOT(ISERROR(SEARCH("COMENTADO",D90)))</formula>
    </cfRule>
  </conditionalFormatting>
  <conditionalFormatting sqref="D99:D100 D103:D106 D116:D118 D120:D121 D134">
    <cfRule type="containsText" priority="11" operator="containsText" aboveAverage="0" equalAverage="0" bottom="0" percent="0" rank="0" text="APROBADO" dxfId="12">
      <formula>NOT(ISERROR(SEARCH("APROBADO",D99)))</formula>
    </cfRule>
    <cfRule type="containsText" priority="12" operator="containsText" aboveAverage="0" equalAverage="0" bottom="0" percent="0" rank="0" text="PENDIENTE" dxfId="13">
      <formula>NOT(ISERROR(SEARCH("PENDIENTE",D99)))</formula>
    </cfRule>
  </conditionalFormatting>
  <conditionalFormatting sqref="D101:D102">
    <cfRule type="containsText" priority="13" operator="containsText" aboveAverage="0" equalAverage="0" bottom="0" percent="0" rank="0" text="ELABORACIÓN" dxfId="14">
      <formula>NOT(ISERROR(SEARCH("ELABORACIÓN",D101)))</formula>
    </cfRule>
    <cfRule type="containsText" priority="14" operator="containsText" aboveAverage="0" equalAverage="0" bottom="0" percent="0" rank="0" text="APROBADO" dxfId="15">
      <formula>NOT(ISERROR(SEARCH("APROBADO",D101)))</formula>
    </cfRule>
    <cfRule type="containsText" priority="15" operator="containsText" aboveAverage="0" equalAverage="0" bottom="0" percent="0" rank="0" text="PENDIENTE" dxfId="16">
      <formula>NOT(ISERROR(SEARCH("PENDIENTE",D101)))</formula>
    </cfRule>
  </conditionalFormatting>
  <conditionalFormatting sqref="D103:D106 D134 D99:D100 D116:D118 D120:D121">
    <cfRule type="containsText" priority="16" operator="containsText" aboveAverage="0" equalAverage="0" bottom="0" percent="0" rank="0" text="ELABORACIÓN" dxfId="17">
      <formula>NOT(ISERROR(SEARCH("ELABORACIÓN",D99)))</formula>
    </cfRule>
  </conditionalFormatting>
  <conditionalFormatting sqref="D105:D115">
    <cfRule type="containsText" priority="17" operator="containsText" aboveAverage="0" equalAverage="0" bottom="0" percent="0" rank="0" text="ELABORACIÓN" dxfId="18">
      <formula>NOT(ISERROR(SEARCH("ELABORACIÓN",D105)))</formula>
    </cfRule>
    <cfRule type="containsText" priority="18" operator="containsText" aboveAverage="0" equalAverage="0" bottom="0" percent="0" rank="0" text="APROBADO" dxfId="19">
      <formula>NOT(ISERROR(SEARCH("APROBADO",D105)))</formula>
    </cfRule>
    <cfRule type="containsText" priority="19" operator="containsText" aboveAverage="0" equalAverage="0" bottom="0" percent="0" rank="0" text="PENDIENTE" dxfId="20">
      <formula>NOT(ISERROR(SEARCH("PENDIENTE",D105)))</formula>
    </cfRule>
  </conditionalFormatting>
  <conditionalFormatting sqref="D119">
    <cfRule type="containsText" priority="20" operator="containsText" aboveAverage="0" equalAverage="0" bottom="0" percent="0" rank="0" text="ELABORACIÓN" dxfId="21">
      <formula>NOT(ISERROR(SEARCH("ELABORACIÓN",D119)))</formula>
    </cfRule>
    <cfRule type="containsText" priority="21" operator="containsText" aboveAverage="0" equalAverage="0" bottom="0" percent="0" rank="0" text="APROBADO" dxfId="22">
      <formula>NOT(ISERROR(SEARCH("APROBADO",D119)))</formula>
    </cfRule>
    <cfRule type="containsText" priority="22" operator="containsText" aboveAverage="0" equalAverage="0" bottom="0" percent="0" rank="0" text="PENDIENTE" dxfId="23">
      <formula>NOT(ISERROR(SEARCH("PENDIENTE",D119)))</formula>
    </cfRule>
  </conditionalFormatting>
  <conditionalFormatting sqref="D122:D161">
    <cfRule type="containsText" priority="23" operator="containsText" aboveAverage="0" equalAverage="0" bottom="0" percent="0" rank="0" text="ELABORACIÓN" dxfId="24">
      <formula>NOT(ISERROR(SEARCH("ELABORACIÓN",D122)))</formula>
    </cfRule>
    <cfRule type="containsText" priority="24" operator="containsText" aboveAverage="0" equalAverage="0" bottom="0" percent="0" rank="0" text="APROBADO" dxfId="25">
      <formula>NOT(ISERROR(SEARCH("APROBADO",D122)))</formula>
    </cfRule>
    <cfRule type="containsText" priority="25" operator="containsText" aboveAverage="0" equalAverage="0" bottom="0" percent="0" rank="0" text="PENDIENTE" dxfId="26">
      <formula>NOT(ISERROR(SEARCH("PENDIENTE",D122)))</formula>
    </cfRule>
  </conditionalFormatting>
  <conditionalFormatting sqref="D163:D191">
    <cfRule type="containsText" priority="26" operator="containsText" aboveAverage="0" equalAverage="0" bottom="0" percent="0" rank="0" text="COMENTADO" dxfId="27">
      <formula>NOT(ISERROR(SEARCH("COMENTADO",D163)))</formula>
    </cfRule>
    <cfRule type="containsText" priority="27" operator="containsText" aboveAverage="0" equalAverage="0" bottom="0" percent="0" rank="0" text="ELABORACIÓN" dxfId="28">
      <formula>NOT(ISERROR(SEARCH("ELABORACIÓN",D163)))</formula>
    </cfRule>
    <cfRule type="containsText" priority="28" operator="containsText" aboveAverage="0" equalAverage="0" bottom="0" percent="0" rank="0" text="APROBADO" dxfId="29">
      <formula>NOT(ISERROR(SEARCH("APROBADO",D163)))</formula>
    </cfRule>
    <cfRule type="containsText" priority="29" operator="containsText" aboveAverage="0" equalAverage="0" bottom="0" percent="0" rank="0" text="PENDIENTE" dxfId="30">
      <formula>NOT(ISERROR(SEARCH("PENDIENTE",D163)))</formula>
    </cfRule>
  </conditionalFormatting>
  <conditionalFormatting sqref="D193:D219">
    <cfRule type="containsText" priority="30" operator="containsText" aboveAverage="0" equalAverage="0" bottom="0" percent="0" rank="0" text="COMENTADO" dxfId="31">
      <formula>NOT(ISERROR(SEARCH("COMENTADO",D193)))</formula>
    </cfRule>
    <cfRule type="containsText" priority="31" operator="containsText" aboveAverage="0" equalAverage="0" bottom="0" percent="0" rank="0" text="ELABORACIÓN" dxfId="32">
      <formula>NOT(ISERROR(SEARCH("ELABORACIÓN",D193)))</formula>
    </cfRule>
    <cfRule type="containsText" priority="32" operator="containsText" aboveAverage="0" equalAverage="0" bottom="0" percent="0" rank="0" text="APROBADO" dxfId="33">
      <formula>NOT(ISERROR(SEARCH("APROBADO",D193)))</formula>
    </cfRule>
    <cfRule type="containsText" priority="33" operator="containsText" aboveAverage="0" equalAverage="0" bottom="0" percent="0" rank="0" text="PENDIENTE" dxfId="34">
      <formula>NOT(ISERROR(SEARCH("PENDIENTE",D193)))</formula>
    </cfRule>
  </conditionalFormatting>
  <conditionalFormatting sqref="D221:D234">
    <cfRule type="containsText" priority="34" operator="containsText" aboveAverage="0" equalAverage="0" bottom="0" percent="0" rank="0" text="COMENTADO" dxfId="35">
      <formula>NOT(ISERROR(SEARCH("COMENTADO",D221)))</formula>
    </cfRule>
    <cfRule type="containsText" priority="35" operator="containsText" aboveAverage="0" equalAverage="0" bottom="0" percent="0" rank="0" text="ELABORACIÓN" dxfId="36">
      <formula>NOT(ISERROR(SEARCH("ELABORACIÓN",D221)))</formula>
    </cfRule>
    <cfRule type="containsText" priority="36" operator="containsText" aboveAverage="0" equalAverage="0" bottom="0" percent="0" rank="0" text="APROBADO" dxfId="37">
      <formula>NOT(ISERROR(SEARCH("APROBADO",D221)))</formula>
    </cfRule>
    <cfRule type="containsText" priority="37" operator="containsText" aboveAverage="0" equalAverage="0" bottom="0" percent="0" rank="0" text="PENDIENTE" dxfId="38">
      <formula>NOT(ISERROR(SEARCH("PENDIENTE",D221)))</formula>
    </cfRule>
  </conditionalFormatting>
  <conditionalFormatting sqref="D236:D260">
    <cfRule type="containsText" priority="38" operator="containsText" aboveAverage="0" equalAverage="0" bottom="0" percent="0" rank="0" text="COMENTADO" dxfId="39">
      <formula>NOT(ISERROR(SEARCH("COMENTADO",D236)))</formula>
    </cfRule>
    <cfRule type="containsText" priority="39" operator="containsText" aboveAverage="0" equalAverage="0" bottom="0" percent="0" rank="0" text="ELABORACIÓN" dxfId="40">
      <formula>NOT(ISERROR(SEARCH("ELABORACIÓN",D236)))</formula>
    </cfRule>
    <cfRule type="containsText" priority="40" operator="containsText" aboveAverage="0" equalAverage="0" bottom="0" percent="0" rank="0" text="APROBADO" dxfId="41">
      <formula>NOT(ISERROR(SEARCH("APROBADO",D236)))</formula>
    </cfRule>
    <cfRule type="containsText" priority="41" operator="containsText" aboveAverage="0" equalAverage="0" bottom="0" percent="0" rank="0" text="PENDIENTE" dxfId="42">
      <formula>NOT(ISERROR(SEARCH("PENDIENTE",D236)))</formula>
    </cfRule>
  </conditionalFormatting>
  <conditionalFormatting sqref="D262:D265">
    <cfRule type="containsText" priority="42" operator="containsText" aboveAverage="0" equalAverage="0" bottom="0" percent="0" rank="0" text="COMENTADO" dxfId="43">
      <formula>NOT(ISERROR(SEARCH("COMENTADO",D262)))</formula>
    </cfRule>
    <cfRule type="containsText" priority="43" operator="containsText" aboveAverage="0" equalAverage="0" bottom="0" percent="0" rank="0" text="ELABORACIÓN" dxfId="44">
      <formula>NOT(ISERROR(SEARCH("ELABORACIÓN",D262)))</formula>
    </cfRule>
    <cfRule type="containsText" priority="44" operator="containsText" aboveAverage="0" equalAverage="0" bottom="0" percent="0" rank="0" text="APROBADO" dxfId="45">
      <formula>NOT(ISERROR(SEARCH("APROBADO",D262)))</formula>
    </cfRule>
    <cfRule type="containsText" priority="45" operator="containsText" aboveAverage="0" equalAverage="0" bottom="0" percent="0" rank="0" text="PENDIENTE" dxfId="46">
      <formula>NOT(ISERROR(SEARCH("PENDIENTE",D262)))</formula>
    </cfRule>
  </conditionalFormatting>
  <dataValidations count="4">
    <dataValidation allowBlank="true" errorStyle="stop" operator="between" showDropDown="false" showErrorMessage="true" showInputMessage="true" sqref="B39:B51 B87:B88 B90:B122 F90:F98 D99:D100 D103:D106 D116:D118 D120:D121 B123:B129 B163:B173 F163:F172 I163:I177 D174 B175:B183 D182 B184:B191 B193:B219 F193:F219 B221:B234 B236:B260" type="list">
      <formula1>#ref!</formula1>
      <formula2>0</formula2>
    </dataValidation>
    <dataValidation allowBlank="true" errorStyle="stop" operator="between" showDropDown="false" showErrorMessage="true" showInputMessage="true" sqref="D53:D77 D79:D88 D90:D98 D101:D102 D107:D115 D119 D122:D161 D163:D173 D175:D181 D183:D191 D193:D219 D221:D234 D236:D260" type="list">
      <formula1>$Z$5:$Z$10</formula1>
      <formula2>0</formula2>
    </dataValidation>
    <dataValidation allowBlank="true" errorStyle="stop" operator="between" showDropDown="false" showErrorMessage="true" showInputMessage="true" sqref="D12:D51" type="list">
      <formula1>$Z$5:$Z$9</formula1>
      <formula2>0</formula2>
    </dataValidation>
    <dataValidation allowBlank="true" errorStyle="stop" operator="between" showDropDown="false" showErrorMessage="true" showInputMessage="true" sqref="B12:B38" type="list">
      <formula1>$X$5:$X$7</formula1>
      <formula2>0</formula2>
    </dataValidation>
  </dataValidations>
  <printOptions headings="false" gridLines="false" gridLinesSet="true" horizontalCentered="false" verticalCentered="false"/>
  <pageMargins left="0.118055555555556" right="0.315277777777778" top="0.354166666666667" bottom="0.551388888888889"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J473"/>
  <sheetViews>
    <sheetView showFormulas="false" showGridLines="false" showRowColHeaders="true" showZeros="true" rightToLeft="false" tabSelected="false" showOutlineSymbols="true" defaultGridColor="true" view="normal" topLeftCell="A1" colorId="64" zoomScale="55" zoomScaleNormal="55" zoomScalePageLayoutView="70" workbookViewId="0">
      <selection pane="topLeft" activeCell="N5" activeCellId="0" sqref="N5"/>
    </sheetView>
  </sheetViews>
  <sheetFormatPr defaultColWidth="11.4296875" defaultRowHeight="15" zeroHeight="false" outlineLevelRow="0" outlineLevelCol="0"/>
  <cols>
    <col collapsed="false" customWidth="false" hidden="false" outlineLevel="0" max="1" min="1" style="27" width="11.43"/>
    <col collapsed="false" customWidth="true" hidden="false" outlineLevel="0" max="2" min="2" style="27" width="17.14"/>
    <col collapsed="false" customWidth="true" hidden="false" outlineLevel="0" max="3" min="3" style="27" width="42.14"/>
    <col collapsed="false" customWidth="true" hidden="false" outlineLevel="0" max="4" min="4" style="27" width="13"/>
    <col collapsed="false" customWidth="true" hidden="false" outlineLevel="0" max="5" min="5" style="271" width="47"/>
    <col collapsed="false" customWidth="true" hidden="false" outlineLevel="0" max="6" min="6" style="27" width="124.57"/>
    <col collapsed="false" customWidth="true" hidden="false" outlineLevel="0" max="7" min="7" style="27" width="28"/>
    <col collapsed="false" customWidth="true" hidden="false" outlineLevel="0" max="9" min="8" style="272" width="16"/>
    <col collapsed="false" customWidth="true" hidden="false" outlineLevel="0" max="10" min="10" style="49" width="78"/>
    <col collapsed="false" customWidth="false" hidden="false" outlineLevel="0" max="56" min="11" style="27" width="11.43"/>
    <col collapsed="false" customWidth="true" hidden="true" outlineLevel="0" max="92" min="57" style="27" width="10.16"/>
    <col collapsed="false" customWidth="false" hidden="false" outlineLevel="0" max="16384" min="93" style="27" width="11.43"/>
  </cols>
  <sheetData>
    <row r="2" customFormat="false" ht="59.25" hidden="false" customHeight="true" outlineLevel="0" collapsed="false">
      <c r="F2" s="273"/>
    </row>
    <row r="3" customFormat="false" ht="84" hidden="false" customHeight="true" outlineLevel="0" collapsed="false">
      <c r="B3" s="274" t="s">
        <v>89</v>
      </c>
      <c r="C3" s="275" t="s">
        <v>90</v>
      </c>
      <c r="D3" s="275" t="s">
        <v>91</v>
      </c>
      <c r="E3" s="276" t="s">
        <v>92</v>
      </c>
      <c r="F3" s="275" t="s">
        <v>15</v>
      </c>
      <c r="G3" s="275" t="s">
        <v>70</v>
      </c>
      <c r="H3" s="277" t="s">
        <v>93</v>
      </c>
      <c r="I3" s="278" t="s">
        <v>94</v>
      </c>
      <c r="J3" s="279" t="s">
        <v>95</v>
      </c>
    </row>
    <row r="4" customFormat="false" ht="59.25" hidden="false" customHeight="true" outlineLevel="0" collapsed="false">
      <c r="B4" s="280" t="n">
        <v>1</v>
      </c>
      <c r="C4" s="281" t="s">
        <v>96</v>
      </c>
      <c r="D4" s="282" t="s">
        <v>97</v>
      </c>
      <c r="E4" s="282" t="s">
        <v>98</v>
      </c>
      <c r="F4" s="281" t="s">
        <v>99</v>
      </c>
      <c r="G4" s="283" t="n">
        <v>9231</v>
      </c>
      <c r="H4" s="284" t="n">
        <v>45730</v>
      </c>
      <c r="I4" s="282" t="s">
        <v>100</v>
      </c>
      <c r="J4" s="285" t="s">
        <v>101</v>
      </c>
    </row>
    <row r="5" customFormat="false" ht="59.25" hidden="false" customHeight="true" outlineLevel="0" collapsed="false">
      <c r="B5" s="280" t="n">
        <v>2</v>
      </c>
      <c r="C5" s="281" t="s">
        <v>102</v>
      </c>
      <c r="D5" s="282" t="s">
        <v>97</v>
      </c>
      <c r="E5" s="282" t="s">
        <v>98</v>
      </c>
      <c r="F5" s="281" t="s">
        <v>103</v>
      </c>
      <c r="G5" s="283" t="n">
        <v>9231</v>
      </c>
      <c r="H5" s="284" t="n">
        <v>45730</v>
      </c>
      <c r="I5" s="282" t="s">
        <v>100</v>
      </c>
      <c r="J5" s="285" t="s">
        <v>101</v>
      </c>
    </row>
    <row r="6" customFormat="false" ht="59.25" hidden="false" customHeight="true" outlineLevel="0" collapsed="false">
      <c r="B6" s="37"/>
      <c r="C6" s="286"/>
      <c r="D6" s="287"/>
      <c r="E6" s="287"/>
      <c r="F6" s="286"/>
      <c r="G6" s="288"/>
      <c r="H6" s="289"/>
      <c r="I6" s="287"/>
      <c r="J6" s="290"/>
    </row>
    <row r="7" customFormat="false" ht="59.25" hidden="false" customHeight="true" outlineLevel="0" collapsed="false">
      <c r="B7" s="37"/>
      <c r="C7" s="286"/>
      <c r="D7" s="287"/>
      <c r="E7" s="287"/>
      <c r="F7" s="286"/>
      <c r="G7" s="288"/>
      <c r="H7" s="289"/>
      <c r="I7" s="287"/>
      <c r="J7" s="290"/>
    </row>
    <row r="8" customFormat="false" ht="59.25" hidden="false" customHeight="true" outlineLevel="0" collapsed="false">
      <c r="B8" s="37"/>
      <c r="C8" s="286"/>
      <c r="D8" s="287"/>
      <c r="E8" s="287"/>
      <c r="F8" s="286"/>
      <c r="G8" s="288"/>
      <c r="H8" s="289"/>
      <c r="I8" s="287"/>
      <c r="J8" s="290"/>
    </row>
    <row r="9" customFormat="false" ht="59.25" hidden="false" customHeight="true" outlineLevel="0" collapsed="false">
      <c r="B9" s="37"/>
      <c r="C9" s="286"/>
      <c r="D9" s="287"/>
      <c r="E9" s="287"/>
      <c r="F9" s="286"/>
      <c r="G9" s="288"/>
      <c r="H9" s="289"/>
      <c r="I9" s="287"/>
      <c r="J9" s="290"/>
    </row>
    <row r="10" customFormat="false" ht="59.25" hidden="false" customHeight="true" outlineLevel="0" collapsed="false">
      <c r="B10" s="37"/>
      <c r="C10" s="286"/>
      <c r="D10" s="287"/>
      <c r="E10" s="287"/>
      <c r="F10" s="286"/>
      <c r="G10" s="288"/>
      <c r="H10" s="289"/>
      <c r="I10" s="287"/>
      <c r="J10" s="290"/>
    </row>
    <row r="11" customFormat="false" ht="59.25" hidden="false" customHeight="true" outlineLevel="0" collapsed="false">
      <c r="B11" s="37"/>
      <c r="C11" s="286"/>
      <c r="D11" s="287"/>
      <c r="E11" s="287"/>
      <c r="F11" s="286"/>
      <c r="G11" s="288"/>
      <c r="H11" s="289"/>
      <c r="I11" s="287"/>
      <c r="J11" s="290"/>
    </row>
    <row r="12" customFormat="false" ht="59.25" hidden="false" customHeight="true" outlineLevel="0" collapsed="false">
      <c r="B12" s="37"/>
      <c r="C12" s="286"/>
      <c r="D12" s="287"/>
      <c r="E12" s="287"/>
      <c r="F12" s="286"/>
      <c r="G12" s="288"/>
      <c r="H12" s="289"/>
      <c r="I12" s="287"/>
      <c r="J12" s="290"/>
    </row>
    <row r="13" customFormat="false" ht="59.25" hidden="false" customHeight="true" outlineLevel="0" collapsed="false">
      <c r="B13" s="37"/>
      <c r="C13" s="286"/>
      <c r="D13" s="287"/>
      <c r="E13" s="287"/>
      <c r="F13" s="286"/>
      <c r="G13" s="288"/>
      <c r="H13" s="289"/>
      <c r="I13" s="287"/>
      <c r="J13" s="290"/>
    </row>
    <row r="14" customFormat="false" ht="59.25" hidden="false" customHeight="true" outlineLevel="0" collapsed="false">
      <c r="B14" s="37"/>
      <c r="C14" s="286"/>
      <c r="D14" s="287"/>
      <c r="E14" s="287"/>
      <c r="F14" s="286"/>
      <c r="G14" s="288"/>
      <c r="H14" s="289"/>
      <c r="I14" s="287"/>
      <c r="J14" s="290"/>
    </row>
    <row r="15" customFormat="false" ht="59.25" hidden="false" customHeight="true" outlineLevel="0" collapsed="false">
      <c r="B15" s="37"/>
      <c r="C15" s="286"/>
      <c r="D15" s="287"/>
      <c r="E15" s="287"/>
      <c r="F15" s="286"/>
      <c r="G15" s="288"/>
      <c r="H15" s="289"/>
      <c r="I15" s="287"/>
      <c r="J15" s="290"/>
    </row>
    <row r="16" customFormat="false" ht="59.25" hidden="false" customHeight="true" outlineLevel="0" collapsed="false">
      <c r="B16" s="37"/>
      <c r="C16" s="286"/>
      <c r="D16" s="287"/>
      <c r="E16" s="287"/>
      <c r="F16" s="286"/>
      <c r="G16" s="288"/>
      <c r="H16" s="289"/>
      <c r="I16" s="287"/>
      <c r="J16" s="290"/>
    </row>
    <row r="17" customFormat="false" ht="59.25" hidden="false" customHeight="true" outlineLevel="0" collapsed="false">
      <c r="B17" s="37"/>
      <c r="C17" s="286"/>
      <c r="D17" s="287"/>
      <c r="E17" s="287"/>
      <c r="F17" s="286"/>
      <c r="G17" s="288"/>
      <c r="H17" s="289"/>
      <c r="I17" s="287"/>
      <c r="J17" s="290"/>
    </row>
    <row r="18" customFormat="false" ht="59.25" hidden="false" customHeight="true" outlineLevel="0" collapsed="false">
      <c r="B18" s="37"/>
      <c r="C18" s="286"/>
      <c r="D18" s="287"/>
      <c r="E18" s="287"/>
      <c r="F18" s="286"/>
      <c r="G18" s="288"/>
      <c r="H18" s="289"/>
      <c r="I18" s="287"/>
      <c r="J18" s="290"/>
    </row>
    <row r="19" customFormat="false" ht="59.25" hidden="false" customHeight="true" outlineLevel="0" collapsed="false">
      <c r="B19" s="37"/>
      <c r="C19" s="286"/>
      <c r="D19" s="287"/>
      <c r="E19" s="287"/>
      <c r="F19" s="286"/>
      <c r="G19" s="288"/>
      <c r="H19" s="289"/>
      <c r="I19" s="287"/>
      <c r="J19" s="290"/>
    </row>
    <row r="20" customFormat="false" ht="59.25" hidden="false" customHeight="true" outlineLevel="0" collapsed="false">
      <c r="B20" s="37"/>
      <c r="C20" s="286"/>
      <c r="D20" s="287"/>
      <c r="E20" s="287"/>
      <c r="F20" s="286"/>
      <c r="G20" s="288"/>
      <c r="H20" s="289"/>
      <c r="I20" s="287"/>
      <c r="J20" s="290"/>
    </row>
    <row r="21" customFormat="false" ht="59.25" hidden="false" customHeight="true" outlineLevel="0" collapsed="false">
      <c r="B21" s="37"/>
      <c r="C21" s="286"/>
      <c r="D21" s="287"/>
      <c r="E21" s="287"/>
      <c r="F21" s="286"/>
      <c r="G21" s="288"/>
      <c r="H21" s="289"/>
      <c r="I21" s="287"/>
      <c r="J21" s="290"/>
    </row>
    <row r="22" customFormat="false" ht="59.25" hidden="false" customHeight="true" outlineLevel="0" collapsed="false">
      <c r="B22" s="37"/>
      <c r="C22" s="286"/>
      <c r="D22" s="287"/>
      <c r="E22" s="287"/>
      <c r="F22" s="286"/>
      <c r="G22" s="288"/>
      <c r="H22" s="289"/>
      <c r="I22" s="287"/>
      <c r="J22" s="290"/>
    </row>
    <row r="23" customFormat="false" ht="59.25" hidden="false" customHeight="true" outlineLevel="0" collapsed="false">
      <c r="B23" s="37"/>
      <c r="C23" s="286"/>
      <c r="D23" s="287"/>
      <c r="E23" s="287"/>
      <c r="F23" s="286"/>
      <c r="G23" s="288"/>
      <c r="H23" s="289"/>
      <c r="I23" s="287"/>
      <c r="J23" s="290"/>
    </row>
    <row r="24" customFormat="false" ht="59.25" hidden="false" customHeight="true" outlineLevel="0" collapsed="false">
      <c r="B24" s="37"/>
      <c r="C24" s="286"/>
      <c r="D24" s="287"/>
      <c r="E24" s="287"/>
      <c r="F24" s="286"/>
      <c r="G24" s="288"/>
      <c r="H24" s="289"/>
      <c r="I24" s="287"/>
      <c r="J24" s="290"/>
    </row>
    <row r="25" customFormat="false" ht="59.25" hidden="false" customHeight="true" outlineLevel="0" collapsed="false">
      <c r="B25" s="37"/>
      <c r="C25" s="286"/>
      <c r="D25" s="287"/>
      <c r="E25" s="287"/>
      <c r="F25" s="286"/>
      <c r="G25" s="288"/>
      <c r="H25" s="289"/>
      <c r="I25" s="287"/>
      <c r="J25" s="290"/>
    </row>
    <row r="26" customFormat="false" ht="59.25" hidden="false" customHeight="true" outlineLevel="0" collapsed="false">
      <c r="B26" s="37"/>
      <c r="C26" s="286"/>
      <c r="D26" s="287"/>
      <c r="E26" s="287"/>
      <c r="F26" s="286"/>
      <c r="G26" s="288"/>
      <c r="H26" s="289"/>
      <c r="I26" s="287"/>
      <c r="J26" s="290"/>
    </row>
    <row r="27" customFormat="false" ht="59.25" hidden="false" customHeight="true" outlineLevel="0" collapsed="false">
      <c r="B27" s="37"/>
      <c r="C27" s="286"/>
      <c r="D27" s="287"/>
      <c r="E27" s="287"/>
      <c r="F27" s="286"/>
      <c r="G27" s="288"/>
      <c r="H27" s="289"/>
      <c r="I27" s="287"/>
      <c r="J27" s="290"/>
    </row>
    <row r="28" customFormat="false" ht="59.25" hidden="false" customHeight="true" outlineLevel="0" collapsed="false">
      <c r="B28" s="37"/>
      <c r="C28" s="286"/>
      <c r="D28" s="287"/>
      <c r="E28" s="287"/>
      <c r="F28" s="286"/>
      <c r="G28" s="288"/>
      <c r="H28" s="289"/>
      <c r="I28" s="287"/>
      <c r="J28" s="290"/>
    </row>
    <row r="29" customFormat="false" ht="59.25" hidden="false" customHeight="true" outlineLevel="0" collapsed="false">
      <c r="B29" s="37"/>
      <c r="C29" s="286"/>
      <c r="D29" s="287"/>
      <c r="E29" s="287"/>
      <c r="F29" s="286"/>
      <c r="G29" s="288"/>
      <c r="H29" s="289"/>
      <c r="I29" s="287"/>
      <c r="J29" s="290"/>
    </row>
    <row r="30" customFormat="false" ht="59.25" hidden="false" customHeight="true" outlineLevel="0" collapsed="false">
      <c r="B30" s="37"/>
      <c r="C30" s="286"/>
      <c r="D30" s="287"/>
      <c r="E30" s="287"/>
      <c r="F30" s="286"/>
      <c r="G30" s="288"/>
      <c r="H30" s="289"/>
      <c r="I30" s="287"/>
      <c r="J30" s="290"/>
    </row>
    <row r="31" customFormat="false" ht="59.25" hidden="false" customHeight="true" outlineLevel="0" collapsed="false">
      <c r="B31" s="37"/>
      <c r="C31" s="286"/>
      <c r="D31" s="287"/>
      <c r="E31" s="287"/>
      <c r="F31" s="286"/>
      <c r="G31" s="288"/>
      <c r="H31" s="289"/>
      <c r="I31" s="287"/>
      <c r="J31" s="290"/>
    </row>
    <row r="32" customFormat="false" ht="59.25" hidden="false" customHeight="true" outlineLevel="0" collapsed="false">
      <c r="B32" s="37"/>
      <c r="C32" s="286"/>
      <c r="D32" s="287"/>
      <c r="E32" s="287"/>
      <c r="F32" s="286"/>
      <c r="G32" s="288"/>
      <c r="H32" s="289"/>
      <c r="I32" s="287"/>
      <c r="J32" s="290"/>
    </row>
    <row r="33" customFormat="false" ht="59.25" hidden="false" customHeight="true" outlineLevel="0" collapsed="false">
      <c r="B33" s="37"/>
      <c r="C33" s="286"/>
      <c r="D33" s="287"/>
      <c r="E33" s="287"/>
      <c r="F33" s="286"/>
      <c r="G33" s="288"/>
      <c r="H33" s="289"/>
      <c r="I33" s="287"/>
      <c r="J33" s="290"/>
    </row>
    <row r="34" customFormat="false" ht="59.25" hidden="false" customHeight="true" outlineLevel="0" collapsed="false">
      <c r="B34" s="37"/>
      <c r="C34" s="286"/>
      <c r="D34" s="287"/>
      <c r="E34" s="287"/>
      <c r="F34" s="286"/>
      <c r="G34" s="288"/>
      <c r="H34" s="289"/>
      <c r="I34" s="287"/>
      <c r="J34" s="290"/>
    </row>
    <row r="35" customFormat="false" ht="59.25" hidden="false" customHeight="true" outlineLevel="0" collapsed="false">
      <c r="B35" s="37"/>
      <c r="C35" s="286"/>
      <c r="D35" s="287"/>
      <c r="E35" s="287"/>
      <c r="F35" s="286"/>
      <c r="G35" s="288"/>
      <c r="H35" s="289"/>
      <c r="I35" s="287"/>
      <c r="J35" s="290"/>
    </row>
    <row r="36" customFormat="false" ht="59.25" hidden="false" customHeight="true" outlineLevel="0" collapsed="false">
      <c r="B36" s="37"/>
      <c r="C36" s="286"/>
      <c r="D36" s="287"/>
      <c r="E36" s="287"/>
      <c r="F36" s="286"/>
      <c r="G36" s="288"/>
      <c r="H36" s="289"/>
      <c r="I36" s="287"/>
      <c r="J36" s="290"/>
    </row>
    <row r="37" customFormat="false" ht="59.25" hidden="false" customHeight="true" outlineLevel="0" collapsed="false">
      <c r="B37" s="37"/>
      <c r="C37" s="286"/>
      <c r="D37" s="287"/>
      <c r="E37" s="287"/>
      <c r="F37" s="286"/>
      <c r="G37" s="288"/>
      <c r="H37" s="289"/>
      <c r="I37" s="287"/>
      <c r="J37" s="290"/>
    </row>
    <row r="38" customFormat="false" ht="59.25" hidden="false" customHeight="true" outlineLevel="0" collapsed="false">
      <c r="B38" s="37"/>
      <c r="C38" s="286"/>
      <c r="D38" s="287"/>
      <c r="E38" s="287"/>
      <c r="F38" s="286"/>
      <c r="G38" s="288"/>
      <c r="H38" s="289"/>
      <c r="I38" s="287"/>
      <c r="J38" s="290"/>
    </row>
    <row r="39" customFormat="false" ht="59.25" hidden="false" customHeight="true" outlineLevel="0" collapsed="false">
      <c r="B39" s="37"/>
      <c r="C39" s="286"/>
      <c r="D39" s="287"/>
      <c r="E39" s="287"/>
      <c r="F39" s="286"/>
      <c r="G39" s="288"/>
      <c r="H39" s="289"/>
      <c r="I39" s="287"/>
      <c r="J39" s="290"/>
    </row>
    <row r="40" customFormat="false" ht="59.25" hidden="false" customHeight="true" outlineLevel="0" collapsed="false">
      <c r="B40" s="37"/>
      <c r="C40" s="286"/>
      <c r="D40" s="287"/>
      <c r="E40" s="287"/>
      <c r="F40" s="286"/>
      <c r="G40" s="288"/>
      <c r="H40" s="289"/>
      <c r="I40" s="287"/>
      <c r="J40" s="290"/>
    </row>
    <row r="41" customFormat="false" ht="59.25" hidden="false" customHeight="true" outlineLevel="0" collapsed="false">
      <c r="B41" s="37"/>
      <c r="C41" s="286"/>
      <c r="D41" s="287"/>
      <c r="E41" s="287"/>
      <c r="F41" s="286"/>
      <c r="G41" s="288"/>
      <c r="H41" s="289"/>
      <c r="I41" s="287"/>
      <c r="J41" s="290"/>
    </row>
    <row r="42" customFormat="false" ht="59.25" hidden="false" customHeight="true" outlineLevel="0" collapsed="false">
      <c r="B42" s="37"/>
      <c r="C42" s="286"/>
      <c r="D42" s="287"/>
      <c r="E42" s="287"/>
      <c r="F42" s="286"/>
      <c r="G42" s="288"/>
      <c r="H42" s="289"/>
      <c r="I42" s="287"/>
      <c r="J42" s="290"/>
    </row>
    <row r="43" customFormat="false" ht="59.25" hidden="false" customHeight="true" outlineLevel="0" collapsed="false">
      <c r="B43" s="37"/>
      <c r="C43" s="286"/>
      <c r="D43" s="287"/>
      <c r="E43" s="287"/>
      <c r="F43" s="286"/>
      <c r="G43" s="288"/>
      <c r="H43" s="289"/>
      <c r="I43" s="287"/>
      <c r="J43" s="290"/>
    </row>
    <row r="44" customFormat="false" ht="59.25" hidden="false" customHeight="true" outlineLevel="0" collapsed="false">
      <c r="B44" s="37"/>
      <c r="C44" s="286"/>
      <c r="D44" s="287"/>
      <c r="E44" s="287"/>
      <c r="F44" s="286"/>
      <c r="G44" s="288"/>
      <c r="H44" s="289"/>
      <c r="I44" s="287"/>
      <c r="J44" s="290"/>
    </row>
    <row r="45" customFormat="false" ht="59.25" hidden="false" customHeight="true" outlineLevel="0" collapsed="false">
      <c r="B45" s="37"/>
      <c r="C45" s="286"/>
      <c r="D45" s="287"/>
      <c r="E45" s="287"/>
      <c r="F45" s="286"/>
      <c r="G45" s="288"/>
      <c r="H45" s="289"/>
      <c r="I45" s="287"/>
      <c r="J45" s="290"/>
    </row>
    <row r="46" customFormat="false" ht="59.25" hidden="false" customHeight="true" outlineLevel="0" collapsed="false">
      <c r="B46" s="37"/>
      <c r="C46" s="286"/>
      <c r="D46" s="287"/>
      <c r="E46" s="287"/>
      <c r="F46" s="286"/>
      <c r="G46" s="288"/>
      <c r="H46" s="289"/>
      <c r="I46" s="287"/>
      <c r="J46" s="290"/>
    </row>
    <row r="47" customFormat="false" ht="59.25" hidden="false" customHeight="true" outlineLevel="0" collapsed="false">
      <c r="B47" s="37"/>
      <c r="C47" s="286"/>
      <c r="D47" s="287"/>
      <c r="E47" s="287"/>
      <c r="F47" s="286"/>
      <c r="G47" s="288"/>
      <c r="H47" s="289"/>
      <c r="I47" s="287"/>
      <c r="J47" s="290"/>
    </row>
    <row r="48" customFormat="false" ht="59.25" hidden="false" customHeight="true" outlineLevel="0" collapsed="false">
      <c r="B48" s="37"/>
      <c r="C48" s="286"/>
      <c r="D48" s="287"/>
      <c r="E48" s="287"/>
      <c r="F48" s="286"/>
      <c r="G48" s="288"/>
      <c r="H48" s="289"/>
      <c r="I48" s="287"/>
      <c r="J48" s="290"/>
    </row>
    <row r="49" customFormat="false" ht="59.25" hidden="false" customHeight="true" outlineLevel="0" collapsed="false">
      <c r="B49" s="37"/>
      <c r="C49" s="286"/>
      <c r="D49" s="287"/>
      <c r="E49" s="287"/>
      <c r="F49" s="286"/>
      <c r="G49" s="288"/>
      <c r="H49" s="289"/>
      <c r="I49" s="287"/>
      <c r="J49" s="290"/>
    </row>
    <row r="50" customFormat="false" ht="59.25" hidden="false" customHeight="true" outlineLevel="0" collapsed="false">
      <c r="B50" s="37"/>
      <c r="C50" s="286"/>
      <c r="D50" s="287"/>
      <c r="E50" s="287"/>
      <c r="F50" s="286"/>
      <c r="G50" s="288"/>
      <c r="H50" s="289"/>
      <c r="I50" s="287"/>
      <c r="J50" s="290"/>
    </row>
    <row r="51" customFormat="false" ht="59.25" hidden="false" customHeight="true" outlineLevel="0" collapsed="false">
      <c r="B51" s="37"/>
      <c r="C51" s="286"/>
      <c r="D51" s="287"/>
      <c r="E51" s="287"/>
      <c r="F51" s="286"/>
      <c r="G51" s="288"/>
      <c r="H51" s="289"/>
      <c r="I51" s="287"/>
      <c r="J51" s="290"/>
    </row>
    <row r="52" customFormat="false" ht="59.25" hidden="false" customHeight="true" outlineLevel="0" collapsed="false">
      <c r="B52" s="37"/>
      <c r="C52" s="286"/>
      <c r="D52" s="287"/>
      <c r="E52" s="287"/>
      <c r="F52" s="286"/>
      <c r="G52" s="288"/>
      <c r="H52" s="289"/>
      <c r="I52" s="287"/>
      <c r="J52" s="290"/>
    </row>
    <row r="53" customFormat="false" ht="59.25" hidden="false" customHeight="true" outlineLevel="0" collapsed="false">
      <c r="B53" s="37"/>
      <c r="C53" s="286"/>
      <c r="D53" s="287"/>
      <c r="E53" s="287"/>
      <c r="F53" s="286"/>
      <c r="G53" s="288"/>
      <c r="H53" s="289"/>
      <c r="I53" s="287"/>
      <c r="J53" s="290"/>
    </row>
    <row r="54" customFormat="false" ht="59.25" hidden="false" customHeight="true" outlineLevel="0" collapsed="false">
      <c r="B54" s="37"/>
      <c r="C54" s="286"/>
      <c r="D54" s="287"/>
      <c r="E54" s="287"/>
      <c r="F54" s="286"/>
      <c r="G54" s="288"/>
      <c r="H54" s="289"/>
      <c r="I54" s="287"/>
      <c r="J54" s="290"/>
    </row>
    <row r="55" customFormat="false" ht="59.25" hidden="false" customHeight="true" outlineLevel="0" collapsed="false">
      <c r="B55" s="37"/>
      <c r="C55" s="286"/>
      <c r="D55" s="287"/>
      <c r="E55" s="287"/>
      <c r="F55" s="286"/>
      <c r="G55" s="288"/>
      <c r="H55" s="289"/>
      <c r="I55" s="287"/>
      <c r="J55" s="290"/>
    </row>
    <row r="56" customFormat="false" ht="59.25" hidden="false" customHeight="true" outlineLevel="0" collapsed="false">
      <c r="B56" s="37"/>
      <c r="C56" s="286"/>
      <c r="D56" s="287"/>
      <c r="E56" s="287"/>
      <c r="F56" s="286"/>
      <c r="G56" s="288"/>
      <c r="H56" s="289"/>
      <c r="I56" s="287"/>
      <c r="J56" s="290"/>
    </row>
    <row r="57" customFormat="false" ht="59.25" hidden="false" customHeight="true" outlineLevel="0" collapsed="false">
      <c r="B57" s="37"/>
      <c r="C57" s="286"/>
      <c r="D57" s="287"/>
      <c r="E57" s="287"/>
      <c r="F57" s="286"/>
      <c r="G57" s="288"/>
      <c r="H57" s="289"/>
      <c r="I57" s="287"/>
      <c r="J57" s="290"/>
    </row>
    <row r="58" customFormat="false" ht="59.25" hidden="false" customHeight="true" outlineLevel="0" collapsed="false">
      <c r="B58" s="37"/>
      <c r="C58" s="286"/>
      <c r="D58" s="287"/>
      <c r="E58" s="287"/>
      <c r="F58" s="286"/>
      <c r="G58" s="288"/>
      <c r="H58" s="289"/>
      <c r="I58" s="287"/>
      <c r="J58" s="290"/>
    </row>
    <row r="59" customFormat="false" ht="59.25" hidden="false" customHeight="true" outlineLevel="0" collapsed="false">
      <c r="B59" s="37"/>
      <c r="C59" s="286"/>
      <c r="D59" s="287"/>
      <c r="E59" s="287"/>
      <c r="F59" s="286"/>
      <c r="G59" s="288"/>
      <c r="H59" s="289"/>
      <c r="I59" s="287"/>
      <c r="J59" s="290"/>
    </row>
    <row r="60" customFormat="false" ht="59.25" hidden="false" customHeight="true" outlineLevel="0" collapsed="false">
      <c r="B60" s="37"/>
      <c r="C60" s="286"/>
      <c r="D60" s="287"/>
      <c r="E60" s="287"/>
      <c r="F60" s="286"/>
      <c r="G60" s="288"/>
      <c r="H60" s="289"/>
      <c r="I60" s="287"/>
      <c r="J60" s="290"/>
    </row>
    <row r="61" customFormat="false" ht="59.25" hidden="false" customHeight="true" outlineLevel="0" collapsed="false">
      <c r="B61" s="37"/>
      <c r="C61" s="286"/>
      <c r="D61" s="287"/>
      <c r="E61" s="287"/>
      <c r="F61" s="286"/>
      <c r="G61" s="288"/>
      <c r="H61" s="289"/>
      <c r="I61" s="287"/>
      <c r="J61" s="290"/>
    </row>
    <row r="62" customFormat="false" ht="59.25" hidden="false" customHeight="true" outlineLevel="0" collapsed="false">
      <c r="B62" s="37"/>
      <c r="C62" s="286"/>
      <c r="D62" s="287"/>
      <c r="E62" s="287"/>
      <c r="F62" s="286"/>
      <c r="G62" s="288"/>
      <c r="H62" s="289"/>
      <c r="I62" s="287"/>
      <c r="J62" s="290"/>
    </row>
    <row r="63" customFormat="false" ht="59.25" hidden="false" customHeight="true" outlineLevel="0" collapsed="false">
      <c r="B63" s="37"/>
      <c r="C63" s="286"/>
      <c r="D63" s="287"/>
      <c r="E63" s="287"/>
      <c r="F63" s="286"/>
      <c r="G63" s="288"/>
      <c r="H63" s="289"/>
      <c r="I63" s="287"/>
      <c r="J63" s="290"/>
    </row>
    <row r="64" customFormat="false" ht="59.25" hidden="false" customHeight="true" outlineLevel="0" collapsed="false">
      <c r="B64" s="37"/>
      <c r="C64" s="286"/>
      <c r="D64" s="287"/>
      <c r="E64" s="287"/>
      <c r="F64" s="286"/>
      <c r="G64" s="288"/>
      <c r="H64" s="289"/>
      <c r="I64" s="287"/>
      <c r="J64" s="290"/>
    </row>
    <row r="65" customFormat="false" ht="59.25" hidden="false" customHeight="true" outlineLevel="0" collapsed="false">
      <c r="B65" s="37"/>
      <c r="C65" s="286"/>
      <c r="D65" s="287"/>
      <c r="E65" s="287"/>
      <c r="F65" s="286"/>
      <c r="G65" s="288"/>
      <c r="H65" s="289"/>
      <c r="I65" s="287"/>
      <c r="J65" s="290"/>
    </row>
    <row r="66" customFormat="false" ht="59.25" hidden="false" customHeight="true" outlineLevel="0" collapsed="false">
      <c r="B66" s="37"/>
      <c r="C66" s="286"/>
      <c r="D66" s="287"/>
      <c r="E66" s="287"/>
      <c r="F66" s="286"/>
      <c r="G66" s="288"/>
      <c r="H66" s="289"/>
      <c r="I66" s="287"/>
      <c r="J66" s="290"/>
    </row>
    <row r="67" customFormat="false" ht="59.25" hidden="false" customHeight="true" outlineLevel="0" collapsed="false">
      <c r="B67" s="37"/>
      <c r="C67" s="286"/>
      <c r="D67" s="287"/>
      <c r="E67" s="287"/>
      <c r="F67" s="286"/>
      <c r="G67" s="288"/>
      <c r="H67" s="289"/>
      <c r="I67" s="287"/>
      <c r="J67" s="290"/>
    </row>
    <row r="68" customFormat="false" ht="59.25" hidden="false" customHeight="true" outlineLevel="0" collapsed="false">
      <c r="B68" s="37"/>
      <c r="C68" s="286"/>
      <c r="D68" s="287"/>
      <c r="E68" s="287"/>
      <c r="F68" s="286"/>
      <c r="G68" s="288"/>
      <c r="H68" s="289"/>
      <c r="I68" s="287"/>
      <c r="J68" s="290"/>
    </row>
    <row r="69" customFormat="false" ht="59.25" hidden="false" customHeight="true" outlineLevel="0" collapsed="false">
      <c r="B69" s="37"/>
      <c r="C69" s="286"/>
      <c r="D69" s="287"/>
      <c r="E69" s="287"/>
      <c r="F69" s="286"/>
      <c r="G69" s="288"/>
      <c r="H69" s="289"/>
      <c r="I69" s="287"/>
      <c r="J69" s="290"/>
    </row>
    <row r="70" customFormat="false" ht="59.25" hidden="false" customHeight="true" outlineLevel="0" collapsed="false">
      <c r="B70" s="37"/>
      <c r="C70" s="286"/>
      <c r="D70" s="287"/>
      <c r="E70" s="287"/>
      <c r="F70" s="286"/>
      <c r="G70" s="288"/>
      <c r="H70" s="289"/>
      <c r="I70" s="287"/>
      <c r="J70" s="290"/>
    </row>
    <row r="71" customFormat="false" ht="59.25" hidden="false" customHeight="true" outlineLevel="0" collapsed="false">
      <c r="B71" s="37"/>
      <c r="C71" s="286"/>
      <c r="D71" s="287"/>
      <c r="E71" s="287"/>
      <c r="F71" s="286"/>
      <c r="G71" s="288"/>
      <c r="H71" s="289"/>
      <c r="I71" s="287"/>
      <c r="J71" s="290"/>
    </row>
    <row r="72" customFormat="false" ht="59.25" hidden="false" customHeight="true" outlineLevel="0" collapsed="false">
      <c r="B72" s="37"/>
      <c r="C72" s="286"/>
      <c r="D72" s="287"/>
      <c r="E72" s="287"/>
      <c r="F72" s="286"/>
      <c r="G72" s="288"/>
      <c r="H72" s="289"/>
      <c r="I72" s="287"/>
      <c r="J72" s="290"/>
    </row>
    <row r="73" customFormat="false" ht="59.25" hidden="false" customHeight="true" outlineLevel="0" collapsed="false">
      <c r="B73" s="37"/>
      <c r="C73" s="286"/>
      <c r="D73" s="287"/>
      <c r="E73" s="287"/>
      <c r="F73" s="286"/>
      <c r="G73" s="288"/>
      <c r="H73" s="289"/>
      <c r="I73" s="287"/>
      <c r="J73" s="290"/>
    </row>
    <row r="74" customFormat="false" ht="59.25" hidden="false" customHeight="true" outlineLevel="0" collapsed="false">
      <c r="B74" s="37"/>
      <c r="C74" s="286"/>
      <c r="D74" s="287"/>
      <c r="E74" s="287"/>
      <c r="F74" s="286"/>
      <c r="G74" s="288"/>
      <c r="H74" s="289"/>
      <c r="I74" s="287"/>
      <c r="J74" s="290"/>
    </row>
    <row r="75" customFormat="false" ht="59.25" hidden="false" customHeight="true" outlineLevel="0" collapsed="false">
      <c r="B75" s="37"/>
      <c r="C75" s="286"/>
      <c r="D75" s="287"/>
      <c r="E75" s="287"/>
      <c r="F75" s="286"/>
      <c r="G75" s="288"/>
      <c r="H75" s="289"/>
      <c r="I75" s="287"/>
      <c r="J75" s="290"/>
    </row>
    <row r="76" customFormat="false" ht="59.25" hidden="false" customHeight="true" outlineLevel="0" collapsed="false">
      <c r="B76" s="37"/>
      <c r="C76" s="286"/>
      <c r="D76" s="287"/>
      <c r="E76" s="287"/>
      <c r="F76" s="286"/>
      <c r="G76" s="288"/>
      <c r="H76" s="289"/>
      <c r="I76" s="287"/>
      <c r="J76" s="290"/>
    </row>
    <row r="77" customFormat="false" ht="59.25" hidden="false" customHeight="true" outlineLevel="0" collapsed="false">
      <c r="B77" s="37"/>
      <c r="C77" s="286"/>
      <c r="D77" s="287"/>
      <c r="E77" s="287"/>
      <c r="F77" s="286"/>
      <c r="G77" s="288"/>
      <c r="H77" s="289"/>
      <c r="I77" s="287"/>
      <c r="J77" s="290"/>
    </row>
    <row r="78" customFormat="false" ht="59.25" hidden="false" customHeight="true" outlineLevel="0" collapsed="false">
      <c r="B78" s="37"/>
      <c r="C78" s="286"/>
      <c r="D78" s="287"/>
      <c r="E78" s="287"/>
      <c r="F78" s="286"/>
      <c r="G78" s="288"/>
      <c r="H78" s="289"/>
      <c r="I78" s="287"/>
      <c r="J78" s="290"/>
    </row>
    <row r="79" customFormat="false" ht="59.25" hidden="false" customHeight="true" outlineLevel="0" collapsed="false">
      <c r="B79" s="37"/>
      <c r="C79" s="286"/>
      <c r="D79" s="287"/>
      <c r="E79" s="287"/>
      <c r="F79" s="286"/>
      <c r="G79" s="288"/>
      <c r="H79" s="289"/>
      <c r="I79" s="287"/>
      <c r="J79" s="290"/>
    </row>
    <row r="80" customFormat="false" ht="59.25" hidden="false" customHeight="true" outlineLevel="0" collapsed="false">
      <c r="B80" s="37"/>
      <c r="C80" s="286"/>
      <c r="D80" s="287"/>
      <c r="E80" s="287"/>
      <c r="F80" s="286"/>
      <c r="G80" s="288"/>
      <c r="H80" s="289"/>
      <c r="I80" s="287"/>
      <c r="J80" s="290"/>
    </row>
    <row r="81" customFormat="false" ht="59.25" hidden="false" customHeight="true" outlineLevel="0" collapsed="false">
      <c r="B81" s="37"/>
      <c r="C81" s="286"/>
      <c r="D81" s="287"/>
      <c r="E81" s="287"/>
      <c r="F81" s="286"/>
      <c r="G81" s="288"/>
      <c r="H81" s="289"/>
      <c r="I81" s="287"/>
      <c r="J81" s="290"/>
    </row>
    <row r="82" customFormat="false" ht="59.25" hidden="false" customHeight="true" outlineLevel="0" collapsed="false">
      <c r="B82" s="37"/>
      <c r="C82" s="286"/>
      <c r="D82" s="287"/>
      <c r="E82" s="287"/>
      <c r="F82" s="286"/>
      <c r="G82" s="288"/>
      <c r="H82" s="289"/>
      <c r="I82" s="287"/>
      <c r="J82" s="290"/>
    </row>
    <row r="83" customFormat="false" ht="59.25" hidden="false" customHeight="true" outlineLevel="0" collapsed="false">
      <c r="B83" s="37"/>
      <c r="C83" s="286"/>
      <c r="D83" s="287"/>
      <c r="E83" s="287"/>
      <c r="F83" s="286"/>
      <c r="G83" s="288"/>
      <c r="H83" s="289"/>
      <c r="I83" s="287"/>
      <c r="J83" s="290"/>
    </row>
    <row r="84" customFormat="false" ht="59.25" hidden="false" customHeight="true" outlineLevel="0" collapsed="false">
      <c r="B84" s="37"/>
      <c r="C84" s="286"/>
      <c r="D84" s="287"/>
      <c r="E84" s="287"/>
      <c r="F84" s="286"/>
      <c r="G84" s="288"/>
      <c r="H84" s="289"/>
      <c r="I84" s="287"/>
      <c r="J84" s="290"/>
    </row>
    <row r="85" customFormat="false" ht="59.25" hidden="false" customHeight="true" outlineLevel="0" collapsed="false">
      <c r="B85" s="37"/>
      <c r="C85" s="286"/>
      <c r="D85" s="287"/>
      <c r="E85" s="287"/>
      <c r="F85" s="286"/>
      <c r="G85" s="288"/>
      <c r="H85" s="289"/>
      <c r="I85" s="287"/>
      <c r="J85" s="290"/>
    </row>
    <row r="86" customFormat="false" ht="59.25" hidden="false" customHeight="true" outlineLevel="0" collapsed="false">
      <c r="B86" s="37"/>
      <c r="C86" s="286"/>
      <c r="D86" s="287"/>
      <c r="E86" s="287"/>
      <c r="F86" s="286"/>
      <c r="G86" s="288"/>
      <c r="H86" s="289"/>
      <c r="I86" s="287"/>
      <c r="J86" s="290"/>
    </row>
    <row r="87" customFormat="false" ht="59.25" hidden="false" customHeight="true" outlineLevel="0" collapsed="false">
      <c r="B87" s="37"/>
      <c r="C87" s="286"/>
      <c r="D87" s="287"/>
      <c r="E87" s="287"/>
      <c r="F87" s="286"/>
      <c r="G87" s="288"/>
      <c r="H87" s="289"/>
      <c r="I87" s="287"/>
      <c r="J87" s="290"/>
    </row>
    <row r="88" customFormat="false" ht="59.25" hidden="false" customHeight="true" outlineLevel="0" collapsed="false">
      <c r="B88" s="37"/>
      <c r="C88" s="286"/>
      <c r="D88" s="287"/>
      <c r="E88" s="287"/>
      <c r="F88" s="286"/>
      <c r="G88" s="288"/>
      <c r="H88" s="289"/>
      <c r="I88" s="287"/>
      <c r="J88" s="290"/>
    </row>
    <row r="89" customFormat="false" ht="59.25" hidden="false" customHeight="true" outlineLevel="0" collapsed="false">
      <c r="B89" s="37"/>
      <c r="C89" s="286"/>
      <c r="D89" s="287"/>
      <c r="E89" s="287"/>
      <c r="F89" s="286"/>
      <c r="G89" s="288"/>
      <c r="H89" s="289"/>
      <c r="I89" s="287"/>
      <c r="J89" s="290"/>
    </row>
    <row r="90" customFormat="false" ht="59.25" hidden="false" customHeight="true" outlineLevel="0" collapsed="false">
      <c r="B90" s="37"/>
      <c r="C90" s="286"/>
      <c r="D90" s="287"/>
      <c r="E90" s="287"/>
      <c r="F90" s="286"/>
      <c r="G90" s="288"/>
      <c r="H90" s="289"/>
      <c r="I90" s="287"/>
      <c r="J90" s="290"/>
    </row>
    <row r="91" customFormat="false" ht="59.25" hidden="false" customHeight="true" outlineLevel="0" collapsed="false">
      <c r="B91" s="37"/>
      <c r="C91" s="286"/>
      <c r="D91" s="287"/>
      <c r="E91" s="287"/>
      <c r="F91" s="286"/>
      <c r="G91" s="288"/>
      <c r="H91" s="289"/>
      <c r="I91" s="287"/>
      <c r="J91" s="290"/>
    </row>
    <row r="92" customFormat="false" ht="59.25" hidden="false" customHeight="true" outlineLevel="0" collapsed="false">
      <c r="B92" s="37"/>
      <c r="C92" s="286"/>
      <c r="D92" s="287"/>
      <c r="E92" s="287"/>
      <c r="F92" s="286"/>
      <c r="G92" s="288"/>
      <c r="H92" s="289"/>
      <c r="I92" s="287"/>
      <c r="J92" s="290"/>
    </row>
    <row r="93" customFormat="false" ht="59.25" hidden="false" customHeight="true" outlineLevel="0" collapsed="false">
      <c r="B93" s="37"/>
      <c r="C93" s="286"/>
      <c r="D93" s="287"/>
      <c r="E93" s="287"/>
      <c r="F93" s="286"/>
      <c r="G93" s="287"/>
      <c r="H93" s="289"/>
      <c r="I93" s="287"/>
      <c r="J93" s="290"/>
    </row>
    <row r="94" customFormat="false" ht="59.25" hidden="false" customHeight="true" outlineLevel="0" collapsed="false">
      <c r="B94" s="37"/>
      <c r="C94" s="286"/>
      <c r="D94" s="287"/>
      <c r="E94" s="287"/>
      <c r="F94" s="286"/>
      <c r="G94" s="287"/>
      <c r="H94" s="289"/>
      <c r="I94" s="287"/>
      <c r="J94" s="290"/>
    </row>
    <row r="95" customFormat="false" ht="59.25" hidden="false" customHeight="true" outlineLevel="0" collapsed="false">
      <c r="B95" s="37"/>
      <c r="C95" s="286"/>
      <c r="D95" s="287"/>
      <c r="E95" s="287"/>
      <c r="F95" s="286"/>
      <c r="G95" s="287"/>
      <c r="H95" s="289"/>
      <c r="I95" s="287"/>
      <c r="J95" s="290"/>
    </row>
    <row r="96" customFormat="false" ht="59.25" hidden="false" customHeight="true" outlineLevel="0" collapsed="false">
      <c r="B96" s="37"/>
      <c r="C96" s="286"/>
      <c r="D96" s="287"/>
      <c r="E96" s="287"/>
      <c r="F96" s="286"/>
      <c r="G96" s="287"/>
      <c r="H96" s="289"/>
      <c r="I96" s="287"/>
      <c r="J96" s="290"/>
    </row>
    <row r="97" customFormat="false" ht="59.25" hidden="false" customHeight="true" outlineLevel="0" collapsed="false">
      <c r="B97" s="37"/>
      <c r="C97" s="286"/>
      <c r="D97" s="287"/>
      <c r="E97" s="287"/>
      <c r="F97" s="286"/>
      <c r="G97" s="287"/>
      <c r="H97" s="289"/>
      <c r="I97" s="287"/>
      <c r="J97" s="290"/>
    </row>
    <row r="98" customFormat="false" ht="59.25" hidden="false" customHeight="true" outlineLevel="0" collapsed="false">
      <c r="B98" s="37"/>
      <c r="C98" s="286"/>
      <c r="D98" s="287"/>
      <c r="E98" s="287"/>
      <c r="F98" s="286"/>
      <c r="G98" s="287"/>
      <c r="H98" s="289"/>
      <c r="I98" s="287"/>
      <c r="J98" s="290"/>
    </row>
    <row r="99" customFormat="false" ht="59.25" hidden="false" customHeight="true" outlineLevel="0" collapsed="false">
      <c r="B99" s="37"/>
      <c r="C99" s="286"/>
      <c r="D99" s="287"/>
      <c r="E99" s="287"/>
      <c r="F99" s="286"/>
      <c r="G99" s="287"/>
      <c r="H99" s="289"/>
      <c r="I99" s="287"/>
      <c r="J99" s="290"/>
    </row>
    <row r="100" customFormat="false" ht="59.25" hidden="false" customHeight="true" outlineLevel="0" collapsed="false">
      <c r="B100" s="37"/>
      <c r="C100" s="286"/>
      <c r="D100" s="287"/>
      <c r="E100" s="287"/>
      <c r="F100" s="286"/>
      <c r="G100" s="287"/>
      <c r="H100" s="289"/>
      <c r="I100" s="287"/>
      <c r="J100" s="290"/>
    </row>
    <row r="101" customFormat="false" ht="59.25" hidden="false" customHeight="true" outlineLevel="0" collapsed="false">
      <c r="B101" s="37"/>
      <c r="C101" s="286"/>
      <c r="D101" s="287"/>
      <c r="E101" s="287"/>
      <c r="F101" s="286"/>
      <c r="G101" s="287"/>
      <c r="H101" s="289"/>
      <c r="I101" s="287"/>
      <c r="J101" s="290"/>
    </row>
    <row r="102" customFormat="false" ht="59.25" hidden="false" customHeight="true" outlineLevel="0" collapsed="false">
      <c r="B102" s="37"/>
      <c r="C102" s="286"/>
      <c r="D102" s="287"/>
      <c r="E102" s="287"/>
      <c r="F102" s="286"/>
      <c r="G102" s="287"/>
      <c r="H102" s="289"/>
      <c r="I102" s="287"/>
      <c r="J102" s="290"/>
    </row>
    <row r="103" customFormat="false" ht="59.25" hidden="false" customHeight="true" outlineLevel="0" collapsed="false">
      <c r="B103" s="37"/>
      <c r="C103" s="286"/>
      <c r="D103" s="287"/>
      <c r="E103" s="287"/>
      <c r="F103" s="286"/>
      <c r="G103" s="287"/>
      <c r="H103" s="289"/>
      <c r="I103" s="287"/>
      <c r="J103" s="290"/>
    </row>
    <row r="104" customFormat="false" ht="59.25" hidden="false" customHeight="true" outlineLevel="0" collapsed="false">
      <c r="B104" s="37"/>
      <c r="C104" s="286"/>
      <c r="D104" s="287"/>
      <c r="E104" s="287"/>
      <c r="F104" s="286"/>
      <c r="G104" s="287"/>
      <c r="H104" s="289"/>
      <c r="I104" s="287"/>
      <c r="J104" s="290"/>
    </row>
    <row r="105" customFormat="false" ht="59.25" hidden="false" customHeight="true" outlineLevel="0" collapsed="false">
      <c r="B105" s="37"/>
      <c r="C105" s="286"/>
      <c r="D105" s="287"/>
      <c r="E105" s="287"/>
      <c r="F105" s="286"/>
      <c r="G105" s="287"/>
      <c r="H105" s="289"/>
      <c r="I105" s="287"/>
      <c r="J105" s="290"/>
    </row>
    <row r="106" customFormat="false" ht="59.25" hidden="false" customHeight="true" outlineLevel="0" collapsed="false">
      <c r="B106" s="37"/>
      <c r="C106" s="286"/>
      <c r="D106" s="287"/>
      <c r="E106" s="287"/>
      <c r="F106" s="286"/>
      <c r="G106" s="287"/>
      <c r="H106" s="289"/>
      <c r="I106" s="287"/>
      <c r="J106" s="290"/>
    </row>
    <row r="107" customFormat="false" ht="59.25" hidden="false" customHeight="true" outlineLevel="0" collapsed="false">
      <c r="B107" s="37"/>
      <c r="C107" s="286"/>
      <c r="D107" s="287"/>
      <c r="E107" s="287"/>
      <c r="F107" s="286"/>
      <c r="G107" s="287"/>
      <c r="H107" s="289"/>
      <c r="I107" s="287"/>
      <c r="J107" s="290"/>
    </row>
    <row r="108" customFormat="false" ht="59.25" hidden="false" customHeight="true" outlineLevel="0" collapsed="false">
      <c r="B108" s="37"/>
      <c r="C108" s="286"/>
      <c r="D108" s="287"/>
      <c r="E108" s="287"/>
      <c r="F108" s="286"/>
      <c r="G108" s="287"/>
      <c r="H108" s="289"/>
      <c r="I108" s="287"/>
      <c r="J108" s="290"/>
    </row>
    <row r="109" customFormat="false" ht="59.25" hidden="false" customHeight="true" outlineLevel="0" collapsed="false">
      <c r="B109" s="37"/>
      <c r="C109" s="286"/>
      <c r="D109" s="287"/>
      <c r="E109" s="287"/>
      <c r="F109" s="286"/>
      <c r="G109" s="287"/>
      <c r="H109" s="289"/>
      <c r="I109" s="287"/>
      <c r="J109" s="290"/>
    </row>
    <row r="110" customFormat="false" ht="59.25" hidden="false" customHeight="true" outlineLevel="0" collapsed="false">
      <c r="B110" s="37"/>
      <c r="C110" s="286"/>
      <c r="D110" s="287"/>
      <c r="E110" s="287"/>
      <c r="F110" s="286"/>
      <c r="G110" s="287"/>
      <c r="H110" s="289"/>
      <c r="I110" s="287"/>
      <c r="J110" s="290"/>
    </row>
    <row r="111" customFormat="false" ht="59.25" hidden="false" customHeight="true" outlineLevel="0" collapsed="false">
      <c r="B111" s="37"/>
      <c r="C111" s="286"/>
      <c r="D111" s="287"/>
      <c r="E111" s="287"/>
      <c r="F111" s="286"/>
      <c r="G111" s="287"/>
      <c r="H111" s="289"/>
      <c r="I111" s="287"/>
      <c r="J111" s="290"/>
    </row>
    <row r="112" customFormat="false" ht="59.25" hidden="false" customHeight="true" outlineLevel="0" collapsed="false">
      <c r="B112" s="37"/>
      <c r="C112" s="286"/>
      <c r="D112" s="287"/>
      <c r="E112" s="287"/>
      <c r="F112" s="286"/>
      <c r="G112" s="287"/>
      <c r="H112" s="289"/>
      <c r="I112" s="287"/>
      <c r="J112" s="290"/>
    </row>
    <row r="113" customFormat="false" ht="59.25" hidden="false" customHeight="true" outlineLevel="0" collapsed="false">
      <c r="B113" s="37"/>
      <c r="C113" s="286"/>
      <c r="D113" s="287"/>
      <c r="E113" s="287"/>
      <c r="F113" s="286"/>
      <c r="G113" s="287"/>
      <c r="H113" s="289"/>
      <c r="I113" s="287"/>
      <c r="J113" s="290"/>
    </row>
    <row r="114" customFormat="false" ht="59.25" hidden="false" customHeight="true" outlineLevel="0" collapsed="false">
      <c r="B114" s="37"/>
      <c r="C114" s="286"/>
      <c r="D114" s="287"/>
      <c r="E114" s="287"/>
      <c r="F114" s="286"/>
      <c r="G114" s="287"/>
      <c r="H114" s="289"/>
      <c r="I114" s="287"/>
      <c r="J114" s="290"/>
    </row>
    <row r="115" customFormat="false" ht="59.25" hidden="false" customHeight="true" outlineLevel="0" collapsed="false">
      <c r="B115" s="37"/>
      <c r="C115" s="286"/>
      <c r="D115" s="287"/>
      <c r="E115" s="287"/>
      <c r="F115" s="286"/>
      <c r="G115" s="287"/>
      <c r="H115" s="289"/>
      <c r="I115" s="287"/>
      <c r="J115" s="290"/>
    </row>
    <row r="116" customFormat="false" ht="59.25" hidden="false" customHeight="true" outlineLevel="0" collapsed="false">
      <c r="B116" s="37"/>
      <c r="C116" s="286"/>
      <c r="D116" s="287"/>
      <c r="E116" s="287"/>
      <c r="F116" s="286"/>
      <c r="G116" s="287"/>
      <c r="H116" s="289"/>
      <c r="I116" s="287"/>
      <c r="J116" s="290"/>
    </row>
    <row r="117" customFormat="false" ht="59.25" hidden="false" customHeight="true" outlineLevel="0" collapsed="false">
      <c r="B117" s="37"/>
      <c r="C117" s="286"/>
      <c r="D117" s="287"/>
      <c r="E117" s="287"/>
      <c r="F117" s="286"/>
      <c r="G117" s="287"/>
      <c r="H117" s="289"/>
      <c r="I117" s="287"/>
      <c r="J117" s="290"/>
    </row>
    <row r="118" customFormat="false" ht="59.25" hidden="false" customHeight="true" outlineLevel="0" collapsed="false">
      <c r="B118" s="37"/>
      <c r="C118" s="286"/>
      <c r="D118" s="287"/>
      <c r="E118" s="287"/>
      <c r="F118" s="286"/>
      <c r="G118" s="287"/>
      <c r="H118" s="289"/>
      <c r="I118" s="287"/>
      <c r="J118" s="290"/>
    </row>
    <row r="119" customFormat="false" ht="59.25" hidden="false" customHeight="true" outlineLevel="0" collapsed="false">
      <c r="B119" s="37"/>
      <c r="C119" s="286"/>
      <c r="D119" s="287"/>
      <c r="E119" s="287"/>
      <c r="F119" s="286"/>
      <c r="G119" s="287"/>
      <c r="H119" s="289"/>
      <c r="I119" s="287"/>
      <c r="J119" s="290"/>
    </row>
    <row r="120" customFormat="false" ht="59.25" hidden="false" customHeight="true" outlineLevel="0" collapsed="false">
      <c r="B120" s="37"/>
      <c r="C120" s="286"/>
      <c r="D120" s="287"/>
      <c r="E120" s="287"/>
      <c r="F120" s="286"/>
      <c r="G120" s="287"/>
      <c r="H120" s="289"/>
      <c r="I120" s="287"/>
      <c r="J120" s="290"/>
    </row>
    <row r="121" customFormat="false" ht="59.25" hidden="false" customHeight="true" outlineLevel="0" collapsed="false">
      <c r="B121" s="37"/>
      <c r="C121" s="286"/>
      <c r="D121" s="287"/>
      <c r="E121" s="287"/>
      <c r="F121" s="286"/>
      <c r="G121" s="287"/>
      <c r="H121" s="289"/>
      <c r="I121" s="287"/>
      <c r="J121" s="290"/>
    </row>
    <row r="122" customFormat="false" ht="59.25" hidden="false" customHeight="true" outlineLevel="0" collapsed="false">
      <c r="B122" s="37"/>
      <c r="C122" s="286"/>
      <c r="D122" s="287"/>
      <c r="E122" s="287"/>
      <c r="F122" s="286"/>
      <c r="G122" s="287"/>
      <c r="H122" s="289"/>
      <c r="I122" s="287"/>
      <c r="J122" s="290"/>
    </row>
    <row r="123" customFormat="false" ht="59.25" hidden="false" customHeight="true" outlineLevel="0" collapsed="false">
      <c r="B123" s="37"/>
      <c r="C123" s="286"/>
      <c r="D123" s="287"/>
      <c r="E123" s="287"/>
      <c r="F123" s="286"/>
      <c r="G123" s="287"/>
      <c r="H123" s="289"/>
      <c r="I123" s="287"/>
      <c r="J123" s="290"/>
    </row>
    <row r="124" customFormat="false" ht="59.25" hidden="false" customHeight="true" outlineLevel="0" collapsed="false">
      <c r="B124" s="37"/>
      <c r="C124" s="286"/>
      <c r="D124" s="287"/>
      <c r="E124" s="287"/>
      <c r="F124" s="286"/>
      <c r="G124" s="287"/>
      <c r="H124" s="289"/>
      <c r="I124" s="287"/>
      <c r="J124" s="290"/>
    </row>
    <row r="125" customFormat="false" ht="59.25" hidden="false" customHeight="true" outlineLevel="0" collapsed="false">
      <c r="B125" s="37"/>
      <c r="C125" s="286"/>
      <c r="D125" s="287"/>
      <c r="E125" s="287"/>
      <c r="F125" s="286"/>
      <c r="G125" s="287"/>
      <c r="H125" s="289"/>
      <c r="I125" s="287"/>
      <c r="J125" s="290"/>
    </row>
    <row r="126" customFormat="false" ht="59.25" hidden="false" customHeight="true" outlineLevel="0" collapsed="false">
      <c r="B126" s="37"/>
      <c r="C126" s="286"/>
      <c r="D126" s="287"/>
      <c r="E126" s="287"/>
      <c r="F126" s="286"/>
      <c r="G126" s="287"/>
      <c r="H126" s="289"/>
      <c r="I126" s="287"/>
      <c r="J126" s="290"/>
    </row>
    <row r="127" customFormat="false" ht="59.25" hidden="false" customHeight="true" outlineLevel="0" collapsed="false">
      <c r="B127" s="37"/>
      <c r="C127" s="286"/>
      <c r="D127" s="287"/>
      <c r="E127" s="287"/>
      <c r="F127" s="286"/>
      <c r="G127" s="287"/>
      <c r="H127" s="289"/>
      <c r="I127" s="287"/>
      <c r="J127" s="290"/>
    </row>
    <row r="128" customFormat="false" ht="59.25" hidden="false" customHeight="true" outlineLevel="0" collapsed="false">
      <c r="B128" s="37"/>
      <c r="C128" s="286"/>
      <c r="D128" s="287"/>
      <c r="E128" s="287"/>
      <c r="F128" s="286"/>
      <c r="G128" s="287"/>
      <c r="H128" s="289"/>
      <c r="I128" s="287"/>
      <c r="J128" s="290"/>
    </row>
    <row r="129" customFormat="false" ht="59.25" hidden="false" customHeight="true" outlineLevel="0" collapsed="false">
      <c r="B129" s="37"/>
      <c r="C129" s="286"/>
      <c r="D129" s="287"/>
      <c r="E129" s="287"/>
      <c r="F129" s="286"/>
      <c r="G129" s="287"/>
      <c r="H129" s="289"/>
      <c r="I129" s="287"/>
      <c r="J129" s="290"/>
    </row>
    <row r="130" customFormat="false" ht="59.25" hidden="false" customHeight="true" outlineLevel="0" collapsed="false">
      <c r="B130" s="37"/>
      <c r="C130" s="286"/>
      <c r="D130" s="287"/>
      <c r="E130" s="287"/>
      <c r="F130" s="286"/>
      <c r="G130" s="287"/>
      <c r="H130" s="289"/>
      <c r="I130" s="287"/>
      <c r="J130" s="290"/>
    </row>
    <row r="131" customFormat="false" ht="59.25" hidden="false" customHeight="true" outlineLevel="0" collapsed="false">
      <c r="B131" s="37"/>
      <c r="C131" s="286"/>
      <c r="D131" s="287"/>
      <c r="E131" s="287"/>
      <c r="F131" s="286"/>
      <c r="G131" s="287"/>
      <c r="H131" s="289"/>
      <c r="I131" s="287"/>
      <c r="J131" s="290"/>
    </row>
    <row r="132" customFormat="false" ht="59.25" hidden="false" customHeight="true" outlineLevel="0" collapsed="false">
      <c r="B132" s="37"/>
      <c r="C132" s="286"/>
      <c r="D132" s="287"/>
      <c r="E132" s="287"/>
      <c r="F132" s="286"/>
      <c r="G132" s="287"/>
      <c r="H132" s="289"/>
      <c r="I132" s="287"/>
      <c r="J132" s="290"/>
    </row>
    <row r="133" customFormat="false" ht="59.25" hidden="false" customHeight="true" outlineLevel="0" collapsed="false">
      <c r="B133" s="37"/>
      <c r="C133" s="286"/>
      <c r="D133" s="287"/>
      <c r="E133" s="287"/>
      <c r="F133" s="286"/>
      <c r="G133" s="287"/>
      <c r="H133" s="289"/>
      <c r="I133" s="287"/>
      <c r="J133" s="290"/>
    </row>
    <row r="134" customFormat="false" ht="59.25" hidden="false" customHeight="true" outlineLevel="0" collapsed="false">
      <c r="B134" s="37"/>
      <c r="C134" s="286"/>
      <c r="D134" s="287"/>
      <c r="E134" s="287"/>
      <c r="F134" s="286"/>
      <c r="G134" s="287"/>
      <c r="H134" s="289"/>
      <c r="I134" s="287"/>
      <c r="J134" s="290"/>
    </row>
    <row r="135" customFormat="false" ht="59.25" hidden="false" customHeight="true" outlineLevel="0" collapsed="false">
      <c r="B135" s="37"/>
      <c r="C135" s="286"/>
      <c r="D135" s="287"/>
      <c r="E135" s="287"/>
      <c r="F135" s="286"/>
      <c r="G135" s="287"/>
      <c r="H135" s="289"/>
      <c r="I135" s="287"/>
      <c r="J135" s="290"/>
    </row>
    <row r="136" customFormat="false" ht="59.25" hidden="false" customHeight="true" outlineLevel="0" collapsed="false">
      <c r="B136" s="37"/>
      <c r="C136" s="286"/>
      <c r="D136" s="287"/>
      <c r="E136" s="287"/>
      <c r="F136" s="286"/>
      <c r="G136" s="287"/>
      <c r="H136" s="289"/>
      <c r="I136" s="287"/>
      <c r="J136" s="290"/>
    </row>
    <row r="137" customFormat="false" ht="59.25" hidden="false" customHeight="true" outlineLevel="0" collapsed="false">
      <c r="B137" s="37"/>
      <c r="C137" s="286"/>
      <c r="D137" s="287"/>
      <c r="E137" s="287"/>
      <c r="F137" s="286"/>
      <c r="G137" s="287"/>
      <c r="H137" s="289"/>
      <c r="I137" s="287"/>
      <c r="J137" s="290"/>
    </row>
    <row r="138" customFormat="false" ht="59.25" hidden="false" customHeight="true" outlineLevel="0" collapsed="false">
      <c r="B138" s="37"/>
      <c r="C138" s="286"/>
      <c r="D138" s="287"/>
      <c r="E138" s="287"/>
      <c r="F138" s="286"/>
      <c r="G138" s="287"/>
      <c r="H138" s="289"/>
      <c r="I138" s="287"/>
      <c r="J138" s="290"/>
    </row>
    <row r="139" customFormat="false" ht="59.25" hidden="false" customHeight="true" outlineLevel="0" collapsed="false">
      <c r="B139" s="37"/>
      <c r="C139" s="286"/>
      <c r="D139" s="287"/>
      <c r="E139" s="287"/>
      <c r="F139" s="286"/>
      <c r="G139" s="287"/>
      <c r="H139" s="289"/>
      <c r="I139" s="287"/>
      <c r="J139" s="290"/>
    </row>
    <row r="140" customFormat="false" ht="59.25" hidden="false" customHeight="true" outlineLevel="0" collapsed="false">
      <c r="B140" s="37"/>
      <c r="C140" s="286"/>
      <c r="D140" s="287"/>
      <c r="E140" s="287"/>
      <c r="F140" s="286"/>
      <c r="G140" s="287"/>
      <c r="H140" s="289"/>
      <c r="I140" s="287"/>
      <c r="J140" s="290"/>
    </row>
    <row r="141" customFormat="false" ht="59.25" hidden="false" customHeight="true" outlineLevel="0" collapsed="false">
      <c r="B141" s="37"/>
      <c r="C141" s="286"/>
      <c r="D141" s="287"/>
      <c r="E141" s="287"/>
      <c r="F141" s="286"/>
      <c r="G141" s="287"/>
      <c r="H141" s="289"/>
      <c r="I141" s="287"/>
      <c r="J141" s="290"/>
    </row>
    <row r="142" customFormat="false" ht="59.25" hidden="false" customHeight="true" outlineLevel="0" collapsed="false">
      <c r="B142" s="37"/>
      <c r="C142" s="286"/>
      <c r="D142" s="287"/>
      <c r="E142" s="287"/>
      <c r="F142" s="286"/>
      <c r="G142" s="287"/>
      <c r="H142" s="289"/>
      <c r="I142" s="287"/>
      <c r="J142" s="290"/>
    </row>
    <row r="143" customFormat="false" ht="59.25" hidden="false" customHeight="true" outlineLevel="0" collapsed="false">
      <c r="B143" s="37"/>
      <c r="C143" s="286"/>
      <c r="D143" s="287"/>
      <c r="E143" s="287"/>
      <c r="F143" s="286"/>
      <c r="G143" s="287"/>
      <c r="H143" s="289"/>
      <c r="I143" s="287"/>
      <c r="J143" s="290"/>
    </row>
    <row r="144" customFormat="false" ht="59.25" hidden="false" customHeight="true" outlineLevel="0" collapsed="false">
      <c r="B144" s="37"/>
      <c r="C144" s="286"/>
      <c r="D144" s="287"/>
      <c r="E144" s="287"/>
      <c r="F144" s="286"/>
      <c r="G144" s="287"/>
      <c r="H144" s="289"/>
      <c r="I144" s="287"/>
      <c r="J144" s="290"/>
    </row>
    <row r="145" customFormat="false" ht="59.25" hidden="false" customHeight="true" outlineLevel="0" collapsed="false">
      <c r="B145" s="37"/>
      <c r="C145" s="286"/>
      <c r="D145" s="287"/>
      <c r="E145" s="287"/>
      <c r="F145" s="286"/>
      <c r="G145" s="287"/>
      <c r="H145" s="289"/>
      <c r="I145" s="287"/>
      <c r="J145" s="290"/>
    </row>
    <row r="146" customFormat="false" ht="59.25" hidden="false" customHeight="true" outlineLevel="0" collapsed="false">
      <c r="B146" s="37"/>
      <c r="C146" s="286"/>
      <c r="D146" s="287"/>
      <c r="E146" s="287"/>
      <c r="F146" s="286"/>
      <c r="G146" s="287"/>
      <c r="H146" s="289"/>
      <c r="I146" s="287"/>
      <c r="J146" s="290"/>
    </row>
    <row r="147" customFormat="false" ht="59.25" hidden="false" customHeight="true" outlineLevel="0" collapsed="false">
      <c r="B147" s="37"/>
      <c r="C147" s="286"/>
      <c r="D147" s="287"/>
      <c r="E147" s="287"/>
      <c r="F147" s="286"/>
      <c r="G147" s="287"/>
      <c r="H147" s="289"/>
      <c r="I147" s="287"/>
      <c r="J147" s="290"/>
    </row>
    <row r="148" customFormat="false" ht="59.25" hidden="false" customHeight="true" outlineLevel="0" collapsed="false">
      <c r="B148" s="37"/>
      <c r="C148" s="286"/>
      <c r="D148" s="287"/>
      <c r="E148" s="287"/>
      <c r="F148" s="286"/>
      <c r="G148" s="287"/>
      <c r="H148" s="289"/>
      <c r="I148" s="287"/>
      <c r="J148" s="290"/>
    </row>
    <row r="149" customFormat="false" ht="59.25" hidden="false" customHeight="true" outlineLevel="0" collapsed="false">
      <c r="B149" s="37"/>
      <c r="C149" s="286"/>
      <c r="D149" s="287"/>
      <c r="E149" s="287"/>
      <c r="F149" s="286"/>
      <c r="G149" s="287"/>
      <c r="H149" s="289"/>
      <c r="I149" s="287"/>
      <c r="J149" s="290"/>
    </row>
    <row r="150" customFormat="false" ht="59.25" hidden="false" customHeight="true" outlineLevel="0" collapsed="false">
      <c r="B150" s="37"/>
      <c r="C150" s="286"/>
      <c r="D150" s="287"/>
      <c r="E150" s="287"/>
      <c r="F150" s="286"/>
      <c r="G150" s="287"/>
      <c r="H150" s="289"/>
      <c r="I150" s="287"/>
      <c r="J150" s="290"/>
    </row>
    <row r="151" customFormat="false" ht="59.25" hidden="false" customHeight="true" outlineLevel="0" collapsed="false">
      <c r="B151" s="37"/>
      <c r="C151" s="286"/>
      <c r="D151" s="287"/>
      <c r="E151" s="287"/>
      <c r="F151" s="286"/>
      <c r="G151" s="287"/>
      <c r="H151" s="289"/>
      <c r="I151" s="287"/>
      <c r="J151" s="290"/>
    </row>
    <row r="152" customFormat="false" ht="59.25" hidden="false" customHeight="true" outlineLevel="0" collapsed="false">
      <c r="B152" s="37"/>
      <c r="C152" s="286"/>
      <c r="D152" s="287"/>
      <c r="E152" s="287"/>
      <c r="F152" s="286"/>
      <c r="G152" s="287"/>
      <c r="H152" s="289"/>
      <c r="I152" s="287"/>
      <c r="J152" s="290"/>
    </row>
    <row r="153" customFormat="false" ht="59.25" hidden="false" customHeight="true" outlineLevel="0" collapsed="false">
      <c r="B153" s="37"/>
      <c r="C153" s="286"/>
      <c r="D153" s="287"/>
      <c r="E153" s="287"/>
      <c r="F153" s="286"/>
      <c r="G153" s="287"/>
      <c r="H153" s="289"/>
      <c r="I153" s="287"/>
      <c r="J153" s="290"/>
    </row>
    <row r="154" customFormat="false" ht="59.25" hidden="false" customHeight="true" outlineLevel="0" collapsed="false">
      <c r="B154" s="37"/>
      <c r="C154" s="286"/>
      <c r="D154" s="287"/>
      <c r="E154" s="287"/>
      <c r="F154" s="286"/>
      <c r="G154" s="287"/>
      <c r="H154" s="289"/>
      <c r="I154" s="287"/>
      <c r="J154" s="290"/>
    </row>
    <row r="155" customFormat="false" ht="59.25" hidden="false" customHeight="true" outlineLevel="0" collapsed="false">
      <c r="B155" s="37"/>
      <c r="C155" s="286"/>
      <c r="D155" s="287"/>
      <c r="E155" s="287"/>
      <c r="F155" s="286"/>
      <c r="G155" s="287"/>
      <c r="H155" s="289"/>
      <c r="I155" s="287"/>
      <c r="J155" s="290"/>
    </row>
    <row r="156" customFormat="false" ht="59.25" hidden="false" customHeight="true" outlineLevel="0" collapsed="false">
      <c r="B156" s="37"/>
      <c r="C156" s="286"/>
      <c r="D156" s="287"/>
      <c r="E156" s="287"/>
      <c r="F156" s="286"/>
      <c r="G156" s="287"/>
      <c r="H156" s="289"/>
      <c r="I156" s="287"/>
      <c r="J156" s="290"/>
    </row>
    <row r="157" customFormat="false" ht="59.25" hidden="false" customHeight="true" outlineLevel="0" collapsed="false">
      <c r="B157" s="37"/>
      <c r="C157" s="286"/>
      <c r="D157" s="287"/>
      <c r="E157" s="287"/>
      <c r="F157" s="286"/>
      <c r="G157" s="287"/>
      <c r="H157" s="289"/>
      <c r="I157" s="287"/>
      <c r="J157" s="290"/>
    </row>
    <row r="158" customFormat="false" ht="59.25" hidden="false" customHeight="true" outlineLevel="0" collapsed="false">
      <c r="B158" s="37"/>
      <c r="C158" s="286"/>
      <c r="D158" s="287"/>
      <c r="E158" s="287"/>
      <c r="F158" s="286"/>
      <c r="G158" s="287"/>
      <c r="H158" s="289"/>
      <c r="I158" s="287"/>
      <c r="J158" s="290"/>
    </row>
    <row r="159" customFormat="false" ht="59.25" hidden="false" customHeight="true" outlineLevel="0" collapsed="false">
      <c r="B159" s="37"/>
      <c r="C159" s="286"/>
      <c r="D159" s="287"/>
      <c r="E159" s="287"/>
      <c r="F159" s="286"/>
      <c r="G159" s="287"/>
      <c r="H159" s="289"/>
      <c r="I159" s="287"/>
      <c r="J159" s="290"/>
    </row>
    <row r="160" customFormat="false" ht="59.25" hidden="false" customHeight="true" outlineLevel="0" collapsed="false">
      <c r="B160" s="37"/>
      <c r="C160" s="286"/>
      <c r="D160" s="287"/>
      <c r="E160" s="287"/>
      <c r="F160" s="286"/>
      <c r="G160" s="287"/>
      <c r="H160" s="289"/>
      <c r="I160" s="287"/>
      <c r="J160" s="290"/>
    </row>
    <row r="161" customFormat="false" ht="59.25" hidden="false" customHeight="true" outlineLevel="0" collapsed="false">
      <c r="B161" s="37"/>
      <c r="C161" s="286"/>
      <c r="D161" s="287"/>
      <c r="E161" s="287"/>
      <c r="F161" s="286"/>
      <c r="G161" s="287"/>
      <c r="H161" s="289"/>
      <c r="I161" s="287"/>
      <c r="J161" s="290"/>
    </row>
    <row r="162" customFormat="false" ht="59.25" hidden="false" customHeight="true" outlineLevel="0" collapsed="false">
      <c r="B162" s="37"/>
      <c r="C162" s="286"/>
      <c r="D162" s="287"/>
      <c r="E162" s="287"/>
      <c r="F162" s="286"/>
      <c r="G162" s="287"/>
      <c r="H162" s="289"/>
      <c r="I162" s="287"/>
      <c r="J162" s="290"/>
    </row>
    <row r="163" customFormat="false" ht="59.25" hidden="false" customHeight="true" outlineLevel="0" collapsed="false">
      <c r="B163" s="37"/>
      <c r="C163" s="286"/>
      <c r="D163" s="287"/>
      <c r="E163" s="287"/>
      <c r="F163" s="286"/>
      <c r="G163" s="287"/>
      <c r="H163" s="289"/>
      <c r="I163" s="287"/>
      <c r="J163" s="290"/>
    </row>
    <row r="164" customFormat="false" ht="59.25" hidden="false" customHeight="true" outlineLevel="0" collapsed="false">
      <c r="B164" s="37"/>
      <c r="C164" s="286"/>
      <c r="D164" s="287"/>
      <c r="E164" s="287"/>
      <c r="F164" s="286"/>
      <c r="G164" s="287"/>
      <c r="H164" s="289"/>
      <c r="I164" s="287"/>
      <c r="J164" s="290"/>
    </row>
    <row r="165" customFormat="false" ht="59.25" hidden="false" customHeight="true" outlineLevel="0" collapsed="false">
      <c r="B165" s="37"/>
      <c r="C165" s="286"/>
      <c r="D165" s="287"/>
      <c r="E165" s="287"/>
      <c r="F165" s="286"/>
      <c r="G165" s="287"/>
      <c r="H165" s="289"/>
      <c r="I165" s="287"/>
      <c r="J165" s="290"/>
    </row>
    <row r="166" customFormat="false" ht="59.25" hidden="false" customHeight="true" outlineLevel="0" collapsed="false">
      <c r="B166" s="37"/>
      <c r="C166" s="286"/>
      <c r="D166" s="287"/>
      <c r="E166" s="287"/>
      <c r="F166" s="286"/>
      <c r="G166" s="287"/>
      <c r="H166" s="289"/>
      <c r="I166" s="287"/>
      <c r="J166" s="290"/>
    </row>
    <row r="167" customFormat="false" ht="59.25" hidden="false" customHeight="true" outlineLevel="0" collapsed="false">
      <c r="B167" s="37"/>
      <c r="C167" s="286"/>
      <c r="D167" s="287"/>
      <c r="E167" s="287"/>
      <c r="F167" s="286"/>
      <c r="G167" s="287"/>
      <c r="H167" s="289"/>
      <c r="I167" s="287"/>
      <c r="J167" s="290"/>
    </row>
    <row r="168" customFormat="false" ht="59.25" hidden="false" customHeight="true" outlineLevel="0" collapsed="false">
      <c r="B168" s="37"/>
      <c r="C168" s="286"/>
      <c r="D168" s="287"/>
      <c r="E168" s="287"/>
      <c r="F168" s="286"/>
      <c r="G168" s="287"/>
      <c r="H168" s="289"/>
      <c r="I168" s="287"/>
      <c r="J168" s="290"/>
    </row>
    <row r="169" customFormat="false" ht="59.25" hidden="false" customHeight="true" outlineLevel="0" collapsed="false">
      <c r="B169" s="37"/>
      <c r="C169" s="286"/>
      <c r="D169" s="287"/>
      <c r="E169" s="287"/>
      <c r="F169" s="286"/>
      <c r="G169" s="287"/>
      <c r="H169" s="289"/>
      <c r="I169" s="287"/>
      <c r="J169" s="290"/>
    </row>
    <row r="170" customFormat="false" ht="59.25" hidden="false" customHeight="true" outlineLevel="0" collapsed="false">
      <c r="B170" s="37"/>
      <c r="C170" s="286"/>
      <c r="D170" s="287"/>
      <c r="E170" s="287"/>
      <c r="F170" s="286"/>
      <c r="G170" s="287"/>
      <c r="H170" s="289"/>
      <c r="I170" s="287"/>
      <c r="J170" s="290"/>
    </row>
    <row r="171" customFormat="false" ht="59.25" hidden="false" customHeight="true" outlineLevel="0" collapsed="false">
      <c r="B171" s="37"/>
      <c r="C171" s="286"/>
      <c r="D171" s="287"/>
      <c r="E171" s="287"/>
      <c r="F171" s="286"/>
      <c r="G171" s="287"/>
      <c r="H171" s="289"/>
      <c r="I171" s="287"/>
      <c r="J171" s="290"/>
    </row>
    <row r="172" customFormat="false" ht="59.25" hidden="false" customHeight="true" outlineLevel="0" collapsed="false">
      <c r="B172" s="37"/>
      <c r="C172" s="286"/>
      <c r="D172" s="287"/>
      <c r="E172" s="287"/>
      <c r="F172" s="286"/>
      <c r="G172" s="287"/>
      <c r="H172" s="289"/>
      <c r="I172" s="287"/>
      <c r="J172" s="290"/>
    </row>
    <row r="173" customFormat="false" ht="59.25" hidden="false" customHeight="true" outlineLevel="0" collapsed="false">
      <c r="B173" s="37"/>
      <c r="C173" s="286"/>
      <c r="D173" s="287"/>
      <c r="E173" s="287"/>
      <c r="F173" s="286"/>
      <c r="G173" s="287"/>
      <c r="H173" s="289"/>
      <c r="I173" s="287"/>
      <c r="J173" s="290"/>
    </row>
    <row r="174" customFormat="false" ht="59.25" hidden="false" customHeight="true" outlineLevel="0" collapsed="false">
      <c r="B174" s="37"/>
      <c r="C174" s="286"/>
      <c r="D174" s="287"/>
      <c r="E174" s="287"/>
      <c r="F174" s="286"/>
      <c r="G174" s="287"/>
      <c r="H174" s="289"/>
      <c r="I174" s="287"/>
      <c r="J174" s="290"/>
    </row>
    <row r="175" customFormat="false" ht="59.25" hidden="false" customHeight="true" outlineLevel="0" collapsed="false">
      <c r="B175" s="37"/>
      <c r="C175" s="286"/>
      <c r="D175" s="287"/>
      <c r="E175" s="287"/>
      <c r="F175" s="286"/>
      <c r="G175" s="287"/>
      <c r="H175" s="289"/>
      <c r="I175" s="287"/>
      <c r="J175" s="290"/>
    </row>
    <row r="176" customFormat="false" ht="59.25" hidden="false" customHeight="true" outlineLevel="0" collapsed="false">
      <c r="B176" s="37"/>
      <c r="C176" s="286"/>
      <c r="D176" s="287"/>
      <c r="E176" s="287"/>
      <c r="F176" s="286"/>
      <c r="G176" s="287"/>
      <c r="H176" s="289"/>
      <c r="I176" s="287"/>
      <c r="J176" s="290"/>
    </row>
    <row r="177" customFormat="false" ht="59.25" hidden="false" customHeight="true" outlineLevel="0" collapsed="false">
      <c r="B177" s="37"/>
      <c r="C177" s="286"/>
      <c r="D177" s="287"/>
      <c r="E177" s="287"/>
      <c r="F177" s="286"/>
      <c r="G177" s="287"/>
      <c r="H177" s="289"/>
      <c r="I177" s="287"/>
      <c r="J177" s="290"/>
    </row>
    <row r="178" customFormat="false" ht="59.25" hidden="false" customHeight="true" outlineLevel="0" collapsed="false">
      <c r="B178" s="37"/>
      <c r="C178" s="286"/>
      <c r="D178" s="287"/>
      <c r="E178" s="287"/>
      <c r="F178" s="286"/>
      <c r="G178" s="287"/>
      <c r="H178" s="289"/>
      <c r="I178" s="287"/>
      <c r="J178" s="290"/>
    </row>
    <row r="179" customFormat="false" ht="59.25" hidden="false" customHeight="true" outlineLevel="0" collapsed="false">
      <c r="B179" s="37"/>
      <c r="C179" s="286"/>
      <c r="D179" s="287"/>
      <c r="E179" s="287"/>
      <c r="F179" s="286"/>
      <c r="G179" s="287"/>
      <c r="H179" s="289"/>
      <c r="I179" s="287"/>
      <c r="J179" s="290"/>
    </row>
    <row r="180" customFormat="false" ht="59.25" hidden="false" customHeight="true" outlineLevel="0" collapsed="false">
      <c r="B180" s="37"/>
      <c r="C180" s="286"/>
      <c r="D180" s="287"/>
      <c r="E180" s="287"/>
      <c r="F180" s="286"/>
      <c r="G180" s="287"/>
      <c r="H180" s="289"/>
      <c r="I180" s="287"/>
      <c r="J180" s="290"/>
    </row>
    <row r="181" customFormat="false" ht="59.25" hidden="false" customHeight="true" outlineLevel="0" collapsed="false">
      <c r="B181" s="37"/>
      <c r="C181" s="286"/>
      <c r="D181" s="287"/>
      <c r="E181" s="287"/>
      <c r="F181" s="286"/>
      <c r="G181" s="287"/>
      <c r="H181" s="289"/>
      <c r="I181" s="287"/>
      <c r="J181" s="290"/>
    </row>
    <row r="182" customFormat="false" ht="59.25" hidden="false" customHeight="true" outlineLevel="0" collapsed="false">
      <c r="B182" s="37"/>
      <c r="C182" s="286"/>
      <c r="D182" s="287"/>
      <c r="E182" s="287"/>
      <c r="F182" s="286"/>
      <c r="G182" s="287"/>
      <c r="H182" s="289"/>
      <c r="I182" s="287"/>
      <c r="J182" s="290"/>
    </row>
    <row r="183" customFormat="false" ht="59.25" hidden="false" customHeight="true" outlineLevel="0" collapsed="false">
      <c r="B183" s="37"/>
      <c r="C183" s="286"/>
      <c r="D183" s="287"/>
      <c r="E183" s="287"/>
      <c r="F183" s="286"/>
      <c r="G183" s="287"/>
      <c r="H183" s="289"/>
      <c r="I183" s="287"/>
      <c r="J183" s="290"/>
    </row>
    <row r="184" customFormat="false" ht="59.25" hidden="false" customHeight="true" outlineLevel="0" collapsed="false">
      <c r="B184" s="37"/>
      <c r="C184" s="286"/>
      <c r="D184" s="287"/>
      <c r="E184" s="287"/>
      <c r="F184" s="286"/>
      <c r="G184" s="287"/>
      <c r="H184" s="289"/>
      <c r="I184" s="287"/>
      <c r="J184" s="290"/>
    </row>
    <row r="185" customFormat="false" ht="59.25" hidden="false" customHeight="true" outlineLevel="0" collapsed="false">
      <c r="B185" s="37"/>
      <c r="C185" s="286"/>
      <c r="D185" s="287"/>
      <c r="E185" s="287"/>
      <c r="F185" s="286"/>
      <c r="G185" s="287"/>
      <c r="H185" s="289"/>
      <c r="I185" s="287"/>
      <c r="J185" s="290"/>
    </row>
    <row r="186" customFormat="false" ht="59.25" hidden="false" customHeight="true" outlineLevel="0" collapsed="false">
      <c r="B186" s="37"/>
      <c r="C186" s="286"/>
      <c r="D186" s="287"/>
      <c r="E186" s="287"/>
      <c r="F186" s="286"/>
      <c r="G186" s="287"/>
      <c r="H186" s="289"/>
      <c r="I186" s="287"/>
      <c r="J186" s="290"/>
    </row>
    <row r="187" customFormat="false" ht="59.25" hidden="false" customHeight="true" outlineLevel="0" collapsed="false">
      <c r="B187" s="37"/>
      <c r="C187" s="286"/>
      <c r="D187" s="287"/>
      <c r="E187" s="287"/>
      <c r="F187" s="286"/>
      <c r="G187" s="287"/>
      <c r="H187" s="289"/>
      <c r="I187" s="287"/>
      <c r="J187" s="290"/>
    </row>
    <row r="188" customFormat="false" ht="59.25" hidden="false" customHeight="true" outlineLevel="0" collapsed="false">
      <c r="B188" s="37"/>
      <c r="C188" s="286"/>
      <c r="D188" s="287"/>
      <c r="E188" s="287"/>
      <c r="F188" s="286"/>
      <c r="G188" s="287"/>
      <c r="H188" s="289"/>
      <c r="I188" s="287"/>
      <c r="J188" s="290"/>
    </row>
    <row r="189" customFormat="false" ht="59.25" hidden="false" customHeight="true" outlineLevel="0" collapsed="false">
      <c r="B189" s="37"/>
      <c r="C189" s="286"/>
      <c r="D189" s="287"/>
      <c r="E189" s="287"/>
      <c r="F189" s="286"/>
      <c r="G189" s="287"/>
      <c r="H189" s="289"/>
      <c r="I189" s="287"/>
      <c r="J189" s="290"/>
    </row>
    <row r="190" customFormat="false" ht="59.25" hidden="false" customHeight="true" outlineLevel="0" collapsed="false">
      <c r="B190" s="37"/>
      <c r="C190" s="286"/>
      <c r="D190" s="287"/>
      <c r="E190" s="287"/>
      <c r="F190" s="286"/>
      <c r="G190" s="287"/>
      <c r="H190" s="289"/>
      <c r="I190" s="287"/>
      <c r="J190" s="290"/>
    </row>
    <row r="191" customFormat="false" ht="59.25" hidden="false" customHeight="true" outlineLevel="0" collapsed="false">
      <c r="B191" s="37"/>
      <c r="C191" s="286"/>
      <c r="D191" s="287"/>
      <c r="E191" s="287"/>
      <c r="F191" s="286"/>
      <c r="G191" s="287"/>
      <c r="H191" s="289"/>
      <c r="I191" s="287"/>
      <c r="J191" s="290"/>
    </row>
    <row r="192" customFormat="false" ht="59.25" hidden="false" customHeight="true" outlineLevel="0" collapsed="false">
      <c r="B192" s="37"/>
      <c r="C192" s="286"/>
      <c r="D192" s="287"/>
      <c r="E192" s="287"/>
      <c r="F192" s="286"/>
      <c r="G192" s="287"/>
      <c r="H192" s="289"/>
      <c r="I192" s="287"/>
      <c r="J192" s="290"/>
    </row>
    <row r="193" customFormat="false" ht="59.25" hidden="false" customHeight="true" outlineLevel="0" collapsed="false">
      <c r="B193" s="37"/>
      <c r="C193" s="286"/>
      <c r="D193" s="287"/>
      <c r="E193" s="287"/>
      <c r="F193" s="286"/>
      <c r="G193" s="287"/>
      <c r="H193" s="289"/>
      <c r="I193" s="287"/>
      <c r="J193" s="290"/>
    </row>
    <row r="194" customFormat="false" ht="59.25" hidden="false" customHeight="true" outlineLevel="0" collapsed="false">
      <c r="B194" s="37"/>
      <c r="C194" s="286"/>
      <c r="D194" s="287"/>
      <c r="E194" s="287"/>
      <c r="F194" s="286"/>
      <c r="G194" s="287"/>
      <c r="H194" s="289"/>
      <c r="I194" s="287"/>
      <c r="J194" s="290"/>
    </row>
    <row r="195" customFormat="false" ht="59.25" hidden="false" customHeight="true" outlineLevel="0" collapsed="false">
      <c r="B195" s="37"/>
      <c r="C195" s="286"/>
      <c r="D195" s="287"/>
      <c r="E195" s="287"/>
      <c r="F195" s="286"/>
      <c r="G195" s="287"/>
      <c r="H195" s="289"/>
      <c r="I195" s="287"/>
      <c r="J195" s="290"/>
    </row>
    <row r="196" customFormat="false" ht="59.25" hidden="false" customHeight="true" outlineLevel="0" collapsed="false">
      <c r="B196" s="37"/>
      <c r="C196" s="286"/>
      <c r="D196" s="287"/>
      <c r="E196" s="287"/>
      <c r="F196" s="286"/>
      <c r="G196" s="287"/>
      <c r="H196" s="289"/>
      <c r="I196" s="287"/>
      <c r="J196" s="290"/>
    </row>
    <row r="197" customFormat="false" ht="59.25" hidden="false" customHeight="true" outlineLevel="0" collapsed="false">
      <c r="B197" s="37"/>
      <c r="C197" s="286"/>
      <c r="D197" s="287"/>
      <c r="E197" s="287"/>
      <c r="F197" s="286"/>
      <c r="G197" s="287"/>
      <c r="H197" s="289"/>
      <c r="I197" s="287"/>
      <c r="J197" s="290"/>
    </row>
    <row r="198" customFormat="false" ht="59.25" hidden="false" customHeight="true" outlineLevel="0" collapsed="false">
      <c r="B198" s="37"/>
      <c r="C198" s="286"/>
      <c r="D198" s="287"/>
      <c r="E198" s="287"/>
      <c r="F198" s="286"/>
      <c r="G198" s="287"/>
      <c r="H198" s="289"/>
      <c r="I198" s="287"/>
      <c r="J198" s="290"/>
    </row>
    <row r="199" customFormat="false" ht="59.25" hidden="false" customHeight="true" outlineLevel="0" collapsed="false">
      <c r="B199" s="37"/>
      <c r="C199" s="286"/>
      <c r="D199" s="287"/>
      <c r="E199" s="287"/>
      <c r="F199" s="286"/>
      <c r="G199" s="287"/>
      <c r="H199" s="289"/>
      <c r="I199" s="287"/>
      <c r="J199" s="290"/>
    </row>
    <row r="200" customFormat="false" ht="59.25" hidden="false" customHeight="true" outlineLevel="0" collapsed="false">
      <c r="B200" s="37"/>
      <c r="C200" s="286"/>
      <c r="D200" s="287"/>
      <c r="E200" s="287"/>
      <c r="F200" s="286"/>
      <c r="G200" s="287"/>
      <c r="H200" s="289"/>
      <c r="I200" s="287"/>
      <c r="J200" s="290"/>
    </row>
    <row r="201" customFormat="false" ht="59.25" hidden="false" customHeight="true" outlineLevel="0" collapsed="false">
      <c r="B201" s="37"/>
      <c r="C201" s="286"/>
      <c r="D201" s="287"/>
      <c r="E201" s="287"/>
      <c r="F201" s="286"/>
      <c r="G201" s="287"/>
      <c r="H201" s="289"/>
      <c r="I201" s="287"/>
      <c r="J201" s="290"/>
    </row>
    <row r="202" customFormat="false" ht="59.25" hidden="false" customHeight="true" outlineLevel="0" collapsed="false">
      <c r="B202" s="37"/>
      <c r="C202" s="286"/>
      <c r="D202" s="287"/>
      <c r="E202" s="287"/>
      <c r="F202" s="286"/>
      <c r="G202" s="287"/>
      <c r="H202" s="289"/>
      <c r="I202" s="287"/>
      <c r="J202" s="290"/>
    </row>
    <row r="203" customFormat="false" ht="59.25" hidden="false" customHeight="true" outlineLevel="0" collapsed="false">
      <c r="B203" s="37"/>
      <c r="C203" s="286"/>
      <c r="D203" s="287"/>
      <c r="E203" s="287"/>
      <c r="F203" s="286"/>
      <c r="G203" s="287"/>
      <c r="H203" s="289"/>
      <c r="I203" s="287"/>
      <c r="J203" s="290"/>
    </row>
    <row r="204" customFormat="false" ht="59.25" hidden="false" customHeight="true" outlineLevel="0" collapsed="false">
      <c r="B204" s="37"/>
      <c r="C204" s="286"/>
      <c r="D204" s="287"/>
      <c r="E204" s="287"/>
      <c r="F204" s="286"/>
      <c r="G204" s="287"/>
      <c r="H204" s="289"/>
      <c r="I204" s="287"/>
      <c r="J204" s="290"/>
    </row>
    <row r="205" customFormat="false" ht="59.25" hidden="false" customHeight="true" outlineLevel="0" collapsed="false">
      <c r="B205" s="37"/>
      <c r="C205" s="286"/>
      <c r="D205" s="287"/>
      <c r="E205" s="287"/>
      <c r="F205" s="286"/>
      <c r="G205" s="287"/>
      <c r="H205" s="289"/>
      <c r="I205" s="287"/>
      <c r="J205" s="290"/>
    </row>
    <row r="206" customFormat="false" ht="59.25" hidden="false" customHeight="true" outlineLevel="0" collapsed="false">
      <c r="B206" s="37"/>
      <c r="C206" s="286"/>
      <c r="D206" s="287"/>
      <c r="E206" s="287"/>
      <c r="F206" s="286"/>
      <c r="G206" s="287"/>
      <c r="H206" s="289"/>
      <c r="I206" s="287"/>
      <c r="J206" s="290"/>
    </row>
    <row r="207" customFormat="false" ht="59.25" hidden="false" customHeight="true" outlineLevel="0" collapsed="false">
      <c r="B207" s="37"/>
      <c r="C207" s="286"/>
      <c r="D207" s="287"/>
      <c r="E207" s="287"/>
      <c r="F207" s="286"/>
      <c r="G207" s="287"/>
      <c r="H207" s="289"/>
      <c r="I207" s="287"/>
      <c r="J207" s="290"/>
    </row>
    <row r="208" customFormat="false" ht="59.25" hidden="false" customHeight="true" outlineLevel="0" collapsed="false">
      <c r="B208" s="37"/>
      <c r="C208" s="286"/>
      <c r="D208" s="287"/>
      <c r="E208" s="287"/>
      <c r="F208" s="286"/>
      <c r="G208" s="287"/>
      <c r="H208" s="289"/>
      <c r="I208" s="287"/>
      <c r="J208" s="290"/>
    </row>
    <row r="209" customFormat="false" ht="59.25" hidden="false" customHeight="true" outlineLevel="0" collapsed="false">
      <c r="B209" s="37"/>
      <c r="C209" s="286"/>
      <c r="D209" s="287"/>
      <c r="E209" s="287"/>
      <c r="F209" s="286"/>
      <c r="G209" s="287"/>
      <c r="H209" s="289"/>
      <c r="I209" s="287"/>
      <c r="J209" s="290"/>
    </row>
    <row r="210" customFormat="false" ht="59.25" hidden="false" customHeight="true" outlineLevel="0" collapsed="false">
      <c r="B210" s="37"/>
      <c r="C210" s="286"/>
      <c r="D210" s="287"/>
      <c r="E210" s="287"/>
      <c r="F210" s="286"/>
      <c r="G210" s="287"/>
      <c r="H210" s="289"/>
      <c r="I210" s="287"/>
      <c r="J210" s="290"/>
    </row>
    <row r="211" customFormat="false" ht="59.25" hidden="false" customHeight="true" outlineLevel="0" collapsed="false">
      <c r="B211" s="37"/>
      <c r="C211" s="286"/>
      <c r="D211" s="287"/>
      <c r="E211" s="287"/>
      <c r="F211" s="286"/>
      <c r="G211" s="287"/>
      <c r="H211" s="289"/>
      <c r="I211" s="287"/>
      <c r="J211" s="290"/>
    </row>
    <row r="212" customFormat="false" ht="59.25" hidden="false" customHeight="true" outlineLevel="0" collapsed="false">
      <c r="B212" s="37"/>
      <c r="C212" s="286"/>
      <c r="D212" s="287"/>
      <c r="E212" s="287"/>
      <c r="F212" s="286"/>
      <c r="G212" s="287"/>
      <c r="H212" s="289"/>
      <c r="I212" s="287"/>
      <c r="J212" s="290"/>
    </row>
    <row r="213" customFormat="false" ht="59.25" hidden="false" customHeight="true" outlineLevel="0" collapsed="false">
      <c r="B213" s="37"/>
      <c r="C213" s="286"/>
      <c r="D213" s="287"/>
      <c r="E213" s="287"/>
      <c r="F213" s="286"/>
      <c r="G213" s="287"/>
      <c r="H213" s="289"/>
      <c r="I213" s="287"/>
      <c r="J213" s="290"/>
    </row>
    <row r="214" customFormat="false" ht="59.25" hidden="false" customHeight="true" outlineLevel="0" collapsed="false">
      <c r="B214" s="37"/>
      <c r="C214" s="286"/>
      <c r="D214" s="287"/>
      <c r="E214" s="287"/>
      <c r="F214" s="286"/>
      <c r="G214" s="287"/>
      <c r="H214" s="289"/>
      <c r="I214" s="287"/>
      <c r="J214" s="290"/>
    </row>
    <row r="215" customFormat="false" ht="59.25" hidden="false" customHeight="true" outlineLevel="0" collapsed="false">
      <c r="B215" s="37"/>
      <c r="C215" s="286"/>
      <c r="D215" s="287"/>
      <c r="E215" s="287"/>
      <c r="F215" s="286"/>
      <c r="G215" s="287"/>
      <c r="H215" s="289"/>
      <c r="I215" s="287"/>
      <c r="J215" s="290"/>
    </row>
    <row r="216" customFormat="false" ht="59.25" hidden="false" customHeight="true" outlineLevel="0" collapsed="false">
      <c r="B216" s="37"/>
      <c r="C216" s="286"/>
      <c r="D216" s="287"/>
      <c r="E216" s="287"/>
      <c r="F216" s="286"/>
      <c r="G216" s="287"/>
      <c r="H216" s="289"/>
      <c r="I216" s="287"/>
      <c r="J216" s="290"/>
    </row>
    <row r="217" customFormat="false" ht="59.25" hidden="false" customHeight="true" outlineLevel="0" collapsed="false">
      <c r="B217" s="37"/>
      <c r="C217" s="286"/>
      <c r="D217" s="287"/>
      <c r="E217" s="287"/>
      <c r="F217" s="286"/>
      <c r="G217" s="287"/>
      <c r="H217" s="289"/>
      <c r="I217" s="287"/>
      <c r="J217" s="290"/>
    </row>
    <row r="218" customFormat="false" ht="59.25" hidden="false" customHeight="true" outlineLevel="0" collapsed="false">
      <c r="B218" s="37"/>
      <c r="C218" s="286"/>
      <c r="D218" s="287"/>
      <c r="E218" s="287"/>
      <c r="F218" s="286"/>
      <c r="G218" s="287"/>
      <c r="H218" s="289"/>
      <c r="I218" s="287"/>
      <c r="J218" s="290"/>
    </row>
    <row r="219" customFormat="false" ht="59.25" hidden="false" customHeight="true" outlineLevel="0" collapsed="false">
      <c r="B219" s="37"/>
      <c r="C219" s="286"/>
      <c r="D219" s="287"/>
      <c r="E219" s="287"/>
      <c r="F219" s="286"/>
      <c r="G219" s="287"/>
      <c r="H219" s="289"/>
      <c r="I219" s="287"/>
      <c r="J219" s="290"/>
    </row>
    <row r="220" customFormat="false" ht="59.25" hidden="false" customHeight="true" outlineLevel="0" collapsed="false">
      <c r="B220" s="37"/>
      <c r="C220" s="286"/>
      <c r="D220" s="287"/>
      <c r="E220" s="287"/>
      <c r="F220" s="286"/>
      <c r="G220" s="287"/>
      <c r="H220" s="289"/>
      <c r="I220" s="287"/>
      <c r="J220" s="290"/>
    </row>
    <row r="221" customFormat="false" ht="59.25" hidden="false" customHeight="true" outlineLevel="0" collapsed="false">
      <c r="B221" s="37"/>
      <c r="C221" s="286"/>
      <c r="D221" s="287"/>
      <c r="E221" s="287"/>
      <c r="F221" s="286"/>
      <c r="G221" s="287"/>
      <c r="H221" s="289"/>
      <c r="I221" s="287"/>
      <c r="J221" s="290"/>
    </row>
    <row r="222" customFormat="false" ht="59.25" hidden="false" customHeight="true" outlineLevel="0" collapsed="false">
      <c r="B222" s="37"/>
      <c r="C222" s="286"/>
      <c r="D222" s="287"/>
      <c r="E222" s="287"/>
      <c r="F222" s="286"/>
      <c r="G222" s="287"/>
      <c r="H222" s="289"/>
      <c r="I222" s="287"/>
      <c r="J222" s="290"/>
    </row>
    <row r="223" customFormat="false" ht="59.25" hidden="false" customHeight="true" outlineLevel="0" collapsed="false">
      <c r="B223" s="37"/>
      <c r="C223" s="286"/>
      <c r="D223" s="287"/>
      <c r="E223" s="287"/>
      <c r="F223" s="286"/>
      <c r="G223" s="287"/>
      <c r="H223" s="289"/>
      <c r="I223" s="287"/>
      <c r="J223" s="290"/>
    </row>
    <row r="224" customFormat="false" ht="59.25" hidden="false" customHeight="true" outlineLevel="0" collapsed="false">
      <c r="B224" s="37"/>
      <c r="C224" s="286"/>
      <c r="D224" s="287"/>
      <c r="E224" s="287"/>
      <c r="F224" s="286"/>
      <c r="G224" s="287"/>
      <c r="H224" s="289"/>
      <c r="I224" s="287"/>
      <c r="J224" s="290"/>
    </row>
    <row r="225" customFormat="false" ht="59.25" hidden="false" customHeight="true" outlineLevel="0" collapsed="false">
      <c r="B225" s="37"/>
      <c r="C225" s="286"/>
      <c r="D225" s="287"/>
      <c r="E225" s="287"/>
      <c r="F225" s="286"/>
      <c r="G225" s="287"/>
      <c r="H225" s="289"/>
      <c r="I225" s="287"/>
      <c r="J225" s="291"/>
    </row>
    <row r="226" customFormat="false" ht="59.25" hidden="false" customHeight="true" outlineLevel="0" collapsed="false">
      <c r="B226" s="37"/>
      <c r="C226" s="286"/>
      <c r="D226" s="287"/>
      <c r="E226" s="287"/>
      <c r="F226" s="286"/>
      <c r="G226" s="287"/>
      <c r="H226" s="289"/>
      <c r="I226" s="287"/>
      <c r="J226" s="291"/>
    </row>
    <row r="227" customFormat="false" ht="59.25" hidden="false" customHeight="true" outlineLevel="0" collapsed="false">
      <c r="B227" s="37"/>
      <c r="C227" s="286"/>
      <c r="D227" s="287"/>
      <c r="E227" s="287"/>
      <c r="F227" s="286"/>
      <c r="G227" s="287"/>
      <c r="H227" s="289"/>
      <c r="I227" s="287"/>
      <c r="J227" s="291"/>
    </row>
    <row r="228" customFormat="false" ht="59.25" hidden="false" customHeight="true" outlineLevel="0" collapsed="false">
      <c r="B228" s="37"/>
      <c r="C228" s="286"/>
      <c r="D228" s="287"/>
      <c r="E228" s="287"/>
      <c r="F228" s="286"/>
      <c r="G228" s="287"/>
      <c r="H228" s="289"/>
      <c r="I228" s="287"/>
      <c r="J228" s="291"/>
    </row>
    <row r="229" customFormat="false" ht="59.25" hidden="false" customHeight="true" outlineLevel="0" collapsed="false">
      <c r="B229" s="37"/>
      <c r="C229" s="286"/>
      <c r="D229" s="287"/>
      <c r="E229" s="287"/>
      <c r="F229" s="286"/>
      <c r="G229" s="287"/>
      <c r="H229" s="289"/>
      <c r="I229" s="287"/>
      <c r="J229" s="291"/>
    </row>
    <row r="230" customFormat="false" ht="59.25" hidden="false" customHeight="true" outlineLevel="0" collapsed="false">
      <c r="B230" s="37"/>
      <c r="C230" s="286"/>
      <c r="D230" s="287"/>
      <c r="E230" s="287"/>
      <c r="F230" s="286"/>
      <c r="G230" s="287"/>
      <c r="H230" s="289"/>
      <c r="I230" s="287"/>
      <c r="J230" s="291"/>
    </row>
    <row r="231" customFormat="false" ht="59.25" hidden="false" customHeight="true" outlineLevel="0" collapsed="false">
      <c r="B231" s="37"/>
      <c r="C231" s="286"/>
      <c r="D231" s="287"/>
      <c r="E231" s="287"/>
      <c r="F231" s="286"/>
      <c r="G231" s="287"/>
      <c r="H231" s="289"/>
      <c r="I231" s="287"/>
      <c r="J231" s="291"/>
    </row>
    <row r="232" customFormat="false" ht="59.25" hidden="false" customHeight="true" outlineLevel="0" collapsed="false">
      <c r="B232" s="37"/>
      <c r="C232" s="286"/>
      <c r="D232" s="287"/>
      <c r="E232" s="287"/>
      <c r="F232" s="286"/>
      <c r="G232" s="287"/>
      <c r="H232" s="289"/>
      <c r="I232" s="287"/>
      <c r="J232" s="291"/>
    </row>
    <row r="233" customFormat="false" ht="59.25" hidden="false" customHeight="true" outlineLevel="0" collapsed="false">
      <c r="B233" s="37"/>
      <c r="C233" s="286"/>
      <c r="D233" s="287"/>
      <c r="E233" s="287"/>
      <c r="F233" s="286"/>
      <c r="G233" s="287"/>
      <c r="H233" s="289"/>
      <c r="I233" s="287"/>
      <c r="J233" s="291"/>
    </row>
    <row r="234" customFormat="false" ht="59.25" hidden="false" customHeight="true" outlineLevel="0" collapsed="false">
      <c r="B234" s="37"/>
      <c r="C234" s="286"/>
      <c r="D234" s="287"/>
      <c r="E234" s="287"/>
      <c r="F234" s="286"/>
      <c r="G234" s="287"/>
      <c r="H234" s="289"/>
      <c r="I234" s="287"/>
      <c r="J234" s="291"/>
    </row>
    <row r="235" customFormat="false" ht="59.25" hidden="false" customHeight="true" outlineLevel="0" collapsed="false">
      <c r="B235" s="37"/>
      <c r="C235" s="286"/>
      <c r="D235" s="287"/>
      <c r="E235" s="287"/>
      <c r="F235" s="286"/>
      <c r="G235" s="287"/>
      <c r="H235" s="289"/>
      <c r="I235" s="287"/>
      <c r="J235" s="290"/>
    </row>
    <row r="236" customFormat="false" ht="59.25" hidden="false" customHeight="true" outlineLevel="0" collapsed="false">
      <c r="B236" s="37"/>
      <c r="C236" s="286"/>
      <c r="D236" s="287"/>
      <c r="E236" s="287"/>
      <c r="F236" s="286"/>
      <c r="G236" s="287"/>
      <c r="H236" s="289"/>
      <c r="I236" s="287"/>
      <c r="J236" s="290"/>
    </row>
    <row r="237" customFormat="false" ht="59.25" hidden="false" customHeight="true" outlineLevel="0" collapsed="false">
      <c r="B237" s="37"/>
      <c r="C237" s="286"/>
      <c r="D237" s="287"/>
      <c r="E237" s="287"/>
      <c r="F237" s="286"/>
      <c r="G237" s="287"/>
      <c r="H237" s="289"/>
      <c r="I237" s="287"/>
      <c r="J237" s="290"/>
    </row>
    <row r="238" customFormat="false" ht="59.25" hidden="false" customHeight="true" outlineLevel="0" collapsed="false">
      <c r="B238" s="37"/>
      <c r="C238" s="286"/>
      <c r="D238" s="287"/>
      <c r="E238" s="287"/>
      <c r="F238" s="286"/>
      <c r="G238" s="287"/>
      <c r="H238" s="289"/>
      <c r="I238" s="287"/>
      <c r="J238" s="290"/>
    </row>
    <row r="239" customFormat="false" ht="59.25" hidden="false" customHeight="true" outlineLevel="0" collapsed="false">
      <c r="B239" s="37"/>
      <c r="C239" s="286"/>
      <c r="D239" s="287"/>
      <c r="E239" s="287"/>
      <c r="F239" s="286"/>
      <c r="G239" s="287"/>
      <c r="H239" s="289"/>
      <c r="I239" s="287"/>
      <c r="J239" s="290"/>
    </row>
    <row r="240" customFormat="false" ht="59.25" hidden="false" customHeight="true" outlineLevel="0" collapsed="false">
      <c r="B240" s="37"/>
      <c r="C240" s="286"/>
      <c r="D240" s="287"/>
      <c r="E240" s="287"/>
      <c r="F240" s="286"/>
      <c r="G240" s="287"/>
      <c r="H240" s="289"/>
      <c r="I240" s="287"/>
      <c r="J240" s="290"/>
    </row>
    <row r="241" customFormat="false" ht="59.25" hidden="false" customHeight="true" outlineLevel="0" collapsed="false">
      <c r="B241" s="37"/>
      <c r="C241" s="286"/>
      <c r="D241" s="287"/>
      <c r="E241" s="287"/>
      <c r="F241" s="286"/>
      <c r="G241" s="287"/>
      <c r="H241" s="289"/>
      <c r="I241" s="287"/>
      <c r="J241" s="290"/>
    </row>
    <row r="242" customFormat="false" ht="59.25" hidden="false" customHeight="true" outlineLevel="0" collapsed="false">
      <c r="B242" s="37"/>
      <c r="C242" s="286"/>
      <c r="D242" s="287"/>
      <c r="E242" s="287"/>
      <c r="F242" s="286"/>
      <c r="G242" s="287"/>
      <c r="H242" s="289"/>
      <c r="I242" s="287"/>
      <c r="J242" s="290"/>
    </row>
    <row r="243" customFormat="false" ht="59.25" hidden="false" customHeight="true" outlineLevel="0" collapsed="false">
      <c r="B243" s="37"/>
      <c r="C243" s="286"/>
      <c r="D243" s="287"/>
      <c r="E243" s="287"/>
      <c r="F243" s="286"/>
      <c r="G243" s="287"/>
      <c r="H243" s="289"/>
      <c r="I243" s="287"/>
      <c r="J243" s="290"/>
    </row>
    <row r="244" customFormat="false" ht="59.25" hidden="false" customHeight="true" outlineLevel="0" collapsed="false">
      <c r="B244" s="37"/>
      <c r="C244" s="292"/>
      <c r="D244" s="287"/>
      <c r="E244" s="287"/>
      <c r="F244" s="286"/>
      <c r="G244" s="37"/>
      <c r="H244" s="293"/>
      <c r="I244" s="287"/>
      <c r="J244" s="290"/>
    </row>
    <row r="245" customFormat="false" ht="59.25" hidden="false" customHeight="true" outlineLevel="0" collapsed="false">
      <c r="B245" s="37"/>
      <c r="C245" s="292"/>
      <c r="D245" s="287"/>
      <c r="E245" s="287"/>
      <c r="F245" s="286"/>
      <c r="G245" s="37"/>
      <c r="H245" s="293"/>
      <c r="I245" s="287"/>
      <c r="J245" s="290"/>
    </row>
    <row r="246" customFormat="false" ht="59.25" hidden="false" customHeight="true" outlineLevel="0" collapsed="false">
      <c r="B246" s="37"/>
      <c r="C246" s="292"/>
      <c r="D246" s="287"/>
      <c r="E246" s="287"/>
      <c r="F246" s="286"/>
      <c r="G246" s="37"/>
      <c r="H246" s="293"/>
      <c r="I246" s="287"/>
      <c r="J246" s="290"/>
    </row>
    <row r="247" customFormat="false" ht="59.25" hidden="false" customHeight="true" outlineLevel="0" collapsed="false">
      <c r="B247" s="37"/>
      <c r="C247" s="292"/>
      <c r="D247" s="287"/>
      <c r="E247" s="287"/>
      <c r="F247" s="286"/>
      <c r="G247" s="37"/>
      <c r="H247" s="293"/>
      <c r="I247" s="287"/>
      <c r="J247" s="290"/>
    </row>
    <row r="248" customFormat="false" ht="59.25" hidden="false" customHeight="true" outlineLevel="0" collapsed="false">
      <c r="B248" s="37"/>
      <c r="C248" s="292"/>
      <c r="D248" s="287"/>
      <c r="E248" s="287"/>
      <c r="F248" s="286"/>
      <c r="G248" s="37"/>
      <c r="H248" s="293"/>
      <c r="I248" s="287"/>
      <c r="J248" s="290"/>
    </row>
    <row r="249" customFormat="false" ht="59.25" hidden="false" customHeight="true" outlineLevel="0" collapsed="false">
      <c r="B249" s="37"/>
      <c r="C249" s="292"/>
      <c r="D249" s="287"/>
      <c r="E249" s="287"/>
      <c r="F249" s="286"/>
      <c r="G249" s="37"/>
      <c r="H249" s="293"/>
      <c r="I249" s="287"/>
      <c r="J249" s="290"/>
    </row>
    <row r="250" customFormat="false" ht="59.25" hidden="false" customHeight="true" outlineLevel="0" collapsed="false">
      <c r="B250" s="37"/>
      <c r="C250" s="292"/>
      <c r="D250" s="287"/>
      <c r="E250" s="287"/>
      <c r="F250" s="286"/>
      <c r="G250" s="37"/>
      <c r="H250" s="293"/>
      <c r="I250" s="287"/>
      <c r="J250" s="290"/>
    </row>
    <row r="251" customFormat="false" ht="59.25" hidden="false" customHeight="true" outlineLevel="0" collapsed="false">
      <c r="B251" s="37"/>
      <c r="C251" s="292"/>
      <c r="D251" s="287"/>
      <c r="E251" s="287"/>
      <c r="F251" s="286"/>
      <c r="G251" s="37"/>
      <c r="H251" s="293"/>
      <c r="I251" s="287"/>
      <c r="J251" s="290"/>
    </row>
    <row r="252" customFormat="false" ht="59.25" hidden="false" customHeight="true" outlineLevel="0" collapsed="false">
      <c r="B252" s="37"/>
      <c r="C252" s="292"/>
      <c r="D252" s="287"/>
      <c r="E252" s="287"/>
      <c r="F252" s="286"/>
      <c r="G252" s="37"/>
      <c r="H252" s="293"/>
      <c r="I252" s="287"/>
      <c r="J252" s="290"/>
    </row>
    <row r="253" customFormat="false" ht="59.25" hidden="false" customHeight="true" outlineLevel="0" collapsed="false">
      <c r="B253" s="37"/>
      <c r="C253" s="292"/>
      <c r="D253" s="287"/>
      <c r="E253" s="287"/>
      <c r="F253" s="286"/>
      <c r="G253" s="37"/>
      <c r="H253" s="293"/>
      <c r="I253" s="287"/>
      <c r="J253" s="290"/>
    </row>
    <row r="254" customFormat="false" ht="59.25" hidden="false" customHeight="true" outlineLevel="0" collapsed="false">
      <c r="B254" s="37"/>
      <c r="C254" s="292"/>
      <c r="D254" s="287"/>
      <c r="E254" s="287"/>
      <c r="F254" s="286"/>
      <c r="G254" s="37"/>
      <c r="H254" s="293"/>
      <c r="I254" s="287"/>
      <c r="J254" s="290"/>
    </row>
    <row r="255" customFormat="false" ht="59.25" hidden="false" customHeight="true" outlineLevel="0" collapsed="false">
      <c r="B255" s="37"/>
      <c r="C255" s="292"/>
      <c r="D255" s="287"/>
      <c r="E255" s="287"/>
      <c r="F255" s="286"/>
      <c r="G255" s="37"/>
      <c r="H255" s="293"/>
      <c r="I255" s="287"/>
      <c r="J255" s="290"/>
    </row>
    <row r="256" customFormat="false" ht="59.25" hidden="false" customHeight="true" outlineLevel="0" collapsed="false">
      <c r="B256" s="37"/>
      <c r="C256" s="292"/>
      <c r="D256" s="287"/>
      <c r="E256" s="287"/>
      <c r="F256" s="286"/>
      <c r="G256" s="37"/>
      <c r="H256" s="293"/>
      <c r="I256" s="287"/>
      <c r="J256" s="290"/>
    </row>
    <row r="257" customFormat="false" ht="59.25" hidden="false" customHeight="true" outlineLevel="0" collapsed="false">
      <c r="B257" s="37"/>
      <c r="C257" s="292"/>
      <c r="D257" s="287"/>
      <c r="E257" s="287"/>
      <c r="F257" s="286"/>
      <c r="G257" s="37"/>
      <c r="H257" s="293"/>
      <c r="I257" s="287"/>
      <c r="J257" s="290"/>
    </row>
    <row r="258" customFormat="false" ht="59.25" hidden="false" customHeight="true" outlineLevel="0" collapsed="false">
      <c r="B258" s="37"/>
      <c r="C258" s="292"/>
      <c r="D258" s="287"/>
      <c r="E258" s="287"/>
      <c r="F258" s="286"/>
      <c r="G258" s="37"/>
      <c r="H258" s="293"/>
      <c r="I258" s="287"/>
      <c r="J258" s="290"/>
    </row>
    <row r="259" customFormat="false" ht="59.25" hidden="false" customHeight="true" outlineLevel="0" collapsed="false">
      <c r="B259" s="37"/>
      <c r="C259" s="292"/>
      <c r="D259" s="287"/>
      <c r="E259" s="287"/>
      <c r="F259" s="286"/>
      <c r="G259" s="37"/>
      <c r="H259" s="293"/>
      <c r="I259" s="287"/>
      <c r="J259" s="290"/>
    </row>
    <row r="260" customFormat="false" ht="59.25" hidden="false" customHeight="true" outlineLevel="0" collapsed="false">
      <c r="B260" s="37"/>
      <c r="C260" s="292"/>
      <c r="D260" s="287"/>
      <c r="E260" s="287"/>
      <c r="F260" s="286"/>
      <c r="G260" s="37"/>
      <c r="H260" s="293"/>
      <c r="I260" s="287"/>
      <c r="J260" s="290"/>
    </row>
    <row r="261" customFormat="false" ht="59.25" hidden="false" customHeight="true" outlineLevel="0" collapsed="false">
      <c r="B261" s="37"/>
      <c r="C261" s="292"/>
      <c r="D261" s="287"/>
      <c r="E261" s="287"/>
      <c r="F261" s="286"/>
      <c r="G261" s="37"/>
      <c r="H261" s="293"/>
      <c r="I261" s="287"/>
      <c r="J261" s="290"/>
    </row>
    <row r="262" customFormat="false" ht="59.25" hidden="false" customHeight="true" outlineLevel="0" collapsed="false">
      <c r="B262" s="37"/>
      <c r="C262" s="292"/>
      <c r="D262" s="287"/>
      <c r="E262" s="287"/>
      <c r="F262" s="286"/>
      <c r="G262" s="37"/>
      <c r="H262" s="293"/>
      <c r="I262" s="287"/>
      <c r="J262" s="290"/>
    </row>
    <row r="263" customFormat="false" ht="59.25" hidden="false" customHeight="true" outlineLevel="0" collapsed="false">
      <c r="B263" s="37"/>
      <c r="C263" s="292"/>
      <c r="D263" s="287"/>
      <c r="E263" s="287"/>
      <c r="F263" s="286"/>
      <c r="G263" s="37"/>
      <c r="H263" s="293"/>
      <c r="I263" s="287"/>
      <c r="J263" s="290"/>
    </row>
    <row r="264" customFormat="false" ht="59.25" hidden="false" customHeight="true" outlineLevel="0" collapsed="false">
      <c r="B264" s="37"/>
      <c r="C264" s="292"/>
      <c r="D264" s="287"/>
      <c r="E264" s="287"/>
      <c r="F264" s="286"/>
      <c r="G264" s="37"/>
      <c r="H264" s="293"/>
      <c r="I264" s="287"/>
      <c r="J264" s="290"/>
    </row>
    <row r="265" customFormat="false" ht="59.25" hidden="false" customHeight="true" outlineLevel="0" collapsed="false">
      <c r="B265" s="37"/>
      <c r="C265" s="292"/>
      <c r="D265" s="287"/>
      <c r="E265" s="287"/>
      <c r="F265" s="286"/>
      <c r="G265" s="37"/>
      <c r="H265" s="293"/>
      <c r="I265" s="287"/>
      <c r="J265" s="290"/>
    </row>
    <row r="266" customFormat="false" ht="59.25" hidden="false" customHeight="true" outlineLevel="0" collapsed="false">
      <c r="B266" s="37"/>
      <c r="C266" s="292"/>
      <c r="D266" s="287"/>
      <c r="E266" s="287"/>
      <c r="F266" s="286"/>
      <c r="G266" s="37"/>
      <c r="H266" s="293"/>
      <c r="I266" s="287"/>
      <c r="J266" s="290"/>
    </row>
    <row r="267" customFormat="false" ht="59.25" hidden="false" customHeight="true" outlineLevel="0" collapsed="false">
      <c r="B267" s="37"/>
      <c r="C267" s="292"/>
      <c r="D267" s="287"/>
      <c r="E267" s="287"/>
      <c r="F267" s="286"/>
      <c r="G267" s="37"/>
      <c r="H267" s="293"/>
      <c r="I267" s="287"/>
      <c r="J267" s="290"/>
    </row>
    <row r="268" customFormat="false" ht="59.25" hidden="false" customHeight="true" outlineLevel="0" collapsed="false">
      <c r="B268" s="37"/>
      <c r="C268" s="292"/>
      <c r="D268" s="287"/>
      <c r="E268" s="287"/>
      <c r="F268" s="286"/>
      <c r="G268" s="37"/>
      <c r="H268" s="293"/>
      <c r="I268" s="287"/>
      <c r="J268" s="290"/>
    </row>
    <row r="269" customFormat="false" ht="59.25" hidden="false" customHeight="true" outlineLevel="0" collapsed="false">
      <c r="B269" s="37"/>
      <c r="C269" s="292"/>
      <c r="D269" s="287"/>
      <c r="E269" s="287"/>
      <c r="F269" s="286"/>
      <c r="G269" s="37"/>
      <c r="H269" s="293"/>
      <c r="I269" s="287"/>
      <c r="J269" s="290"/>
    </row>
    <row r="270" customFormat="false" ht="59.25" hidden="false" customHeight="true" outlineLevel="0" collapsed="false">
      <c r="B270" s="37"/>
      <c r="C270" s="292"/>
      <c r="D270" s="287"/>
      <c r="E270" s="287"/>
      <c r="F270" s="286"/>
      <c r="G270" s="37"/>
      <c r="H270" s="293"/>
      <c r="I270" s="287"/>
      <c r="J270" s="290"/>
    </row>
    <row r="271" customFormat="false" ht="59.25" hidden="false" customHeight="true" outlineLevel="0" collapsed="false">
      <c r="B271" s="37"/>
      <c r="C271" s="294"/>
      <c r="D271" s="287"/>
      <c r="E271" s="287"/>
      <c r="F271" s="295"/>
      <c r="G271" s="37"/>
      <c r="H271" s="293"/>
      <c r="I271" s="287"/>
      <c r="J271" s="290"/>
    </row>
    <row r="272" customFormat="false" ht="59.25" hidden="false" customHeight="true" outlineLevel="0" collapsed="false">
      <c r="B272" s="37"/>
      <c r="C272" s="296"/>
      <c r="D272" s="287"/>
      <c r="E272" s="287"/>
      <c r="F272" s="297"/>
      <c r="G272" s="37"/>
      <c r="H272" s="293"/>
      <c r="I272" s="287"/>
      <c r="J272" s="290"/>
    </row>
    <row r="273" customFormat="false" ht="59.25" hidden="false" customHeight="true" outlineLevel="0" collapsed="false">
      <c r="B273" s="37"/>
      <c r="C273" s="296"/>
      <c r="D273" s="287"/>
      <c r="E273" s="287"/>
      <c r="F273" s="286"/>
      <c r="G273" s="37"/>
      <c r="H273" s="293"/>
      <c r="I273" s="287"/>
      <c r="J273" s="290"/>
    </row>
    <row r="274" customFormat="false" ht="59.25" hidden="false" customHeight="true" outlineLevel="0" collapsed="false">
      <c r="B274" s="37"/>
      <c r="C274" s="296"/>
      <c r="D274" s="287"/>
      <c r="E274" s="287"/>
      <c r="F274" s="286"/>
      <c r="G274" s="37"/>
      <c r="H274" s="293"/>
      <c r="I274" s="287"/>
      <c r="J274" s="290"/>
    </row>
    <row r="275" customFormat="false" ht="59.25" hidden="false" customHeight="true" outlineLevel="0" collapsed="false">
      <c r="B275" s="37"/>
      <c r="C275" s="294"/>
      <c r="D275" s="287"/>
      <c r="E275" s="287"/>
      <c r="F275" s="295"/>
      <c r="G275" s="37"/>
      <c r="H275" s="293"/>
      <c r="I275" s="287"/>
      <c r="J275" s="290"/>
    </row>
    <row r="276" customFormat="false" ht="59.25" hidden="false" customHeight="true" outlineLevel="0" collapsed="false">
      <c r="B276" s="37"/>
      <c r="C276" s="296"/>
      <c r="D276" s="287"/>
      <c r="E276" s="287"/>
      <c r="F276" s="286"/>
      <c r="G276" s="37"/>
      <c r="H276" s="293"/>
      <c r="I276" s="287"/>
      <c r="J276" s="290"/>
    </row>
    <row r="277" customFormat="false" ht="59.25" hidden="false" customHeight="true" outlineLevel="0" collapsed="false">
      <c r="B277" s="37"/>
      <c r="C277" s="294"/>
      <c r="D277" s="287"/>
      <c r="E277" s="287"/>
      <c r="F277" s="295"/>
      <c r="G277" s="37"/>
      <c r="H277" s="293"/>
      <c r="I277" s="287"/>
      <c r="J277" s="290"/>
    </row>
    <row r="278" customFormat="false" ht="59.25" hidden="false" customHeight="true" outlineLevel="0" collapsed="false">
      <c r="B278" s="37"/>
      <c r="C278" s="296"/>
      <c r="D278" s="287"/>
      <c r="E278" s="287"/>
      <c r="F278" s="286"/>
      <c r="G278" s="37"/>
      <c r="H278" s="293"/>
      <c r="I278" s="287"/>
      <c r="J278" s="290"/>
    </row>
    <row r="279" customFormat="false" ht="59.25" hidden="false" customHeight="true" outlineLevel="0" collapsed="false">
      <c r="B279" s="37"/>
      <c r="C279" s="296"/>
      <c r="D279" s="287"/>
      <c r="E279" s="287"/>
      <c r="F279" s="286"/>
      <c r="G279" s="37"/>
      <c r="H279" s="293"/>
      <c r="I279" s="287"/>
      <c r="J279" s="290"/>
    </row>
    <row r="280" customFormat="false" ht="59.25" hidden="false" customHeight="true" outlineLevel="0" collapsed="false">
      <c r="B280" s="37"/>
      <c r="C280" s="296"/>
      <c r="D280" s="287"/>
      <c r="E280" s="287"/>
      <c r="F280" s="286"/>
      <c r="G280" s="37"/>
      <c r="H280" s="293"/>
      <c r="I280" s="287"/>
      <c r="J280" s="290"/>
    </row>
    <row r="281" customFormat="false" ht="59.25" hidden="false" customHeight="true" outlineLevel="0" collapsed="false">
      <c r="B281" s="37"/>
      <c r="C281" s="296"/>
      <c r="D281" s="287"/>
      <c r="E281" s="287"/>
      <c r="F281" s="286"/>
      <c r="G281" s="37"/>
      <c r="H281" s="293"/>
      <c r="I281" s="287"/>
      <c r="J281" s="290"/>
    </row>
    <row r="282" customFormat="false" ht="59.25" hidden="false" customHeight="true" outlineLevel="0" collapsed="false">
      <c r="B282" s="37"/>
      <c r="C282" s="296"/>
      <c r="D282" s="287"/>
      <c r="E282" s="287"/>
      <c r="F282" s="286"/>
      <c r="G282" s="37"/>
      <c r="H282" s="293"/>
      <c r="I282" s="287"/>
      <c r="J282" s="290"/>
    </row>
    <row r="283" customFormat="false" ht="59.25" hidden="false" customHeight="true" outlineLevel="0" collapsed="false">
      <c r="B283" s="37"/>
      <c r="C283" s="296"/>
      <c r="D283" s="287"/>
      <c r="E283" s="287"/>
      <c r="F283" s="286"/>
      <c r="G283" s="37"/>
      <c r="H283" s="293"/>
      <c r="I283" s="287"/>
      <c r="J283" s="290"/>
    </row>
    <row r="284" customFormat="false" ht="59.25" hidden="false" customHeight="true" outlineLevel="0" collapsed="false">
      <c r="B284" s="37"/>
      <c r="C284" s="296"/>
      <c r="D284" s="287"/>
      <c r="E284" s="287"/>
      <c r="F284" s="298"/>
      <c r="G284" s="37"/>
      <c r="H284" s="293"/>
      <c r="I284" s="287"/>
      <c r="J284" s="290"/>
    </row>
    <row r="285" customFormat="false" ht="59.25" hidden="false" customHeight="true" outlineLevel="0" collapsed="false">
      <c r="B285" s="37"/>
      <c r="C285" s="296"/>
      <c r="D285" s="287"/>
      <c r="E285" s="287"/>
      <c r="F285" s="298"/>
      <c r="G285" s="37"/>
      <c r="H285" s="293"/>
      <c r="I285" s="287"/>
      <c r="J285" s="290"/>
    </row>
    <row r="286" customFormat="false" ht="59.25" hidden="false" customHeight="true" outlineLevel="0" collapsed="false">
      <c r="B286" s="37"/>
      <c r="C286" s="296"/>
      <c r="D286" s="287"/>
      <c r="E286" s="287"/>
      <c r="F286" s="298"/>
      <c r="G286" s="37"/>
      <c r="H286" s="293"/>
      <c r="I286" s="287"/>
      <c r="J286" s="290"/>
    </row>
    <row r="287" customFormat="false" ht="59.25" hidden="false" customHeight="true" outlineLevel="0" collapsed="false">
      <c r="B287" s="37"/>
      <c r="C287" s="296"/>
      <c r="D287" s="287"/>
      <c r="E287" s="287"/>
      <c r="F287" s="286"/>
      <c r="G287" s="37"/>
      <c r="H287" s="293"/>
      <c r="I287" s="287"/>
      <c r="J287" s="290"/>
    </row>
    <row r="288" customFormat="false" ht="59.25" hidden="false" customHeight="true" outlineLevel="0" collapsed="false">
      <c r="B288" s="37"/>
      <c r="C288" s="296"/>
      <c r="D288" s="287"/>
      <c r="E288" s="287"/>
      <c r="F288" s="286"/>
      <c r="G288" s="37"/>
      <c r="H288" s="293"/>
      <c r="I288" s="287"/>
      <c r="J288" s="290"/>
    </row>
    <row r="289" customFormat="false" ht="59.25" hidden="false" customHeight="true" outlineLevel="0" collapsed="false">
      <c r="B289" s="37"/>
      <c r="C289" s="296"/>
      <c r="D289" s="287"/>
      <c r="E289" s="287"/>
      <c r="F289" s="286"/>
      <c r="G289" s="37"/>
      <c r="H289" s="293"/>
      <c r="I289" s="287"/>
      <c r="J289" s="290"/>
    </row>
    <row r="290" customFormat="false" ht="59.25" hidden="false" customHeight="true" outlineLevel="0" collapsed="false">
      <c r="B290" s="37"/>
      <c r="C290" s="296"/>
      <c r="D290" s="287"/>
      <c r="E290" s="287"/>
      <c r="F290" s="286"/>
      <c r="G290" s="37"/>
      <c r="H290" s="293"/>
      <c r="I290" s="287"/>
      <c r="J290" s="290"/>
    </row>
    <row r="291" customFormat="false" ht="59.25" hidden="false" customHeight="true" outlineLevel="0" collapsed="false">
      <c r="B291" s="37"/>
      <c r="C291" s="296"/>
      <c r="D291" s="287"/>
      <c r="E291" s="287"/>
      <c r="F291" s="286"/>
      <c r="G291" s="37"/>
      <c r="H291" s="293"/>
      <c r="I291" s="287"/>
      <c r="J291" s="290"/>
    </row>
    <row r="292" customFormat="false" ht="59.25" hidden="false" customHeight="true" outlineLevel="0" collapsed="false">
      <c r="B292" s="37"/>
      <c r="C292" s="296"/>
      <c r="D292" s="287"/>
      <c r="E292" s="287"/>
      <c r="F292" s="286"/>
      <c r="G292" s="37"/>
      <c r="H292" s="293"/>
      <c r="I292" s="287"/>
      <c r="J292" s="290"/>
    </row>
    <row r="293" customFormat="false" ht="59.25" hidden="false" customHeight="true" outlineLevel="0" collapsed="false">
      <c r="B293" s="37"/>
      <c r="C293" s="296"/>
      <c r="D293" s="287"/>
      <c r="E293" s="287"/>
      <c r="F293" s="286"/>
      <c r="G293" s="37"/>
      <c r="H293" s="293"/>
      <c r="I293" s="287"/>
      <c r="J293" s="290"/>
    </row>
    <row r="294" customFormat="false" ht="59.25" hidden="false" customHeight="true" outlineLevel="0" collapsed="false">
      <c r="B294" s="37"/>
      <c r="C294" s="296"/>
      <c r="D294" s="287"/>
      <c r="E294" s="287"/>
      <c r="F294" s="286"/>
      <c r="G294" s="37"/>
      <c r="H294" s="293"/>
      <c r="I294" s="287"/>
      <c r="J294" s="290"/>
    </row>
    <row r="295" customFormat="false" ht="59.25" hidden="false" customHeight="true" outlineLevel="0" collapsed="false">
      <c r="B295" s="37"/>
      <c r="C295" s="296"/>
      <c r="D295" s="287"/>
      <c r="E295" s="287"/>
      <c r="F295" s="286"/>
      <c r="G295" s="37"/>
      <c r="H295" s="293"/>
      <c r="I295" s="287"/>
      <c r="J295" s="290"/>
    </row>
    <row r="296" customFormat="false" ht="59.25" hidden="false" customHeight="true" outlineLevel="0" collapsed="false">
      <c r="B296" s="37"/>
      <c r="C296" s="296"/>
      <c r="D296" s="287"/>
      <c r="E296" s="287"/>
      <c r="F296" s="286"/>
      <c r="G296" s="37"/>
      <c r="H296" s="293"/>
      <c r="I296" s="287"/>
      <c r="J296" s="290"/>
    </row>
    <row r="297" customFormat="false" ht="59.25" hidden="false" customHeight="true" outlineLevel="0" collapsed="false">
      <c r="B297" s="37"/>
      <c r="C297" s="296"/>
      <c r="D297" s="287"/>
      <c r="E297" s="287"/>
      <c r="F297" s="286"/>
      <c r="G297" s="37"/>
      <c r="H297" s="293"/>
      <c r="I297" s="287"/>
      <c r="J297" s="290"/>
    </row>
    <row r="298" customFormat="false" ht="59.25" hidden="false" customHeight="true" outlineLevel="0" collapsed="false">
      <c r="B298" s="37"/>
      <c r="C298" s="296"/>
      <c r="D298" s="287"/>
      <c r="E298" s="287"/>
      <c r="F298" s="286"/>
      <c r="G298" s="37"/>
      <c r="H298" s="293"/>
      <c r="I298" s="287"/>
      <c r="J298" s="290"/>
    </row>
    <row r="299" customFormat="false" ht="59.25" hidden="false" customHeight="true" outlineLevel="0" collapsed="false">
      <c r="B299" s="37"/>
      <c r="C299" s="296"/>
      <c r="D299" s="287"/>
      <c r="E299" s="287"/>
      <c r="F299" s="286"/>
      <c r="G299" s="37"/>
      <c r="H299" s="293"/>
      <c r="I299" s="287"/>
      <c r="J299" s="290"/>
    </row>
    <row r="300" customFormat="false" ht="59.25" hidden="false" customHeight="true" outlineLevel="0" collapsed="false">
      <c r="B300" s="37"/>
      <c r="C300" s="296"/>
      <c r="D300" s="287"/>
      <c r="E300" s="287"/>
      <c r="F300" s="286"/>
      <c r="G300" s="37"/>
      <c r="H300" s="293"/>
      <c r="I300" s="287"/>
      <c r="J300" s="290"/>
    </row>
    <row r="301" customFormat="false" ht="59.25" hidden="false" customHeight="true" outlineLevel="0" collapsed="false">
      <c r="B301" s="37"/>
      <c r="C301" s="296"/>
      <c r="D301" s="287"/>
      <c r="E301" s="287"/>
      <c r="F301" s="286"/>
      <c r="G301" s="37"/>
      <c r="H301" s="293"/>
      <c r="I301" s="287"/>
      <c r="J301" s="290"/>
    </row>
    <row r="302" customFormat="false" ht="59.25" hidden="false" customHeight="true" outlineLevel="0" collapsed="false">
      <c r="B302" s="37"/>
      <c r="C302" s="296"/>
      <c r="D302" s="287"/>
      <c r="E302" s="287"/>
      <c r="F302" s="286"/>
      <c r="G302" s="37"/>
      <c r="H302" s="293"/>
      <c r="I302" s="287"/>
      <c r="J302" s="290"/>
    </row>
    <row r="303" customFormat="false" ht="59.25" hidden="false" customHeight="true" outlineLevel="0" collapsed="false">
      <c r="B303" s="37"/>
      <c r="C303" s="296"/>
      <c r="D303" s="287"/>
      <c r="E303" s="287"/>
      <c r="F303" s="286"/>
      <c r="G303" s="37"/>
      <c r="H303" s="293"/>
      <c r="I303" s="287"/>
      <c r="J303" s="290"/>
    </row>
    <row r="304" customFormat="false" ht="59.25" hidden="false" customHeight="true" outlineLevel="0" collapsed="false">
      <c r="B304" s="37"/>
      <c r="C304" s="296"/>
      <c r="D304" s="287"/>
      <c r="E304" s="287"/>
      <c r="F304" s="286"/>
      <c r="G304" s="37"/>
      <c r="H304" s="293"/>
      <c r="I304" s="287"/>
      <c r="J304" s="290"/>
    </row>
    <row r="305" customFormat="false" ht="59.25" hidden="false" customHeight="true" outlineLevel="0" collapsed="false">
      <c r="B305" s="37"/>
      <c r="C305" s="286"/>
      <c r="D305" s="287"/>
      <c r="E305" s="287"/>
      <c r="F305" s="286"/>
      <c r="G305" s="287"/>
      <c r="H305" s="289"/>
      <c r="I305" s="287"/>
      <c r="J305" s="291"/>
    </row>
    <row r="306" customFormat="false" ht="59.25" hidden="false" customHeight="true" outlineLevel="0" collapsed="false">
      <c r="B306" s="37"/>
      <c r="C306" s="286"/>
      <c r="D306" s="287"/>
      <c r="E306" s="287"/>
      <c r="F306" s="286"/>
      <c r="G306" s="287"/>
      <c r="H306" s="289"/>
      <c r="I306" s="287"/>
      <c r="J306" s="291"/>
    </row>
    <row r="307" customFormat="false" ht="59.25" hidden="false" customHeight="true" outlineLevel="0" collapsed="false">
      <c r="B307" s="37"/>
      <c r="C307" s="286"/>
      <c r="D307" s="287"/>
      <c r="E307" s="287"/>
      <c r="F307" s="286"/>
      <c r="G307" s="287"/>
      <c r="H307" s="289"/>
      <c r="I307" s="287"/>
      <c r="J307" s="291"/>
    </row>
    <row r="308" customFormat="false" ht="59.25" hidden="false" customHeight="true" outlineLevel="0" collapsed="false">
      <c r="B308" s="37"/>
      <c r="C308" s="286"/>
      <c r="D308" s="287"/>
      <c r="E308" s="287"/>
      <c r="F308" s="286"/>
      <c r="G308" s="287"/>
      <c r="H308" s="289"/>
      <c r="I308" s="287"/>
      <c r="J308" s="291"/>
    </row>
    <row r="309" customFormat="false" ht="59.25" hidden="false" customHeight="true" outlineLevel="0" collapsed="false">
      <c r="B309" s="37"/>
      <c r="C309" s="286"/>
      <c r="D309" s="287"/>
      <c r="E309" s="287"/>
      <c r="F309" s="286"/>
      <c r="G309" s="287"/>
      <c r="H309" s="289"/>
      <c r="I309" s="287"/>
      <c r="J309" s="291"/>
    </row>
    <row r="310" customFormat="false" ht="59.25" hidden="false" customHeight="true" outlineLevel="0" collapsed="false">
      <c r="B310" s="37"/>
      <c r="C310" s="286"/>
      <c r="D310" s="287"/>
      <c r="E310" s="287"/>
      <c r="F310" s="286"/>
      <c r="G310" s="287"/>
      <c r="H310" s="289"/>
      <c r="I310" s="287"/>
      <c r="J310" s="291"/>
    </row>
    <row r="311" customFormat="false" ht="59.25" hidden="false" customHeight="true" outlineLevel="0" collapsed="false">
      <c r="B311" s="37"/>
      <c r="C311" s="286"/>
      <c r="D311" s="287"/>
      <c r="E311" s="287"/>
      <c r="F311" s="286"/>
      <c r="G311" s="287"/>
      <c r="H311" s="289"/>
      <c r="I311" s="287"/>
      <c r="J311" s="291"/>
    </row>
    <row r="312" customFormat="false" ht="59.25" hidden="false" customHeight="true" outlineLevel="0" collapsed="false">
      <c r="B312" s="37"/>
      <c r="C312" s="286"/>
      <c r="D312" s="287"/>
      <c r="E312" s="287"/>
      <c r="F312" s="286"/>
      <c r="G312" s="287"/>
      <c r="H312" s="289"/>
      <c r="I312" s="287"/>
      <c r="J312" s="291"/>
    </row>
    <row r="313" customFormat="false" ht="59.25" hidden="false" customHeight="true" outlineLevel="0" collapsed="false">
      <c r="B313" s="37"/>
      <c r="C313" s="286"/>
      <c r="D313" s="287"/>
      <c r="E313" s="287"/>
      <c r="F313" s="286"/>
      <c r="G313" s="287"/>
      <c r="H313" s="289"/>
      <c r="I313" s="287"/>
      <c r="J313" s="291"/>
    </row>
    <row r="314" customFormat="false" ht="59.25" hidden="false" customHeight="true" outlineLevel="0" collapsed="false">
      <c r="B314" s="37"/>
      <c r="C314" s="286"/>
      <c r="D314" s="287"/>
      <c r="E314" s="287"/>
      <c r="F314" s="286"/>
      <c r="G314" s="287"/>
      <c r="H314" s="289"/>
      <c r="I314" s="287"/>
      <c r="J314" s="291"/>
    </row>
    <row r="315" customFormat="false" ht="59.25" hidden="false" customHeight="true" outlineLevel="0" collapsed="false">
      <c r="B315" s="37"/>
      <c r="C315" s="286"/>
      <c r="D315" s="287"/>
      <c r="E315" s="287"/>
      <c r="F315" s="286"/>
      <c r="G315" s="287"/>
      <c r="H315" s="289"/>
      <c r="I315" s="287"/>
      <c r="J315" s="291"/>
    </row>
    <row r="316" customFormat="false" ht="59.25" hidden="false" customHeight="true" outlineLevel="0" collapsed="false">
      <c r="B316" s="37"/>
      <c r="C316" s="286"/>
      <c r="D316" s="287"/>
      <c r="E316" s="287"/>
      <c r="F316" s="286"/>
      <c r="G316" s="287"/>
      <c r="H316" s="289"/>
      <c r="I316" s="287"/>
      <c r="J316" s="291"/>
    </row>
    <row r="317" customFormat="false" ht="59.25" hidden="false" customHeight="true" outlineLevel="0" collapsed="false">
      <c r="B317" s="37"/>
      <c r="C317" s="286"/>
      <c r="D317" s="287"/>
      <c r="E317" s="287"/>
      <c r="F317" s="286"/>
      <c r="G317" s="287"/>
      <c r="H317" s="289"/>
      <c r="I317" s="287"/>
      <c r="J317" s="291"/>
    </row>
    <row r="318" customFormat="false" ht="59.25" hidden="false" customHeight="true" outlineLevel="0" collapsed="false">
      <c r="B318" s="37"/>
      <c r="C318" s="286"/>
      <c r="D318" s="287"/>
      <c r="E318" s="287"/>
      <c r="F318" s="286"/>
      <c r="G318" s="287"/>
      <c r="H318" s="289"/>
      <c r="I318" s="287"/>
      <c r="J318" s="291"/>
    </row>
    <row r="319" customFormat="false" ht="59.25" hidden="false" customHeight="true" outlineLevel="0" collapsed="false">
      <c r="B319" s="37"/>
      <c r="C319" s="286"/>
      <c r="D319" s="287"/>
      <c r="E319" s="287"/>
      <c r="F319" s="286"/>
      <c r="G319" s="287"/>
      <c r="H319" s="289"/>
      <c r="I319" s="287"/>
      <c r="J319" s="291"/>
    </row>
    <row r="320" customFormat="false" ht="59.25" hidden="false" customHeight="true" outlineLevel="0" collapsed="false">
      <c r="B320" s="37"/>
      <c r="C320" s="286"/>
      <c r="D320" s="287"/>
      <c r="E320" s="287"/>
      <c r="F320" s="286"/>
      <c r="G320" s="287"/>
      <c r="H320" s="289"/>
      <c r="I320" s="287"/>
      <c r="J320" s="291"/>
    </row>
    <row r="321" customFormat="false" ht="59.25" hidden="false" customHeight="true" outlineLevel="0" collapsed="false">
      <c r="B321" s="37"/>
      <c r="C321" s="286"/>
      <c r="D321" s="287"/>
      <c r="E321" s="287"/>
      <c r="F321" s="286"/>
      <c r="G321" s="287"/>
      <c r="H321" s="289"/>
      <c r="I321" s="287"/>
      <c r="J321" s="291"/>
    </row>
    <row r="322" customFormat="false" ht="59.25" hidden="false" customHeight="true" outlineLevel="0" collapsed="false">
      <c r="B322" s="37"/>
      <c r="C322" s="286"/>
      <c r="D322" s="287"/>
      <c r="E322" s="287"/>
      <c r="F322" s="286"/>
      <c r="G322" s="287"/>
      <c r="H322" s="289"/>
      <c r="I322" s="287"/>
      <c r="J322" s="291"/>
    </row>
    <row r="323" customFormat="false" ht="59.25" hidden="false" customHeight="true" outlineLevel="0" collapsed="false">
      <c r="B323" s="37"/>
      <c r="C323" s="286"/>
      <c r="D323" s="287"/>
      <c r="E323" s="287"/>
      <c r="F323" s="286"/>
      <c r="G323" s="287"/>
      <c r="H323" s="289"/>
      <c r="I323" s="287"/>
      <c r="J323" s="291"/>
    </row>
    <row r="324" customFormat="false" ht="59.25" hidden="false" customHeight="true" outlineLevel="0" collapsed="false">
      <c r="B324" s="37"/>
      <c r="C324" s="286"/>
      <c r="D324" s="287"/>
      <c r="E324" s="287"/>
      <c r="F324" s="286"/>
      <c r="G324" s="287"/>
      <c r="H324" s="289"/>
      <c r="I324" s="287"/>
      <c r="J324" s="291"/>
    </row>
    <row r="325" customFormat="false" ht="59.25" hidden="false" customHeight="true" outlineLevel="0" collapsed="false">
      <c r="B325" s="37"/>
      <c r="C325" s="286"/>
      <c r="D325" s="287"/>
      <c r="E325" s="287"/>
      <c r="F325" s="286"/>
      <c r="G325" s="287"/>
      <c r="H325" s="289"/>
      <c r="I325" s="287"/>
      <c r="J325" s="291"/>
    </row>
    <row r="326" customFormat="false" ht="59.25" hidden="false" customHeight="true" outlineLevel="0" collapsed="false">
      <c r="B326" s="37"/>
      <c r="C326" s="286"/>
      <c r="D326" s="287"/>
      <c r="E326" s="287"/>
      <c r="F326" s="286"/>
      <c r="G326" s="287"/>
      <c r="H326" s="289"/>
      <c r="I326" s="287"/>
      <c r="J326" s="291"/>
    </row>
    <row r="327" customFormat="false" ht="59.25" hidden="false" customHeight="true" outlineLevel="0" collapsed="false">
      <c r="B327" s="37"/>
      <c r="C327" s="286"/>
      <c r="D327" s="287"/>
      <c r="E327" s="287"/>
      <c r="F327" s="286"/>
      <c r="G327" s="287"/>
      <c r="H327" s="289"/>
      <c r="I327" s="287"/>
      <c r="J327" s="291"/>
    </row>
    <row r="328" customFormat="false" ht="59.25" hidden="false" customHeight="true" outlineLevel="0" collapsed="false">
      <c r="B328" s="37"/>
      <c r="C328" s="286"/>
      <c r="D328" s="287"/>
      <c r="E328" s="287"/>
      <c r="F328" s="286"/>
      <c r="G328" s="287"/>
      <c r="H328" s="289"/>
      <c r="I328" s="287"/>
      <c r="J328" s="291"/>
    </row>
    <row r="329" customFormat="false" ht="59.25" hidden="false" customHeight="true" outlineLevel="0" collapsed="false">
      <c r="B329" s="37"/>
      <c r="C329" s="286"/>
      <c r="D329" s="287"/>
      <c r="E329" s="287"/>
      <c r="F329" s="286"/>
      <c r="G329" s="287"/>
      <c r="H329" s="289"/>
      <c r="I329" s="287"/>
      <c r="J329" s="291"/>
    </row>
    <row r="330" customFormat="false" ht="59.25" hidden="false" customHeight="true" outlineLevel="0" collapsed="false">
      <c r="B330" s="37"/>
      <c r="C330" s="286"/>
      <c r="D330" s="287"/>
      <c r="E330" s="287"/>
      <c r="F330" s="286"/>
      <c r="G330" s="287"/>
      <c r="H330" s="289"/>
      <c r="I330" s="287"/>
      <c r="J330" s="291"/>
    </row>
    <row r="331" customFormat="false" ht="59.25" hidden="false" customHeight="true" outlineLevel="0" collapsed="false">
      <c r="B331" s="37"/>
      <c r="C331" s="286"/>
      <c r="D331" s="287"/>
      <c r="E331" s="287"/>
      <c r="F331" s="286"/>
      <c r="G331" s="287"/>
      <c r="H331" s="289"/>
      <c r="I331" s="287"/>
      <c r="J331" s="291"/>
    </row>
    <row r="332" customFormat="false" ht="59.25" hidden="false" customHeight="true" outlineLevel="0" collapsed="false">
      <c r="B332" s="37"/>
      <c r="C332" s="286"/>
      <c r="D332" s="287"/>
      <c r="E332" s="287"/>
      <c r="F332" s="286"/>
      <c r="G332" s="287"/>
      <c r="H332" s="289"/>
      <c r="I332" s="287"/>
      <c r="J332" s="291"/>
    </row>
    <row r="333" customFormat="false" ht="59.25" hidden="false" customHeight="true" outlineLevel="0" collapsed="false">
      <c r="B333" s="37"/>
      <c r="C333" s="286"/>
      <c r="D333" s="287"/>
      <c r="E333" s="287"/>
      <c r="F333" s="286"/>
      <c r="G333" s="287"/>
      <c r="H333" s="289"/>
      <c r="I333" s="287"/>
      <c r="J333" s="291"/>
    </row>
    <row r="334" customFormat="false" ht="59.25" hidden="false" customHeight="true" outlineLevel="0" collapsed="false">
      <c r="B334" s="37"/>
      <c r="C334" s="286"/>
      <c r="D334" s="287"/>
      <c r="E334" s="287"/>
      <c r="F334" s="286"/>
      <c r="G334" s="287"/>
      <c r="H334" s="289"/>
      <c r="I334" s="287"/>
      <c r="J334" s="291"/>
    </row>
    <row r="335" customFormat="false" ht="59.25" hidden="false" customHeight="true" outlineLevel="0" collapsed="false">
      <c r="B335" s="37"/>
      <c r="C335" s="286"/>
      <c r="D335" s="287"/>
      <c r="E335" s="287"/>
      <c r="F335" s="286"/>
      <c r="G335" s="287"/>
      <c r="H335" s="289"/>
      <c r="I335" s="287"/>
      <c r="J335" s="291"/>
    </row>
    <row r="336" customFormat="false" ht="59.25" hidden="false" customHeight="true" outlineLevel="0" collapsed="false">
      <c r="B336" s="37"/>
      <c r="C336" s="286"/>
      <c r="D336" s="287"/>
      <c r="E336" s="287"/>
      <c r="F336" s="286"/>
      <c r="G336" s="287"/>
      <c r="H336" s="289"/>
      <c r="I336" s="287"/>
      <c r="J336" s="291"/>
    </row>
    <row r="337" customFormat="false" ht="59.25" hidden="false" customHeight="true" outlineLevel="0" collapsed="false">
      <c r="B337" s="37"/>
      <c r="C337" s="286"/>
      <c r="D337" s="287"/>
      <c r="E337" s="287"/>
      <c r="F337" s="286"/>
      <c r="G337" s="287"/>
      <c r="H337" s="289"/>
      <c r="I337" s="287"/>
      <c r="J337" s="291"/>
    </row>
    <row r="338" customFormat="false" ht="59.25" hidden="false" customHeight="true" outlineLevel="0" collapsed="false">
      <c r="B338" s="37"/>
      <c r="C338" s="286"/>
      <c r="D338" s="287"/>
      <c r="E338" s="287"/>
      <c r="F338" s="286"/>
      <c r="G338" s="287"/>
      <c r="H338" s="289"/>
      <c r="I338" s="287"/>
      <c r="J338" s="290"/>
    </row>
    <row r="339" customFormat="false" ht="59.25" hidden="false" customHeight="true" outlineLevel="0" collapsed="false">
      <c r="B339" s="37"/>
      <c r="C339" s="286"/>
      <c r="D339" s="287"/>
      <c r="E339" s="287"/>
      <c r="F339" s="286"/>
      <c r="G339" s="287"/>
      <c r="H339" s="289"/>
      <c r="I339" s="287"/>
      <c r="J339" s="290"/>
    </row>
    <row r="340" customFormat="false" ht="59.25" hidden="false" customHeight="true" outlineLevel="0" collapsed="false">
      <c r="B340" s="37"/>
      <c r="C340" s="286"/>
      <c r="D340" s="287"/>
      <c r="E340" s="287"/>
      <c r="F340" s="286"/>
      <c r="G340" s="287"/>
      <c r="H340" s="289"/>
      <c r="I340" s="287"/>
      <c r="J340" s="290"/>
    </row>
    <row r="341" customFormat="false" ht="59.25" hidden="false" customHeight="true" outlineLevel="0" collapsed="false">
      <c r="B341" s="37"/>
      <c r="C341" s="286"/>
      <c r="D341" s="287"/>
      <c r="E341" s="287"/>
      <c r="F341" s="286"/>
      <c r="G341" s="287"/>
      <c r="H341" s="289"/>
      <c r="I341" s="287"/>
      <c r="J341" s="290"/>
    </row>
    <row r="342" customFormat="false" ht="59.25" hidden="false" customHeight="true" outlineLevel="0" collapsed="false">
      <c r="B342" s="37"/>
      <c r="C342" s="286"/>
      <c r="D342" s="287"/>
      <c r="E342" s="287"/>
      <c r="F342" s="286"/>
      <c r="G342" s="287"/>
      <c r="H342" s="289"/>
      <c r="I342" s="287"/>
      <c r="J342" s="290"/>
    </row>
    <row r="343" customFormat="false" ht="59.25" hidden="false" customHeight="true" outlineLevel="0" collapsed="false">
      <c r="B343" s="37"/>
      <c r="C343" s="286"/>
      <c r="D343" s="287"/>
      <c r="E343" s="287"/>
      <c r="F343" s="286"/>
      <c r="G343" s="287"/>
      <c r="H343" s="289"/>
      <c r="I343" s="287"/>
      <c r="J343" s="290"/>
    </row>
    <row r="344" customFormat="false" ht="59.25" hidden="false" customHeight="true" outlineLevel="0" collapsed="false">
      <c r="B344" s="37"/>
      <c r="C344" s="286"/>
      <c r="D344" s="287"/>
      <c r="E344" s="287"/>
      <c r="F344" s="286"/>
      <c r="G344" s="287"/>
      <c r="H344" s="289"/>
      <c r="I344" s="287"/>
      <c r="J344" s="290"/>
    </row>
    <row r="345" customFormat="false" ht="59.25" hidden="false" customHeight="true" outlineLevel="0" collapsed="false">
      <c r="B345" s="37"/>
      <c r="C345" s="286"/>
      <c r="D345" s="287"/>
      <c r="E345" s="287"/>
      <c r="F345" s="286"/>
      <c r="G345" s="287"/>
      <c r="H345" s="289"/>
      <c r="I345" s="287"/>
      <c r="J345" s="290"/>
    </row>
    <row r="346" customFormat="false" ht="59.25" hidden="false" customHeight="true" outlineLevel="0" collapsed="false">
      <c r="B346" s="37"/>
      <c r="C346" s="286"/>
      <c r="D346" s="287"/>
      <c r="E346" s="287"/>
      <c r="F346" s="286"/>
      <c r="G346" s="287"/>
      <c r="H346" s="289"/>
      <c r="I346" s="287"/>
      <c r="J346" s="290"/>
    </row>
    <row r="347" customFormat="false" ht="59.25" hidden="false" customHeight="true" outlineLevel="0" collapsed="false">
      <c r="B347" s="37"/>
      <c r="C347" s="286"/>
      <c r="D347" s="287"/>
      <c r="E347" s="287"/>
      <c r="F347" s="286"/>
      <c r="G347" s="287"/>
      <c r="H347" s="289"/>
      <c r="I347" s="287"/>
      <c r="J347" s="290"/>
    </row>
    <row r="348" customFormat="false" ht="59.25" hidden="false" customHeight="true" outlineLevel="0" collapsed="false">
      <c r="B348" s="37"/>
      <c r="C348" s="286"/>
      <c r="D348" s="287"/>
      <c r="E348" s="287"/>
      <c r="F348" s="286"/>
      <c r="G348" s="287"/>
      <c r="H348" s="289"/>
      <c r="I348" s="287"/>
      <c r="J348" s="290"/>
    </row>
    <row r="349" customFormat="false" ht="59.25" hidden="false" customHeight="true" outlineLevel="0" collapsed="false">
      <c r="B349" s="37"/>
      <c r="C349" s="286"/>
      <c r="D349" s="287"/>
      <c r="E349" s="287"/>
      <c r="F349" s="286"/>
      <c r="G349" s="287"/>
      <c r="H349" s="289"/>
      <c r="I349" s="287"/>
      <c r="J349" s="290"/>
    </row>
    <row r="350" customFormat="false" ht="59.25" hidden="false" customHeight="true" outlineLevel="0" collapsed="false">
      <c r="B350" s="37"/>
      <c r="C350" s="286"/>
      <c r="D350" s="287"/>
      <c r="E350" s="287"/>
      <c r="F350" s="286"/>
      <c r="G350" s="287"/>
      <c r="H350" s="289"/>
      <c r="I350" s="287"/>
      <c r="J350" s="290"/>
    </row>
    <row r="351" customFormat="false" ht="59.25" hidden="false" customHeight="true" outlineLevel="0" collapsed="false">
      <c r="B351" s="37"/>
      <c r="C351" s="286"/>
      <c r="D351" s="287"/>
      <c r="E351" s="287"/>
      <c r="F351" s="286"/>
      <c r="G351" s="287"/>
      <c r="H351" s="289"/>
      <c r="I351" s="287"/>
      <c r="J351" s="290"/>
    </row>
    <row r="352" customFormat="false" ht="59.25" hidden="false" customHeight="true" outlineLevel="0" collapsed="false">
      <c r="B352" s="37"/>
      <c r="C352" s="286"/>
      <c r="D352" s="287"/>
      <c r="E352" s="287"/>
      <c r="F352" s="286"/>
      <c r="G352" s="287"/>
      <c r="H352" s="289"/>
      <c r="I352" s="287"/>
      <c r="J352" s="290"/>
    </row>
    <row r="353" customFormat="false" ht="59.25" hidden="false" customHeight="true" outlineLevel="0" collapsed="false">
      <c r="B353" s="37"/>
      <c r="C353" s="286"/>
      <c r="D353" s="287"/>
      <c r="E353" s="287"/>
      <c r="F353" s="286"/>
      <c r="G353" s="287"/>
      <c r="H353" s="289"/>
      <c r="I353" s="287"/>
      <c r="J353" s="290"/>
    </row>
    <row r="354" customFormat="false" ht="59.25" hidden="false" customHeight="true" outlineLevel="0" collapsed="false">
      <c r="B354" s="37"/>
      <c r="C354" s="286"/>
      <c r="D354" s="287"/>
      <c r="E354" s="287"/>
      <c r="F354" s="286"/>
      <c r="G354" s="287"/>
      <c r="H354" s="289"/>
      <c r="I354" s="287"/>
      <c r="J354" s="290"/>
    </row>
    <row r="355" customFormat="false" ht="59.25" hidden="false" customHeight="true" outlineLevel="0" collapsed="false">
      <c r="B355" s="37"/>
      <c r="C355" s="286"/>
      <c r="D355" s="287"/>
      <c r="E355" s="287"/>
      <c r="F355" s="286"/>
      <c r="G355" s="287"/>
      <c r="H355" s="289"/>
      <c r="I355" s="287"/>
      <c r="J355" s="290"/>
    </row>
    <row r="356" customFormat="false" ht="59.25" hidden="false" customHeight="true" outlineLevel="0" collapsed="false">
      <c r="B356" s="37"/>
      <c r="C356" s="286"/>
      <c r="D356" s="287"/>
      <c r="E356" s="287"/>
      <c r="F356" s="286"/>
      <c r="G356" s="287"/>
      <c r="H356" s="289"/>
      <c r="I356" s="287"/>
      <c r="J356" s="290"/>
    </row>
    <row r="357" customFormat="false" ht="59.25" hidden="false" customHeight="true" outlineLevel="0" collapsed="false">
      <c r="B357" s="37"/>
      <c r="C357" s="286"/>
      <c r="D357" s="287"/>
      <c r="E357" s="287"/>
      <c r="F357" s="286"/>
      <c r="G357" s="287"/>
      <c r="H357" s="289"/>
      <c r="I357" s="287"/>
      <c r="J357" s="290"/>
    </row>
    <row r="358" customFormat="false" ht="59.25" hidden="false" customHeight="true" outlineLevel="0" collapsed="false">
      <c r="B358" s="37"/>
      <c r="C358" s="286"/>
      <c r="D358" s="287"/>
      <c r="E358" s="287"/>
      <c r="F358" s="286"/>
      <c r="G358" s="287"/>
      <c r="H358" s="289"/>
      <c r="I358" s="287"/>
      <c r="J358" s="290"/>
    </row>
    <row r="359" customFormat="false" ht="59.25" hidden="false" customHeight="true" outlineLevel="0" collapsed="false">
      <c r="B359" s="37"/>
      <c r="C359" s="286"/>
      <c r="D359" s="287"/>
      <c r="E359" s="287"/>
      <c r="F359" s="286"/>
      <c r="G359" s="287"/>
      <c r="H359" s="289"/>
      <c r="I359" s="287"/>
      <c r="J359" s="290"/>
    </row>
    <row r="360" customFormat="false" ht="59.25" hidden="false" customHeight="true" outlineLevel="0" collapsed="false">
      <c r="B360" s="37"/>
      <c r="C360" s="286"/>
      <c r="D360" s="287"/>
      <c r="E360" s="287"/>
      <c r="F360" s="286"/>
      <c r="G360" s="287"/>
      <c r="H360" s="289"/>
      <c r="I360" s="287"/>
      <c r="J360" s="290"/>
    </row>
    <row r="361" customFormat="false" ht="59.25" hidden="false" customHeight="true" outlineLevel="0" collapsed="false">
      <c r="B361" s="37"/>
      <c r="C361" s="286"/>
      <c r="D361" s="287"/>
      <c r="E361" s="287"/>
      <c r="F361" s="286"/>
      <c r="G361" s="287"/>
      <c r="H361" s="289"/>
      <c r="I361" s="287"/>
      <c r="J361" s="290"/>
    </row>
    <row r="362" customFormat="false" ht="59.25" hidden="false" customHeight="true" outlineLevel="0" collapsed="false">
      <c r="B362" s="37"/>
      <c r="C362" s="286"/>
      <c r="D362" s="287"/>
      <c r="E362" s="287"/>
      <c r="F362" s="286"/>
      <c r="G362" s="287"/>
      <c r="H362" s="289"/>
      <c r="I362" s="287"/>
      <c r="J362" s="290"/>
    </row>
    <row r="363" customFormat="false" ht="59.25" hidden="false" customHeight="true" outlineLevel="0" collapsed="false">
      <c r="B363" s="37"/>
      <c r="C363" s="286"/>
      <c r="D363" s="287"/>
      <c r="E363" s="287"/>
      <c r="F363" s="286"/>
      <c r="G363" s="287"/>
      <c r="H363" s="289"/>
      <c r="I363" s="287"/>
      <c r="J363" s="290"/>
    </row>
    <row r="364" customFormat="false" ht="59.25" hidden="false" customHeight="true" outlineLevel="0" collapsed="false">
      <c r="B364" s="37"/>
      <c r="C364" s="286"/>
      <c r="D364" s="287"/>
      <c r="E364" s="287"/>
      <c r="F364" s="286"/>
      <c r="G364" s="287"/>
      <c r="H364" s="289"/>
      <c r="I364" s="287"/>
      <c r="J364" s="290"/>
    </row>
    <row r="365" customFormat="false" ht="59.25" hidden="false" customHeight="true" outlineLevel="0" collapsed="false">
      <c r="B365" s="37"/>
      <c r="C365" s="286"/>
      <c r="D365" s="287"/>
      <c r="E365" s="287"/>
      <c r="F365" s="286"/>
      <c r="G365" s="287"/>
      <c r="H365" s="289"/>
      <c r="I365" s="287"/>
      <c r="J365" s="290"/>
    </row>
    <row r="366" customFormat="false" ht="59.25" hidden="false" customHeight="true" outlineLevel="0" collapsed="false">
      <c r="B366" s="37"/>
      <c r="C366" s="286"/>
      <c r="D366" s="287"/>
      <c r="E366" s="287"/>
      <c r="F366" s="286"/>
      <c r="G366" s="287"/>
      <c r="H366" s="289"/>
      <c r="I366" s="287"/>
      <c r="J366" s="290"/>
    </row>
    <row r="367" customFormat="false" ht="59.25" hidden="false" customHeight="true" outlineLevel="0" collapsed="false">
      <c r="B367" s="37"/>
      <c r="C367" s="286"/>
      <c r="D367" s="287"/>
      <c r="E367" s="287"/>
      <c r="F367" s="286"/>
      <c r="G367" s="287"/>
      <c r="H367" s="289"/>
      <c r="I367" s="287"/>
      <c r="J367" s="290"/>
    </row>
    <row r="368" customFormat="false" ht="59.25" hidden="false" customHeight="true" outlineLevel="0" collapsed="false">
      <c r="B368" s="37"/>
      <c r="C368" s="286"/>
      <c r="D368" s="287"/>
      <c r="E368" s="287"/>
      <c r="F368" s="286"/>
      <c r="G368" s="287"/>
      <c r="H368" s="289"/>
      <c r="I368" s="287"/>
      <c r="J368" s="290"/>
    </row>
    <row r="369" customFormat="false" ht="59.25" hidden="false" customHeight="true" outlineLevel="0" collapsed="false">
      <c r="B369" s="37"/>
      <c r="C369" s="286"/>
      <c r="D369" s="287"/>
      <c r="E369" s="287"/>
      <c r="F369" s="286"/>
      <c r="G369" s="287"/>
      <c r="H369" s="289"/>
      <c r="I369" s="287"/>
      <c r="J369" s="290"/>
    </row>
    <row r="370" customFormat="false" ht="59.25" hidden="false" customHeight="true" outlineLevel="0" collapsed="false">
      <c r="B370" s="37"/>
      <c r="C370" s="286"/>
      <c r="D370" s="287"/>
      <c r="E370" s="287"/>
      <c r="F370" s="286"/>
      <c r="G370" s="287"/>
      <c r="H370" s="289"/>
      <c r="I370" s="287"/>
      <c r="J370" s="290"/>
    </row>
    <row r="371" customFormat="false" ht="59.25" hidden="false" customHeight="true" outlineLevel="0" collapsed="false">
      <c r="B371" s="37"/>
      <c r="C371" s="286"/>
      <c r="D371" s="287"/>
      <c r="E371" s="287"/>
      <c r="F371" s="286"/>
      <c r="G371" s="287"/>
      <c r="H371" s="289"/>
      <c r="I371" s="287"/>
      <c r="J371" s="290"/>
    </row>
    <row r="372" customFormat="false" ht="59.25" hidden="false" customHeight="true" outlineLevel="0" collapsed="false">
      <c r="B372" s="37"/>
      <c r="C372" s="286"/>
      <c r="D372" s="287"/>
      <c r="E372" s="287"/>
      <c r="F372" s="286"/>
      <c r="G372" s="287"/>
      <c r="H372" s="289"/>
      <c r="I372" s="287"/>
      <c r="J372" s="290"/>
    </row>
    <row r="373" customFormat="false" ht="59.25" hidden="false" customHeight="true" outlineLevel="0" collapsed="false">
      <c r="B373" s="37"/>
      <c r="C373" s="286"/>
      <c r="D373" s="287"/>
      <c r="E373" s="287"/>
      <c r="F373" s="286"/>
      <c r="G373" s="287"/>
      <c r="H373" s="289"/>
      <c r="I373" s="287"/>
      <c r="J373" s="290"/>
    </row>
    <row r="374" customFormat="false" ht="59.25" hidden="false" customHeight="true" outlineLevel="0" collapsed="false">
      <c r="B374" s="37"/>
      <c r="C374" s="286"/>
      <c r="D374" s="287"/>
      <c r="E374" s="287"/>
      <c r="F374" s="286"/>
      <c r="G374" s="287"/>
      <c r="H374" s="289"/>
      <c r="I374" s="287"/>
      <c r="J374" s="290"/>
    </row>
    <row r="375" customFormat="false" ht="59.25" hidden="false" customHeight="true" outlineLevel="0" collapsed="false">
      <c r="B375" s="37"/>
      <c r="C375" s="286"/>
      <c r="D375" s="287"/>
      <c r="E375" s="287"/>
      <c r="F375" s="286"/>
      <c r="G375" s="287"/>
      <c r="H375" s="289"/>
      <c r="I375" s="287"/>
      <c r="J375" s="290"/>
    </row>
    <row r="376" customFormat="false" ht="59.25" hidden="false" customHeight="true" outlineLevel="0" collapsed="false">
      <c r="B376" s="37"/>
      <c r="C376" s="286"/>
      <c r="D376" s="287"/>
      <c r="E376" s="287"/>
      <c r="F376" s="286"/>
      <c r="G376" s="287"/>
      <c r="H376" s="289"/>
      <c r="I376" s="287"/>
      <c r="J376" s="290"/>
    </row>
    <row r="377" customFormat="false" ht="59.25" hidden="false" customHeight="true" outlineLevel="0" collapsed="false">
      <c r="B377" s="37"/>
      <c r="C377" s="286"/>
      <c r="D377" s="287"/>
      <c r="E377" s="287"/>
      <c r="F377" s="286"/>
      <c r="G377" s="287"/>
      <c r="H377" s="289"/>
      <c r="I377" s="287"/>
      <c r="J377" s="290"/>
    </row>
    <row r="378" customFormat="false" ht="59.25" hidden="false" customHeight="true" outlineLevel="0" collapsed="false">
      <c r="B378" s="37"/>
      <c r="C378" s="286"/>
      <c r="D378" s="287"/>
      <c r="E378" s="287"/>
      <c r="F378" s="286"/>
      <c r="G378" s="287"/>
      <c r="H378" s="289"/>
      <c r="I378" s="287"/>
      <c r="J378" s="290"/>
    </row>
    <row r="379" customFormat="false" ht="59.25" hidden="false" customHeight="true" outlineLevel="0" collapsed="false">
      <c r="B379" s="37"/>
      <c r="C379" s="286"/>
      <c r="D379" s="287"/>
      <c r="E379" s="287"/>
      <c r="F379" s="286"/>
      <c r="G379" s="287"/>
      <c r="H379" s="289"/>
      <c r="I379" s="287"/>
      <c r="J379" s="290"/>
    </row>
    <row r="380" customFormat="false" ht="59.25" hidden="false" customHeight="true" outlineLevel="0" collapsed="false">
      <c r="B380" s="37"/>
      <c r="C380" s="286"/>
      <c r="D380" s="287"/>
      <c r="E380" s="287"/>
      <c r="F380" s="286"/>
      <c r="G380" s="287"/>
      <c r="H380" s="289"/>
      <c r="I380" s="287"/>
      <c r="J380" s="290"/>
    </row>
    <row r="381" customFormat="false" ht="59.25" hidden="false" customHeight="true" outlineLevel="0" collapsed="false">
      <c r="B381" s="37"/>
      <c r="C381" s="286"/>
      <c r="D381" s="287"/>
      <c r="E381" s="287"/>
      <c r="F381" s="286"/>
      <c r="G381" s="287"/>
      <c r="H381" s="289"/>
      <c r="I381" s="287"/>
      <c r="J381" s="290"/>
    </row>
    <row r="382" customFormat="false" ht="59.25" hidden="false" customHeight="true" outlineLevel="0" collapsed="false">
      <c r="B382" s="37"/>
      <c r="C382" s="286"/>
      <c r="D382" s="287"/>
      <c r="E382" s="287"/>
      <c r="F382" s="286"/>
      <c r="G382" s="287"/>
      <c r="H382" s="289"/>
      <c r="I382" s="287"/>
      <c r="J382" s="290"/>
    </row>
    <row r="383" customFormat="false" ht="59.25" hidden="false" customHeight="true" outlineLevel="0" collapsed="false">
      <c r="B383" s="37"/>
      <c r="C383" s="286"/>
      <c r="D383" s="287"/>
      <c r="E383" s="287"/>
      <c r="F383" s="286"/>
      <c r="G383" s="287"/>
      <c r="H383" s="289"/>
      <c r="I383" s="287"/>
      <c r="J383" s="290"/>
    </row>
    <row r="384" customFormat="false" ht="59.25" hidden="false" customHeight="true" outlineLevel="0" collapsed="false">
      <c r="B384" s="37"/>
      <c r="C384" s="286"/>
      <c r="D384" s="287"/>
      <c r="E384" s="287"/>
      <c r="F384" s="286"/>
      <c r="G384" s="287"/>
      <c r="H384" s="289"/>
      <c r="I384" s="287"/>
      <c r="J384" s="290"/>
    </row>
    <row r="385" customFormat="false" ht="59.25" hidden="false" customHeight="true" outlineLevel="0" collapsed="false">
      <c r="B385" s="37"/>
      <c r="C385" s="286"/>
      <c r="D385" s="287"/>
      <c r="E385" s="287"/>
      <c r="F385" s="286"/>
      <c r="G385" s="287"/>
      <c r="H385" s="289"/>
      <c r="I385" s="287"/>
      <c r="J385" s="290"/>
    </row>
    <row r="386" customFormat="false" ht="59.25" hidden="false" customHeight="true" outlineLevel="0" collapsed="false">
      <c r="B386" s="37"/>
      <c r="C386" s="299"/>
      <c r="D386" s="300"/>
      <c r="E386" s="301"/>
      <c r="F386" s="286"/>
      <c r="G386" s="287"/>
      <c r="H386" s="289"/>
      <c r="I386" s="287"/>
      <c r="J386" s="290"/>
    </row>
    <row r="387" customFormat="false" ht="59.25" hidden="false" customHeight="true" outlineLevel="0" collapsed="false">
      <c r="B387" s="37"/>
      <c r="C387" s="299"/>
      <c r="D387" s="300"/>
      <c r="E387" s="301"/>
      <c r="F387" s="286"/>
      <c r="G387" s="287"/>
      <c r="H387" s="289"/>
      <c r="I387" s="287"/>
      <c r="J387" s="290"/>
    </row>
    <row r="388" customFormat="false" ht="59.25" hidden="false" customHeight="true" outlineLevel="0" collapsed="false">
      <c r="B388" s="37"/>
      <c r="C388" s="296"/>
      <c r="D388" s="300"/>
      <c r="E388" s="288"/>
      <c r="F388" s="296"/>
      <c r="G388" s="287"/>
      <c r="H388" s="289"/>
      <c r="I388" s="287"/>
      <c r="J388" s="291"/>
    </row>
    <row r="389" customFormat="false" ht="59.25" hidden="false" customHeight="true" outlineLevel="0" collapsed="false">
      <c r="B389" s="37"/>
      <c r="C389" s="296"/>
      <c r="D389" s="300"/>
      <c r="E389" s="288"/>
      <c r="F389" s="296"/>
      <c r="G389" s="287"/>
      <c r="H389" s="289"/>
      <c r="I389" s="287"/>
      <c r="J389" s="291"/>
    </row>
    <row r="390" customFormat="false" ht="59.25" hidden="false" customHeight="true" outlineLevel="0" collapsed="false">
      <c r="B390" s="37"/>
      <c r="C390" s="296"/>
      <c r="D390" s="300"/>
      <c r="E390" s="288"/>
      <c r="F390" s="296"/>
      <c r="G390" s="287"/>
      <c r="H390" s="289"/>
      <c r="I390" s="287"/>
      <c r="J390" s="291"/>
    </row>
    <row r="391" customFormat="false" ht="59.25" hidden="false" customHeight="true" outlineLevel="0" collapsed="false">
      <c r="B391" s="37"/>
      <c r="C391" s="296"/>
      <c r="D391" s="300"/>
      <c r="E391" s="288"/>
      <c r="F391" s="296"/>
      <c r="G391" s="287"/>
      <c r="H391" s="289"/>
      <c r="I391" s="287"/>
      <c r="J391" s="291"/>
    </row>
    <row r="392" customFormat="false" ht="59.25" hidden="false" customHeight="true" outlineLevel="0" collapsed="false">
      <c r="B392" s="37"/>
      <c r="C392" s="296"/>
      <c r="D392" s="300"/>
      <c r="E392" s="288"/>
      <c r="F392" s="296"/>
      <c r="G392" s="287"/>
      <c r="H392" s="289"/>
      <c r="I392" s="287"/>
      <c r="J392" s="291"/>
    </row>
    <row r="393" customFormat="false" ht="59.25" hidden="false" customHeight="true" outlineLevel="0" collapsed="false">
      <c r="B393" s="37"/>
      <c r="C393" s="296"/>
      <c r="D393" s="300"/>
      <c r="E393" s="288"/>
      <c r="F393" s="296"/>
      <c r="G393" s="287"/>
      <c r="H393" s="289"/>
      <c r="I393" s="287"/>
      <c r="J393" s="291"/>
    </row>
    <row r="394" customFormat="false" ht="59.25" hidden="false" customHeight="true" outlineLevel="0" collapsed="false">
      <c r="B394" s="37"/>
      <c r="C394" s="286"/>
      <c r="D394" s="287"/>
      <c r="E394" s="287"/>
      <c r="F394" s="286"/>
      <c r="G394" s="287"/>
      <c r="H394" s="289"/>
      <c r="I394" s="287"/>
      <c r="J394" s="290"/>
    </row>
    <row r="395" customFormat="false" ht="71.25" hidden="false" customHeight="true" outlineLevel="0" collapsed="false">
      <c r="B395" s="37"/>
      <c r="C395" s="296"/>
      <c r="D395" s="287"/>
      <c r="E395" s="288"/>
      <c r="F395" s="296"/>
      <c r="G395" s="288"/>
      <c r="H395" s="289"/>
      <c r="I395" s="287"/>
      <c r="J395" s="290"/>
    </row>
    <row r="396" customFormat="false" ht="71.25" hidden="false" customHeight="true" outlineLevel="0" collapsed="false">
      <c r="B396" s="37"/>
      <c r="C396" s="286"/>
      <c r="D396" s="287"/>
      <c r="E396" s="288"/>
      <c r="F396" s="286"/>
      <c r="G396" s="288"/>
      <c r="H396" s="289"/>
      <c r="I396" s="287"/>
      <c r="J396" s="291"/>
    </row>
    <row r="397" customFormat="false" ht="71.25" hidden="false" customHeight="true" outlineLevel="0" collapsed="false">
      <c r="B397" s="37"/>
      <c r="C397" s="286"/>
      <c r="D397" s="287"/>
      <c r="E397" s="288"/>
      <c r="F397" s="286"/>
      <c r="G397" s="288"/>
      <c r="H397" s="289"/>
      <c r="I397" s="287"/>
      <c r="J397" s="291"/>
    </row>
    <row r="398" customFormat="false" ht="71.25" hidden="false" customHeight="true" outlineLevel="0" collapsed="false">
      <c r="B398" s="37"/>
      <c r="C398" s="286"/>
      <c r="D398" s="287"/>
      <c r="E398" s="288"/>
      <c r="F398" s="286"/>
      <c r="G398" s="288"/>
      <c r="H398" s="289"/>
      <c r="I398" s="287"/>
      <c r="J398" s="291"/>
    </row>
    <row r="399" customFormat="false" ht="71.25" hidden="false" customHeight="true" outlineLevel="0" collapsed="false">
      <c r="B399" s="37"/>
      <c r="C399" s="286"/>
      <c r="D399" s="287"/>
      <c r="E399" s="288"/>
      <c r="F399" s="286"/>
      <c r="G399" s="288"/>
      <c r="H399" s="289"/>
      <c r="I399" s="287"/>
      <c r="J399" s="291"/>
    </row>
    <row r="400" customFormat="false" ht="71.25" hidden="false" customHeight="true" outlineLevel="0" collapsed="false">
      <c r="B400" s="37"/>
      <c r="C400" s="286"/>
      <c r="D400" s="287"/>
      <c r="E400" s="288"/>
      <c r="F400" s="286"/>
      <c r="G400" s="288"/>
      <c r="H400" s="289"/>
      <c r="I400" s="287"/>
      <c r="J400" s="291"/>
    </row>
    <row r="401" customFormat="false" ht="71.25" hidden="false" customHeight="true" outlineLevel="0" collapsed="false">
      <c r="B401" s="37"/>
      <c r="C401" s="286"/>
      <c r="D401" s="287"/>
      <c r="E401" s="288"/>
      <c r="F401" s="286"/>
      <c r="G401" s="288"/>
      <c r="H401" s="289"/>
      <c r="I401" s="287"/>
      <c r="J401" s="291"/>
    </row>
    <row r="402" customFormat="false" ht="71.25" hidden="false" customHeight="true" outlineLevel="0" collapsed="false">
      <c r="B402" s="37"/>
      <c r="C402" s="286"/>
      <c r="D402" s="287"/>
      <c r="E402" s="288"/>
      <c r="F402" s="286"/>
      <c r="G402" s="288"/>
      <c r="H402" s="289"/>
      <c r="I402" s="287"/>
      <c r="J402" s="291"/>
    </row>
    <row r="403" customFormat="false" ht="71.25" hidden="false" customHeight="true" outlineLevel="0" collapsed="false">
      <c r="B403" s="37"/>
      <c r="C403" s="286"/>
      <c r="D403" s="287"/>
      <c r="E403" s="288"/>
      <c r="F403" s="286"/>
      <c r="G403" s="288"/>
      <c r="H403" s="289"/>
      <c r="I403" s="287"/>
      <c r="J403" s="291"/>
    </row>
    <row r="404" customFormat="false" ht="71.25" hidden="false" customHeight="true" outlineLevel="0" collapsed="false">
      <c r="B404" s="37"/>
      <c r="C404" s="286"/>
      <c r="D404" s="287"/>
      <c r="E404" s="288"/>
      <c r="F404" s="286"/>
      <c r="G404" s="288"/>
      <c r="H404" s="289"/>
      <c r="I404" s="287"/>
      <c r="J404" s="291"/>
    </row>
    <row r="405" customFormat="false" ht="71.25" hidden="false" customHeight="true" outlineLevel="0" collapsed="false">
      <c r="B405" s="37"/>
      <c r="C405" s="286"/>
      <c r="D405" s="287"/>
      <c r="E405" s="288"/>
      <c r="F405" s="286"/>
      <c r="G405" s="288"/>
      <c r="H405" s="289"/>
      <c r="I405" s="287"/>
      <c r="J405" s="291"/>
    </row>
    <row r="406" customFormat="false" ht="71.25" hidden="false" customHeight="true" outlineLevel="0" collapsed="false">
      <c r="B406" s="37"/>
      <c r="C406" s="286"/>
      <c r="D406" s="287"/>
      <c r="E406" s="288"/>
      <c r="F406" s="286"/>
      <c r="G406" s="288"/>
      <c r="H406" s="289"/>
      <c r="I406" s="287"/>
      <c r="J406" s="291"/>
    </row>
    <row r="407" customFormat="false" ht="71.25" hidden="false" customHeight="true" outlineLevel="0" collapsed="false">
      <c r="B407" s="37"/>
      <c r="C407" s="286"/>
      <c r="D407" s="287"/>
      <c r="E407" s="288"/>
      <c r="F407" s="286"/>
      <c r="G407" s="288"/>
      <c r="H407" s="289"/>
      <c r="I407" s="287"/>
      <c r="J407" s="291"/>
    </row>
    <row r="408" customFormat="false" ht="71.25" hidden="false" customHeight="true" outlineLevel="0" collapsed="false">
      <c r="B408" s="37"/>
      <c r="C408" s="286"/>
      <c r="D408" s="287"/>
      <c r="E408" s="288"/>
      <c r="F408" s="286"/>
      <c r="G408" s="288"/>
      <c r="H408" s="289"/>
      <c r="I408" s="287"/>
      <c r="J408" s="291"/>
    </row>
    <row r="409" customFormat="false" ht="71.25" hidden="false" customHeight="true" outlineLevel="0" collapsed="false">
      <c r="B409" s="37"/>
      <c r="C409" s="286"/>
      <c r="D409" s="287"/>
      <c r="E409" s="288"/>
      <c r="F409" s="286"/>
      <c r="G409" s="288"/>
      <c r="H409" s="289"/>
      <c r="I409" s="287"/>
      <c r="J409" s="291"/>
    </row>
    <row r="410" customFormat="false" ht="71.25" hidden="false" customHeight="true" outlineLevel="0" collapsed="false">
      <c r="B410" s="37"/>
      <c r="C410" s="286"/>
      <c r="D410" s="287"/>
      <c r="E410" s="288"/>
      <c r="F410" s="286"/>
      <c r="G410" s="288"/>
      <c r="H410" s="289"/>
      <c r="I410" s="287"/>
      <c r="J410" s="291"/>
    </row>
    <row r="411" customFormat="false" ht="71.25" hidden="false" customHeight="true" outlineLevel="0" collapsed="false">
      <c r="B411" s="37"/>
      <c r="C411" s="286"/>
      <c r="D411" s="287"/>
      <c r="E411" s="288"/>
      <c r="F411" s="286"/>
      <c r="G411" s="288"/>
      <c r="H411" s="289"/>
      <c r="I411" s="287"/>
      <c r="J411" s="291"/>
    </row>
    <row r="412" customFormat="false" ht="71.25" hidden="false" customHeight="true" outlineLevel="0" collapsed="false">
      <c r="B412" s="37"/>
      <c r="C412" s="286"/>
      <c r="D412" s="287"/>
      <c r="E412" s="288"/>
      <c r="F412" s="286"/>
      <c r="G412" s="288"/>
      <c r="H412" s="289"/>
      <c r="I412" s="287"/>
      <c r="J412" s="291"/>
    </row>
    <row r="413" customFormat="false" ht="71.25" hidden="false" customHeight="true" outlineLevel="0" collapsed="false">
      <c r="B413" s="37"/>
      <c r="C413" s="286"/>
      <c r="D413" s="287"/>
      <c r="E413" s="288"/>
      <c r="F413" s="286"/>
      <c r="G413" s="288"/>
      <c r="H413" s="289"/>
      <c r="I413" s="287"/>
      <c r="J413" s="291"/>
    </row>
    <row r="414" customFormat="false" ht="71.25" hidden="false" customHeight="true" outlineLevel="0" collapsed="false">
      <c r="B414" s="37"/>
      <c r="C414" s="286"/>
      <c r="D414" s="287"/>
      <c r="E414" s="288"/>
      <c r="F414" s="286"/>
      <c r="G414" s="288"/>
      <c r="H414" s="289"/>
      <c r="I414" s="287"/>
      <c r="J414" s="291"/>
    </row>
    <row r="415" customFormat="false" ht="71.25" hidden="false" customHeight="true" outlineLevel="0" collapsed="false">
      <c r="B415" s="37"/>
      <c r="C415" s="286"/>
      <c r="D415" s="287"/>
      <c r="E415" s="288"/>
      <c r="F415" s="286"/>
      <c r="G415" s="288"/>
      <c r="H415" s="289"/>
      <c r="I415" s="287"/>
      <c r="J415" s="291"/>
    </row>
    <row r="416" customFormat="false" ht="71.25" hidden="false" customHeight="true" outlineLevel="0" collapsed="false">
      <c r="B416" s="37"/>
      <c r="C416" s="286"/>
      <c r="D416" s="287"/>
      <c r="E416" s="288"/>
      <c r="F416" s="286"/>
      <c r="G416" s="288"/>
      <c r="H416" s="289"/>
      <c r="I416" s="287"/>
      <c r="J416" s="291"/>
    </row>
    <row r="417" customFormat="false" ht="71.25" hidden="false" customHeight="true" outlineLevel="0" collapsed="false">
      <c r="B417" s="37"/>
      <c r="C417" s="286"/>
      <c r="D417" s="287"/>
      <c r="E417" s="288"/>
      <c r="F417" s="286"/>
      <c r="G417" s="288"/>
      <c r="H417" s="289"/>
      <c r="I417" s="287"/>
      <c r="J417" s="291"/>
    </row>
    <row r="418" customFormat="false" ht="71.25" hidden="false" customHeight="true" outlineLevel="0" collapsed="false">
      <c r="B418" s="37"/>
      <c r="C418" s="286"/>
      <c r="D418" s="287"/>
      <c r="E418" s="288"/>
      <c r="F418" s="286"/>
      <c r="G418" s="288"/>
      <c r="H418" s="289"/>
      <c r="I418" s="287"/>
      <c r="J418" s="291"/>
    </row>
    <row r="419" customFormat="false" ht="71.25" hidden="false" customHeight="true" outlineLevel="0" collapsed="false">
      <c r="B419" s="37"/>
      <c r="C419" s="286"/>
      <c r="D419" s="287"/>
      <c r="E419" s="288"/>
      <c r="F419" s="286"/>
      <c r="G419" s="288"/>
      <c r="H419" s="289"/>
      <c r="I419" s="287"/>
      <c r="J419" s="291"/>
    </row>
    <row r="420" customFormat="false" ht="71.25" hidden="false" customHeight="true" outlineLevel="0" collapsed="false">
      <c r="B420" s="37"/>
      <c r="C420" s="286"/>
      <c r="D420" s="287"/>
      <c r="E420" s="288"/>
      <c r="F420" s="286"/>
      <c r="G420" s="288"/>
      <c r="H420" s="289"/>
      <c r="I420" s="287"/>
      <c r="J420" s="291"/>
    </row>
    <row r="421" customFormat="false" ht="71.25" hidden="false" customHeight="true" outlineLevel="0" collapsed="false">
      <c r="B421" s="37"/>
      <c r="C421" s="286"/>
      <c r="D421" s="287"/>
      <c r="E421" s="288"/>
      <c r="F421" s="286"/>
      <c r="G421" s="288"/>
      <c r="H421" s="289"/>
      <c r="I421" s="287"/>
      <c r="J421" s="291"/>
    </row>
    <row r="422" customFormat="false" ht="71.25" hidden="false" customHeight="true" outlineLevel="0" collapsed="false">
      <c r="B422" s="37"/>
      <c r="C422" s="286"/>
      <c r="D422" s="287"/>
      <c r="E422" s="288"/>
      <c r="F422" s="286"/>
      <c r="G422" s="288"/>
      <c r="H422" s="289"/>
      <c r="I422" s="287"/>
      <c r="J422" s="291"/>
    </row>
    <row r="423" customFormat="false" ht="71.25" hidden="false" customHeight="true" outlineLevel="0" collapsed="false">
      <c r="B423" s="37"/>
      <c r="C423" s="286"/>
      <c r="D423" s="287"/>
      <c r="E423" s="288"/>
      <c r="F423" s="286"/>
      <c r="G423" s="288"/>
      <c r="H423" s="289"/>
      <c r="I423" s="287"/>
      <c r="J423" s="291"/>
    </row>
    <row r="424" customFormat="false" ht="71.25" hidden="false" customHeight="true" outlineLevel="0" collapsed="false">
      <c r="B424" s="37"/>
      <c r="C424" s="286"/>
      <c r="D424" s="287"/>
      <c r="E424" s="288"/>
      <c r="F424" s="286"/>
      <c r="G424" s="288"/>
      <c r="H424" s="289"/>
      <c r="I424" s="287"/>
      <c r="J424" s="291"/>
    </row>
    <row r="425" customFormat="false" ht="71.25" hidden="false" customHeight="true" outlineLevel="0" collapsed="false">
      <c r="B425" s="37"/>
      <c r="C425" s="286"/>
      <c r="D425" s="287"/>
      <c r="E425" s="288"/>
      <c r="F425" s="286"/>
      <c r="G425" s="288"/>
      <c r="H425" s="289"/>
      <c r="I425" s="287"/>
      <c r="J425" s="291"/>
    </row>
    <row r="426" customFormat="false" ht="71.25" hidden="false" customHeight="true" outlineLevel="0" collapsed="false">
      <c r="B426" s="37"/>
      <c r="C426" s="286"/>
      <c r="D426" s="287"/>
      <c r="E426" s="288"/>
      <c r="F426" s="286"/>
      <c r="G426" s="288"/>
      <c r="H426" s="289"/>
      <c r="I426" s="287"/>
      <c r="J426" s="291"/>
    </row>
    <row r="427" customFormat="false" ht="71.25" hidden="false" customHeight="true" outlineLevel="0" collapsed="false">
      <c r="B427" s="37"/>
      <c r="C427" s="286"/>
      <c r="D427" s="287"/>
      <c r="E427" s="288"/>
      <c r="F427" s="286"/>
      <c r="G427" s="288"/>
      <c r="H427" s="289"/>
      <c r="I427" s="287"/>
      <c r="J427" s="291"/>
    </row>
    <row r="428" customFormat="false" ht="71.25" hidden="false" customHeight="true" outlineLevel="0" collapsed="false">
      <c r="B428" s="37"/>
      <c r="C428" s="286"/>
      <c r="D428" s="287"/>
      <c r="E428" s="288"/>
      <c r="F428" s="286"/>
      <c r="G428" s="288"/>
      <c r="H428" s="289"/>
      <c r="I428" s="287"/>
      <c r="J428" s="291"/>
    </row>
    <row r="429" customFormat="false" ht="71.25" hidden="false" customHeight="true" outlineLevel="0" collapsed="false">
      <c r="B429" s="37"/>
      <c r="C429" s="286"/>
      <c r="D429" s="287"/>
      <c r="E429" s="288"/>
      <c r="F429" s="286"/>
      <c r="G429" s="288"/>
      <c r="H429" s="289"/>
      <c r="I429" s="287"/>
      <c r="J429" s="291"/>
    </row>
    <row r="430" customFormat="false" ht="71.25" hidden="false" customHeight="true" outlineLevel="0" collapsed="false">
      <c r="B430" s="37"/>
      <c r="C430" s="286"/>
      <c r="D430" s="287"/>
      <c r="E430" s="288"/>
      <c r="F430" s="286"/>
      <c r="G430" s="288"/>
      <c r="H430" s="289"/>
      <c r="I430" s="287"/>
      <c r="J430" s="291"/>
    </row>
    <row r="431" customFormat="false" ht="71.25" hidden="false" customHeight="true" outlineLevel="0" collapsed="false">
      <c r="B431" s="37"/>
      <c r="C431" s="286"/>
      <c r="D431" s="287"/>
      <c r="E431" s="288"/>
      <c r="F431" s="286"/>
      <c r="G431" s="288"/>
      <c r="H431" s="289"/>
      <c r="I431" s="287"/>
      <c r="J431" s="291"/>
    </row>
    <row r="432" customFormat="false" ht="71.25" hidden="false" customHeight="true" outlineLevel="0" collapsed="false">
      <c r="B432" s="37"/>
      <c r="C432" s="286"/>
      <c r="D432" s="287"/>
      <c r="E432" s="288"/>
      <c r="F432" s="286"/>
      <c r="G432" s="288"/>
      <c r="H432" s="289"/>
      <c r="I432" s="287"/>
      <c r="J432" s="291"/>
    </row>
    <row r="433" customFormat="false" ht="71.25" hidden="false" customHeight="true" outlineLevel="0" collapsed="false">
      <c r="B433" s="37"/>
      <c r="C433" s="286"/>
      <c r="D433" s="287"/>
      <c r="E433" s="288"/>
      <c r="F433" s="286"/>
      <c r="G433" s="288"/>
      <c r="H433" s="289"/>
      <c r="I433" s="287"/>
      <c r="J433" s="291"/>
    </row>
    <row r="434" customFormat="false" ht="71.25" hidden="false" customHeight="true" outlineLevel="0" collapsed="false">
      <c r="B434" s="37"/>
      <c r="C434" s="286"/>
      <c r="D434" s="287"/>
      <c r="E434" s="288"/>
      <c r="F434" s="286"/>
      <c r="G434" s="288"/>
      <c r="H434" s="289"/>
      <c r="I434" s="287"/>
      <c r="J434" s="291"/>
    </row>
    <row r="435" customFormat="false" ht="71.25" hidden="false" customHeight="true" outlineLevel="0" collapsed="false">
      <c r="B435" s="37"/>
      <c r="C435" s="286"/>
      <c r="D435" s="287"/>
      <c r="E435" s="288"/>
      <c r="F435" s="286"/>
      <c r="G435" s="288"/>
      <c r="H435" s="289"/>
      <c r="I435" s="287"/>
      <c r="J435" s="291"/>
    </row>
    <row r="436" customFormat="false" ht="71.25" hidden="false" customHeight="true" outlineLevel="0" collapsed="false">
      <c r="B436" s="37"/>
      <c r="C436" s="286"/>
      <c r="D436" s="287"/>
      <c r="E436" s="288"/>
      <c r="F436" s="286"/>
      <c r="G436" s="288"/>
      <c r="H436" s="289"/>
      <c r="I436" s="287"/>
      <c r="J436" s="291"/>
    </row>
    <row r="437" customFormat="false" ht="71.25" hidden="false" customHeight="true" outlineLevel="0" collapsed="false">
      <c r="B437" s="37"/>
      <c r="C437" s="286"/>
      <c r="D437" s="287"/>
      <c r="E437" s="288"/>
      <c r="F437" s="286"/>
      <c r="G437" s="288"/>
      <c r="H437" s="289"/>
      <c r="I437" s="287"/>
      <c r="J437" s="291"/>
    </row>
    <row r="438" customFormat="false" ht="71.25" hidden="false" customHeight="true" outlineLevel="0" collapsed="false">
      <c r="B438" s="37"/>
      <c r="C438" s="286"/>
      <c r="D438" s="287"/>
      <c r="E438" s="288"/>
      <c r="F438" s="286"/>
      <c r="G438" s="288"/>
      <c r="H438" s="289"/>
      <c r="I438" s="287"/>
      <c r="J438" s="291"/>
    </row>
    <row r="439" customFormat="false" ht="71.25" hidden="false" customHeight="true" outlineLevel="0" collapsed="false">
      <c r="B439" s="37"/>
      <c r="C439" s="286"/>
      <c r="D439" s="287"/>
      <c r="E439" s="288"/>
      <c r="F439" s="286"/>
      <c r="G439" s="288"/>
      <c r="H439" s="289"/>
      <c r="I439" s="287"/>
      <c r="J439" s="291"/>
    </row>
    <row r="440" customFormat="false" ht="71.25" hidden="false" customHeight="true" outlineLevel="0" collapsed="false">
      <c r="B440" s="37"/>
      <c r="C440" s="286"/>
      <c r="D440" s="287"/>
      <c r="E440" s="288"/>
      <c r="F440" s="286"/>
      <c r="G440" s="288"/>
      <c r="H440" s="289"/>
      <c r="I440" s="287"/>
      <c r="J440" s="291"/>
    </row>
    <row r="441" customFormat="false" ht="59.25" hidden="false" customHeight="true" outlineLevel="0" collapsed="false">
      <c r="B441" s="37"/>
      <c r="C441" s="299"/>
      <c r="D441" s="301"/>
      <c r="E441" s="301"/>
      <c r="F441" s="299"/>
      <c r="G441" s="287"/>
      <c r="H441" s="289"/>
      <c r="I441" s="287"/>
      <c r="J441" s="291"/>
    </row>
    <row r="442" customFormat="false" ht="59.25" hidden="false" customHeight="true" outlineLevel="0" collapsed="false">
      <c r="B442" s="37"/>
      <c r="C442" s="299"/>
      <c r="D442" s="301"/>
      <c r="E442" s="301"/>
      <c r="F442" s="299"/>
      <c r="G442" s="287"/>
      <c r="H442" s="289"/>
      <c r="I442" s="287"/>
      <c r="J442" s="291"/>
    </row>
    <row r="443" customFormat="false" ht="59.25" hidden="false" customHeight="true" outlineLevel="0" collapsed="false">
      <c r="B443" s="37"/>
      <c r="C443" s="299"/>
      <c r="D443" s="301"/>
      <c r="E443" s="301"/>
      <c r="F443" s="299"/>
      <c r="G443" s="287"/>
      <c r="H443" s="289"/>
      <c r="I443" s="287"/>
      <c r="J443" s="291"/>
    </row>
    <row r="444" customFormat="false" ht="59.25" hidden="false" customHeight="true" outlineLevel="0" collapsed="false">
      <c r="B444" s="37"/>
      <c r="C444" s="299"/>
      <c r="D444" s="301"/>
      <c r="E444" s="301"/>
      <c r="F444" s="299"/>
      <c r="G444" s="287"/>
      <c r="H444" s="289"/>
      <c r="I444" s="287"/>
      <c r="J444" s="291"/>
    </row>
    <row r="445" customFormat="false" ht="59.25" hidden="false" customHeight="true" outlineLevel="0" collapsed="false">
      <c r="B445" s="37"/>
      <c r="C445" s="299"/>
      <c r="D445" s="301"/>
      <c r="E445" s="301"/>
      <c r="F445" s="299"/>
      <c r="G445" s="287"/>
      <c r="H445" s="289"/>
      <c r="I445" s="287"/>
      <c r="J445" s="291"/>
    </row>
    <row r="446" customFormat="false" ht="59.25" hidden="false" customHeight="true" outlineLevel="0" collapsed="false">
      <c r="B446" s="37"/>
      <c r="C446" s="299"/>
      <c r="D446" s="301"/>
      <c r="E446" s="301"/>
      <c r="F446" s="299"/>
      <c r="G446" s="287"/>
      <c r="H446" s="289"/>
      <c r="I446" s="287"/>
      <c r="J446" s="291"/>
    </row>
    <row r="447" customFormat="false" ht="59.25" hidden="false" customHeight="true" outlineLevel="0" collapsed="false">
      <c r="B447" s="37"/>
      <c r="C447" s="299"/>
      <c r="D447" s="301"/>
      <c r="E447" s="301"/>
      <c r="F447" s="299"/>
      <c r="G447" s="287"/>
      <c r="H447" s="289"/>
      <c r="I447" s="287"/>
      <c r="J447" s="290"/>
    </row>
    <row r="448" customFormat="false" ht="59.25" hidden="false" customHeight="true" outlineLevel="0" collapsed="false">
      <c r="B448" s="37"/>
      <c r="C448" s="299"/>
      <c r="D448" s="301"/>
      <c r="E448" s="301"/>
      <c r="F448" s="299"/>
      <c r="G448" s="287"/>
      <c r="H448" s="289"/>
      <c r="I448" s="287"/>
      <c r="J448" s="290"/>
    </row>
    <row r="449" customFormat="false" ht="59.25" hidden="false" customHeight="true" outlineLevel="0" collapsed="false">
      <c r="B449" s="37"/>
      <c r="C449" s="299"/>
      <c r="D449" s="301"/>
      <c r="E449" s="301"/>
      <c r="F449" s="299"/>
      <c r="G449" s="287"/>
      <c r="H449" s="289"/>
      <c r="I449" s="287"/>
      <c r="J449" s="290"/>
    </row>
    <row r="450" customFormat="false" ht="59.25" hidden="false" customHeight="true" outlineLevel="0" collapsed="false">
      <c r="B450" s="37"/>
      <c r="C450" s="299"/>
      <c r="D450" s="301"/>
      <c r="E450" s="301"/>
      <c r="F450" s="299"/>
      <c r="G450" s="287"/>
      <c r="H450" s="289"/>
      <c r="I450" s="287"/>
      <c r="J450" s="290"/>
    </row>
    <row r="451" customFormat="false" ht="59.25" hidden="false" customHeight="true" outlineLevel="0" collapsed="false">
      <c r="B451" s="37"/>
      <c r="C451" s="296"/>
      <c r="D451" s="288"/>
      <c r="E451" s="287"/>
      <c r="F451" s="299"/>
      <c r="G451" s="37"/>
      <c r="H451" s="293"/>
      <c r="I451" s="287"/>
      <c r="J451" s="291"/>
    </row>
    <row r="452" customFormat="false" ht="59.25" hidden="false" customHeight="true" outlineLevel="0" collapsed="false">
      <c r="B452" s="37"/>
      <c r="C452" s="296"/>
      <c r="D452" s="288"/>
      <c r="E452" s="287"/>
      <c r="F452" s="299"/>
      <c r="G452" s="287"/>
      <c r="H452" s="289"/>
      <c r="I452" s="287"/>
      <c r="J452" s="290"/>
    </row>
    <row r="453" customFormat="false" ht="59.25" hidden="false" customHeight="true" outlineLevel="0" collapsed="false">
      <c r="B453" s="37"/>
      <c r="C453" s="296"/>
      <c r="D453" s="288"/>
      <c r="E453" s="287"/>
      <c r="F453" s="299"/>
      <c r="G453" s="287"/>
      <c r="H453" s="289"/>
      <c r="I453" s="287"/>
      <c r="J453" s="290"/>
    </row>
    <row r="454" customFormat="false" ht="59.25" hidden="false" customHeight="true" outlineLevel="0" collapsed="false">
      <c r="B454" s="37"/>
      <c r="C454" s="296"/>
      <c r="D454" s="288"/>
      <c r="E454" s="287"/>
      <c r="F454" s="299"/>
      <c r="G454" s="287"/>
      <c r="H454" s="289"/>
      <c r="I454" s="287"/>
      <c r="J454" s="290"/>
    </row>
    <row r="455" customFormat="false" ht="59.25" hidden="false" customHeight="true" outlineLevel="0" collapsed="false">
      <c r="B455" s="37"/>
      <c r="C455" s="296"/>
      <c r="D455" s="288"/>
      <c r="E455" s="287"/>
      <c r="F455" s="299"/>
      <c r="G455" s="287"/>
      <c r="H455" s="289"/>
      <c r="I455" s="287"/>
      <c r="J455" s="290"/>
    </row>
    <row r="456" customFormat="false" ht="59.25" hidden="false" customHeight="true" outlineLevel="0" collapsed="false">
      <c r="B456" s="37"/>
      <c r="C456" s="296"/>
      <c r="D456" s="288"/>
      <c r="E456" s="287"/>
      <c r="F456" s="299"/>
      <c r="G456" s="287"/>
      <c r="H456" s="289"/>
      <c r="I456" s="287"/>
      <c r="J456" s="290"/>
    </row>
    <row r="457" customFormat="false" ht="59.25" hidden="false" customHeight="true" outlineLevel="0" collapsed="false">
      <c r="B457" s="37"/>
      <c r="C457" s="296"/>
      <c r="D457" s="288"/>
      <c r="E457" s="287"/>
      <c r="F457" s="299"/>
      <c r="G457" s="287"/>
      <c r="H457" s="289"/>
      <c r="I457" s="287"/>
      <c r="J457" s="290"/>
    </row>
    <row r="458" customFormat="false" ht="59.25" hidden="false" customHeight="true" outlineLevel="0" collapsed="false">
      <c r="B458" s="37"/>
      <c r="C458" s="286"/>
      <c r="D458" s="287"/>
      <c r="E458" s="288"/>
      <c r="F458" s="296"/>
      <c r="G458" s="287"/>
      <c r="H458" s="289"/>
      <c r="I458" s="288"/>
      <c r="J458" s="291"/>
    </row>
    <row r="459" customFormat="false" ht="59.25" hidden="false" customHeight="true" outlineLevel="0" collapsed="false">
      <c r="B459" s="37"/>
      <c r="C459" s="7"/>
      <c r="D459" s="302"/>
      <c r="E459" s="303"/>
      <c r="F459" s="7"/>
      <c r="G459" s="287"/>
      <c r="H459" s="289"/>
      <c r="I459" s="304"/>
      <c r="J459" s="7"/>
    </row>
    <row r="460" customFormat="false" ht="59.25" hidden="false" customHeight="true" outlineLevel="0" collapsed="false">
      <c r="B460" s="37"/>
      <c r="C460" s="7"/>
      <c r="D460" s="287"/>
      <c r="E460" s="37"/>
      <c r="F460" s="7"/>
      <c r="G460" s="287"/>
      <c r="H460" s="289"/>
      <c r="I460" s="304"/>
      <c r="J460" s="7"/>
    </row>
    <row r="461" customFormat="false" ht="59.25" hidden="false" customHeight="true" outlineLevel="0" collapsed="false">
      <c r="B461" s="37"/>
      <c r="C461" s="292"/>
      <c r="D461" s="305"/>
      <c r="E461" s="306"/>
      <c r="F461" s="292"/>
      <c r="G461" s="287"/>
      <c r="H461" s="289"/>
      <c r="I461" s="306"/>
      <c r="J461" s="307"/>
    </row>
    <row r="462" customFormat="false" ht="59.25" hidden="false" customHeight="true" outlineLevel="0" collapsed="false">
      <c r="B462" s="37"/>
      <c r="C462" s="292"/>
      <c r="D462" s="305"/>
      <c r="E462" s="306"/>
      <c r="F462" s="292"/>
      <c r="G462" s="287"/>
      <c r="H462" s="289"/>
      <c r="I462" s="306"/>
      <c r="J462" s="307"/>
    </row>
    <row r="463" customFormat="false" ht="59.25" hidden="false" customHeight="true" outlineLevel="0" collapsed="false">
      <c r="B463" s="37"/>
      <c r="C463" s="292"/>
      <c r="D463" s="305"/>
      <c r="E463" s="306"/>
      <c r="F463" s="292"/>
      <c r="G463" s="287"/>
      <c r="H463" s="289"/>
      <c r="I463" s="306"/>
      <c r="J463" s="307"/>
    </row>
    <row r="464" customFormat="false" ht="59.25" hidden="false" customHeight="true" outlineLevel="0" collapsed="false">
      <c r="B464" s="37"/>
      <c r="C464" s="292"/>
      <c r="D464" s="306"/>
      <c r="E464" s="306"/>
      <c r="F464" s="292"/>
      <c r="G464" s="287"/>
      <c r="H464" s="289"/>
      <c r="I464" s="306"/>
      <c r="J464" s="307"/>
    </row>
    <row r="465" customFormat="false" ht="59.25" hidden="false" customHeight="true" outlineLevel="0" collapsed="false">
      <c r="B465" s="37"/>
      <c r="C465" s="7"/>
      <c r="D465" s="306"/>
      <c r="E465" s="306"/>
      <c r="F465" s="7"/>
      <c r="G465" s="37"/>
      <c r="H465" s="289"/>
      <c r="I465" s="306"/>
      <c r="J465" s="307"/>
    </row>
    <row r="466" customFormat="false" ht="59.25" hidden="false" customHeight="true" outlineLevel="0" collapsed="false">
      <c r="B466" s="37"/>
      <c r="C466" s="7"/>
      <c r="D466" s="306"/>
      <c r="E466" s="306"/>
      <c r="F466" s="7"/>
      <c r="G466" s="37"/>
      <c r="H466" s="289"/>
      <c r="I466" s="306"/>
      <c r="J466" s="307"/>
    </row>
    <row r="467" customFormat="false" ht="59.25" hidden="false" customHeight="true" outlineLevel="0" collapsed="false">
      <c r="B467" s="37"/>
      <c r="C467" s="7"/>
      <c r="D467" s="306"/>
      <c r="E467" s="306"/>
      <c r="F467" s="7"/>
      <c r="G467" s="37"/>
      <c r="H467" s="289"/>
      <c r="I467" s="306"/>
      <c r="J467" s="307"/>
    </row>
    <row r="468" customFormat="false" ht="59.25" hidden="false" customHeight="true" outlineLevel="0" collapsed="false">
      <c r="B468" s="37"/>
      <c r="C468" s="7"/>
      <c r="D468" s="306"/>
      <c r="E468" s="306"/>
      <c r="F468" s="7"/>
      <c r="G468" s="37"/>
      <c r="H468" s="289"/>
      <c r="I468" s="306"/>
      <c r="J468" s="307"/>
    </row>
    <row r="469" customFormat="false" ht="59.25" hidden="false" customHeight="true" outlineLevel="0" collapsed="false">
      <c r="B469" s="37"/>
      <c r="C469" s="7"/>
      <c r="D469" s="306"/>
      <c r="E469" s="306"/>
      <c r="F469" s="7"/>
      <c r="G469" s="37"/>
      <c r="H469" s="289"/>
      <c r="I469" s="306"/>
      <c r="J469" s="307"/>
    </row>
    <row r="470" customFormat="false" ht="59.25" hidden="false" customHeight="true" outlineLevel="0" collapsed="false">
      <c r="B470" s="37"/>
      <c r="C470" s="7"/>
      <c r="D470" s="306"/>
      <c r="E470" s="306"/>
      <c r="F470" s="7"/>
      <c r="G470" s="37"/>
      <c r="H470" s="289"/>
      <c r="I470" s="306"/>
      <c r="J470" s="307"/>
    </row>
    <row r="471" customFormat="false" ht="59.25" hidden="false" customHeight="true" outlineLevel="0" collapsed="false">
      <c r="B471" s="37"/>
      <c r="C471" s="7"/>
      <c r="D471" s="306"/>
      <c r="E471" s="306"/>
      <c r="F471" s="7"/>
      <c r="G471" s="37"/>
      <c r="H471" s="289"/>
      <c r="I471" s="306"/>
      <c r="J471" s="307"/>
    </row>
    <row r="472" customFormat="false" ht="59.25" hidden="false" customHeight="true" outlineLevel="0" collapsed="false">
      <c r="B472" s="37"/>
      <c r="C472" s="7"/>
      <c r="D472" s="306"/>
      <c r="E472" s="306"/>
      <c r="F472" s="7"/>
      <c r="G472" s="37"/>
      <c r="H472" s="289"/>
      <c r="I472" s="306"/>
      <c r="J472" s="307"/>
    </row>
    <row r="473" customFormat="false" ht="59.25" hidden="false" customHeight="true" outlineLevel="0" collapsed="false">
      <c r="B473" s="37"/>
      <c r="C473" s="7"/>
      <c r="D473" s="306"/>
      <c r="E473" s="306"/>
      <c r="F473" s="7"/>
      <c r="G473" s="37"/>
      <c r="H473" s="289"/>
      <c r="I473" s="306"/>
      <c r="J473" s="307"/>
    </row>
  </sheetData>
  <printOptions headings="false" gridLines="false" gridLinesSet="true" horizontalCentered="false" verticalCentered="false"/>
  <pageMargins left="0.708333333333333" right="0.708333333333333" top="0.747916666666667" bottom="0.747916666666667" header="0.511811023622047" footer="0.511811023622047"/>
  <pageSetup paperSize="1" scale="22" fitToWidth="1" fitToHeight="1" pageOrder="downThenOver" orientation="landscape" blackAndWhite="false" draft="false" cellComments="none" horizontalDpi="300" verticalDpi="300" copies="1"/>
  <headerFooter differentFirst="false" differentOddEven="false">
    <oddHeader/>
    <oddFooter/>
  </headerFooter>
  <tableParts>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AI284"/>
  <sheetViews>
    <sheetView showFormulas="false" showGridLines="false" showRowColHeaders="true" showZeros="true" rightToLeft="false" tabSelected="false" showOutlineSymbols="true" defaultGridColor="true" view="normal" topLeftCell="A1" colorId="64" zoomScale="55" zoomScaleNormal="55" zoomScalePageLayoutView="70" workbookViewId="0">
      <pane xSplit="0" ySplit="1" topLeftCell="A7" activePane="bottomLeft" state="frozen"/>
      <selection pane="topLeft" activeCell="A1" activeCellId="0" sqref="A1"/>
      <selection pane="bottomLeft" activeCell="N155" activeCellId="0" sqref="N155"/>
    </sheetView>
  </sheetViews>
  <sheetFormatPr defaultColWidth="11.4296875" defaultRowHeight="15" zeroHeight="false" outlineLevelRow="0" outlineLevelCol="0"/>
  <cols>
    <col collapsed="false" customWidth="false" hidden="false" outlineLevel="0" max="1" min="1" style="308" width="11.43"/>
    <col collapsed="false" customWidth="true" hidden="false" outlineLevel="0" max="2" min="2" style="308" width="20.14"/>
    <col collapsed="false" customWidth="true" hidden="false" outlineLevel="0" max="3" min="3" style="308" width="27.28"/>
    <col collapsed="false" customWidth="true" hidden="false" outlineLevel="0" max="4" min="4" style="308" width="24.72"/>
    <col collapsed="false" customWidth="true" hidden="false" outlineLevel="0" max="5" min="5" style="308" width="66"/>
    <col collapsed="false" customWidth="true" hidden="false" outlineLevel="0" max="7" min="6" style="308" width="25"/>
    <col collapsed="false" customWidth="true" hidden="false" outlineLevel="0" max="8" min="8" style="308" width="27.43"/>
    <col collapsed="false" customWidth="true" hidden="false" outlineLevel="0" max="9" min="9" style="308" width="27.28"/>
    <col collapsed="false" customWidth="true" hidden="false" outlineLevel="0" max="10" min="10" style="308" width="140.86"/>
    <col collapsed="false" customWidth="false" hidden="false" outlineLevel="0" max="13" min="11" style="308" width="11.43"/>
    <col collapsed="false" customWidth="true" hidden="false" outlineLevel="0" max="14" min="14" style="308" width="22.14"/>
    <col collapsed="false" customWidth="false" hidden="false" outlineLevel="0" max="49" min="15" style="308" width="11.43"/>
    <col collapsed="false" customWidth="true" hidden="true" outlineLevel="0" max="85" min="50" style="308" width="10.16"/>
    <col collapsed="false" customWidth="false" hidden="false" outlineLevel="0" max="16384" min="86" style="308" width="11.43"/>
  </cols>
  <sheetData>
    <row r="1" customFormat="false" ht="23.25" hidden="false" customHeight="false" outlineLevel="0" collapsed="false">
      <c r="B1" s="309"/>
      <c r="C1" s="309"/>
      <c r="D1" s="309"/>
      <c r="E1" s="309"/>
      <c r="F1" s="309"/>
      <c r="G1" s="309"/>
      <c r="H1" s="309"/>
      <c r="I1" s="309"/>
      <c r="J1" s="309"/>
      <c r="K1" s="309"/>
      <c r="L1" s="309"/>
    </row>
    <row r="7" customFormat="false" ht="21" hidden="false" customHeight="true" outlineLevel="0" collapsed="false">
      <c r="B7" s="310" t="s">
        <v>104</v>
      </c>
      <c r="C7" s="310"/>
      <c r="D7" s="311"/>
      <c r="E7" s="312"/>
      <c r="F7" s="312"/>
      <c r="G7" s="313"/>
      <c r="H7" s="314"/>
      <c r="I7" s="312"/>
      <c r="J7" s="312"/>
    </row>
    <row r="8" customFormat="false" ht="15" hidden="false" customHeight="false" outlineLevel="0" collapsed="false">
      <c r="B8" s="312"/>
      <c r="C8" s="312"/>
      <c r="D8" s="312"/>
      <c r="E8" s="312"/>
      <c r="F8" s="312"/>
      <c r="G8" s="313"/>
      <c r="H8" s="312"/>
      <c r="I8" s="312"/>
      <c r="J8" s="312"/>
    </row>
    <row r="9" customFormat="false" ht="68.25" hidden="false" customHeight="true" outlineLevel="0" collapsed="false">
      <c r="B9" s="315" t="s">
        <v>105</v>
      </c>
      <c r="C9" s="316" t="s">
        <v>106</v>
      </c>
      <c r="D9" s="316" t="s">
        <v>107</v>
      </c>
      <c r="E9" s="316" t="s">
        <v>108</v>
      </c>
      <c r="F9" s="317" t="s">
        <v>109</v>
      </c>
      <c r="G9" s="317" t="s">
        <v>110</v>
      </c>
      <c r="H9" s="317" t="s">
        <v>111</v>
      </c>
      <c r="I9" s="317" t="s">
        <v>112</v>
      </c>
      <c r="J9" s="318" t="s">
        <v>113</v>
      </c>
      <c r="N9" s="319" t="s">
        <v>114</v>
      </c>
      <c r="O9" s="320" t="n">
        <f aca="false">+COUNTIF(I:I,N9)</f>
        <v>245</v>
      </c>
    </row>
    <row r="10" customFormat="false" ht="85.5" hidden="true" customHeight="true" outlineLevel="0" collapsed="false">
      <c r="B10" s="321" t="n">
        <v>1</v>
      </c>
      <c r="C10" s="322" t="s">
        <v>115</v>
      </c>
      <c r="D10" s="322" t="s">
        <v>116</v>
      </c>
      <c r="E10" s="323" t="s">
        <v>117</v>
      </c>
      <c r="F10" s="319" t="n">
        <v>45455</v>
      </c>
      <c r="G10" s="319" t="n">
        <v>45471</v>
      </c>
      <c r="H10" s="324" t="n">
        <f aca="false">+Tabla42[[#This Row],[Fecha de Respuesta]]-Tabla42[[#This Row],[Fecha de Envio]]</f>
        <v>16</v>
      </c>
      <c r="I10" s="319" t="s">
        <v>114</v>
      </c>
      <c r="J10" s="325" t="s">
        <v>118</v>
      </c>
      <c r="N10" s="319" t="s">
        <v>119</v>
      </c>
      <c r="O10" s="320" t="n">
        <f aca="false">+COUNTIF(I:I,N10)</f>
        <v>1</v>
      </c>
    </row>
    <row r="11" customFormat="false" ht="85.5" hidden="true" customHeight="true" outlineLevel="0" collapsed="false">
      <c r="B11" s="321" t="n">
        <v>2</v>
      </c>
      <c r="C11" s="322" t="s">
        <v>115</v>
      </c>
      <c r="D11" s="322" t="s">
        <v>116</v>
      </c>
      <c r="E11" s="323" t="s">
        <v>120</v>
      </c>
      <c r="F11" s="319" t="n">
        <v>45476</v>
      </c>
      <c r="G11" s="319" t="n">
        <v>45491</v>
      </c>
      <c r="H11" s="324" t="n">
        <f aca="false">+Tabla42[[#This Row],[Fecha de Respuesta]]-Tabla42[[#This Row],[Fecha de Envio]]</f>
        <v>15</v>
      </c>
      <c r="I11" s="319" t="s">
        <v>114</v>
      </c>
      <c r="J11" s="326" t="s">
        <v>121</v>
      </c>
      <c r="N11" s="327" t="s">
        <v>56</v>
      </c>
      <c r="O11" s="320" t="n">
        <f aca="false">+COUNTIF(I:I,N11)</f>
        <v>12</v>
      </c>
    </row>
    <row r="12" customFormat="false" ht="85.5" hidden="true" customHeight="true" outlineLevel="0" collapsed="false">
      <c r="B12" s="321" t="n">
        <v>3</v>
      </c>
      <c r="C12" s="322" t="s">
        <v>115</v>
      </c>
      <c r="D12" s="322" t="s">
        <v>116</v>
      </c>
      <c r="E12" s="323" t="s">
        <v>122</v>
      </c>
      <c r="F12" s="319" t="n">
        <v>45481</v>
      </c>
      <c r="G12" s="319" t="n">
        <v>45485</v>
      </c>
      <c r="H12" s="324" t="n">
        <f aca="false">+Tabla42[[#This Row],[Fecha de Respuesta]]-Tabla42[[#This Row],[Fecha de Envio]]</f>
        <v>4</v>
      </c>
      <c r="I12" s="319" t="s">
        <v>114</v>
      </c>
      <c r="J12" s="326" t="s">
        <v>123</v>
      </c>
      <c r="N12" s="327" t="s">
        <v>124</v>
      </c>
      <c r="O12" s="320" t="n">
        <f aca="false">SUM(O9+O11+O10)</f>
        <v>258</v>
      </c>
    </row>
    <row r="13" customFormat="false" ht="85.5" hidden="true" customHeight="true" outlineLevel="0" collapsed="false">
      <c r="B13" s="321" t="n">
        <v>4</v>
      </c>
      <c r="C13" s="322" t="s">
        <v>115</v>
      </c>
      <c r="D13" s="322" t="s">
        <v>116</v>
      </c>
      <c r="E13" s="323" t="s">
        <v>125</v>
      </c>
      <c r="F13" s="319" t="n">
        <v>45495</v>
      </c>
      <c r="G13" s="319" t="n">
        <v>45505</v>
      </c>
      <c r="H13" s="324" t="n">
        <f aca="false">+Tabla42[[#This Row],[Fecha de Respuesta]]-Tabla42[[#This Row],[Fecha de Envio]]</f>
        <v>10</v>
      </c>
      <c r="I13" s="319" t="s">
        <v>114</v>
      </c>
      <c r="J13" s="326" t="s">
        <v>126</v>
      </c>
    </row>
    <row r="14" customFormat="false" ht="85.5" hidden="true" customHeight="true" outlineLevel="0" collapsed="false">
      <c r="B14" s="321" t="n">
        <v>5</v>
      </c>
      <c r="C14" s="322" t="s">
        <v>115</v>
      </c>
      <c r="D14" s="322" t="s">
        <v>127</v>
      </c>
      <c r="E14" s="323" t="s">
        <v>128</v>
      </c>
      <c r="F14" s="319" t="n">
        <v>45497</v>
      </c>
      <c r="G14" s="319" t="n">
        <v>45502</v>
      </c>
      <c r="H14" s="324" t="n">
        <f aca="false">+Tabla42[[#This Row],[Fecha de Respuesta]]-Tabla42[[#This Row],[Fecha de Envio]]</f>
        <v>5</v>
      </c>
      <c r="I14" s="319" t="s">
        <v>114</v>
      </c>
      <c r="J14" s="326" t="s">
        <v>129</v>
      </c>
    </row>
    <row r="15" customFormat="false" ht="85.5" hidden="true" customHeight="true" outlineLevel="0" collapsed="false">
      <c r="B15" s="321" t="n">
        <v>6</v>
      </c>
      <c r="C15" s="322" t="s">
        <v>115</v>
      </c>
      <c r="D15" s="322" t="s">
        <v>127</v>
      </c>
      <c r="E15" s="323" t="s">
        <v>130</v>
      </c>
      <c r="F15" s="319" t="n">
        <v>45497</v>
      </c>
      <c r="G15" s="319" t="n">
        <v>45505</v>
      </c>
      <c r="H15" s="324" t="n">
        <f aca="false">+Tabla42[[#This Row],[Fecha de Respuesta]]-Tabla42[[#This Row],[Fecha de Envio]]</f>
        <v>8</v>
      </c>
      <c r="I15" s="319" t="s">
        <v>114</v>
      </c>
      <c r="J15" s="326" t="s">
        <v>131</v>
      </c>
    </row>
    <row r="16" customFormat="false" ht="85.5" hidden="true" customHeight="true" outlineLevel="0" collapsed="false">
      <c r="B16" s="321" t="n">
        <v>7</v>
      </c>
      <c r="C16" s="322" t="s">
        <v>115</v>
      </c>
      <c r="D16" s="322" t="s">
        <v>127</v>
      </c>
      <c r="E16" s="323" t="s">
        <v>132</v>
      </c>
      <c r="F16" s="319" t="n">
        <v>45497</v>
      </c>
      <c r="G16" s="319" t="n">
        <v>45505</v>
      </c>
      <c r="H16" s="324" t="n">
        <f aca="false">+Tabla42[[#This Row],[Fecha de Respuesta]]-Tabla42[[#This Row],[Fecha de Envio]]</f>
        <v>8</v>
      </c>
      <c r="I16" s="319" t="s">
        <v>114</v>
      </c>
      <c r="J16" s="326" t="s">
        <v>133</v>
      </c>
    </row>
    <row r="17" customFormat="false" ht="85.5" hidden="true" customHeight="true" outlineLevel="0" collapsed="false">
      <c r="B17" s="321" t="n">
        <v>8</v>
      </c>
      <c r="C17" s="322" t="s">
        <v>115</v>
      </c>
      <c r="D17" s="322" t="s">
        <v>127</v>
      </c>
      <c r="E17" s="323" t="s">
        <v>134</v>
      </c>
      <c r="F17" s="319" t="n">
        <v>45502</v>
      </c>
      <c r="G17" s="319" t="n">
        <v>45510</v>
      </c>
      <c r="H17" s="324" t="n">
        <f aca="false">+Tabla42[[#This Row],[Fecha de Respuesta]]-Tabla42[[#This Row],[Fecha de Envio]]</f>
        <v>8</v>
      </c>
      <c r="I17" s="319" t="s">
        <v>114</v>
      </c>
      <c r="J17" s="326" t="s">
        <v>135</v>
      </c>
    </row>
    <row r="18" customFormat="false" ht="85.5" hidden="true" customHeight="true" outlineLevel="0" collapsed="false">
      <c r="B18" s="321" t="n">
        <v>9</v>
      </c>
      <c r="C18" s="322" t="s">
        <v>115</v>
      </c>
      <c r="D18" s="322" t="s">
        <v>127</v>
      </c>
      <c r="E18" s="323" t="s">
        <v>136</v>
      </c>
      <c r="F18" s="319" t="n">
        <v>45502</v>
      </c>
      <c r="G18" s="319" t="n">
        <v>45569</v>
      </c>
      <c r="H18" s="324" t="n">
        <f aca="false">+Tabla42[[#This Row],[Fecha de Respuesta]]-Tabla42[[#This Row],[Fecha de Envio]]</f>
        <v>67</v>
      </c>
      <c r="I18" s="319" t="s">
        <v>114</v>
      </c>
      <c r="J18" s="326" t="s">
        <v>137</v>
      </c>
    </row>
    <row r="19" customFormat="false" ht="85.5" hidden="true" customHeight="true" outlineLevel="0" collapsed="false">
      <c r="B19" s="321" t="n">
        <v>10</v>
      </c>
      <c r="C19" s="322" t="s">
        <v>115</v>
      </c>
      <c r="D19" s="322" t="s">
        <v>127</v>
      </c>
      <c r="E19" s="323" t="s">
        <v>138</v>
      </c>
      <c r="F19" s="319" t="n">
        <v>45502</v>
      </c>
      <c r="G19" s="319" t="n">
        <v>45684</v>
      </c>
      <c r="H19" s="324" t="n">
        <f aca="false">+Tabla42[[#This Row],[Fecha de Respuesta]]-Tabla42[[#This Row],[Fecha de Envio]]</f>
        <v>182</v>
      </c>
      <c r="I19" s="319" t="s">
        <v>114</v>
      </c>
      <c r="J19" s="326" t="s">
        <v>139</v>
      </c>
    </row>
    <row r="20" customFormat="false" ht="85.5" hidden="true" customHeight="true" outlineLevel="0" collapsed="false">
      <c r="B20" s="321" t="s">
        <v>140</v>
      </c>
      <c r="C20" s="322" t="s">
        <v>115</v>
      </c>
      <c r="D20" s="322" t="s">
        <v>127</v>
      </c>
      <c r="E20" s="323" t="s">
        <v>138</v>
      </c>
      <c r="F20" s="319" t="n">
        <v>45800</v>
      </c>
      <c r="G20" s="319" t="n">
        <v>45805</v>
      </c>
      <c r="H20" s="324" t="n">
        <f aca="false">+Tabla42[[#This Row],[Fecha de Respuesta]]-Tabla42[[#This Row],[Fecha de Envio]]</f>
        <v>5</v>
      </c>
      <c r="I20" s="319" t="s">
        <v>114</v>
      </c>
      <c r="J20" s="326" t="s">
        <v>141</v>
      </c>
    </row>
    <row r="21" customFormat="false" ht="85.5" hidden="true" customHeight="true" outlineLevel="0" collapsed="false">
      <c r="B21" s="321" t="s">
        <v>142</v>
      </c>
      <c r="C21" s="322" t="s">
        <v>115</v>
      </c>
      <c r="D21" s="322" t="s">
        <v>127</v>
      </c>
      <c r="E21" s="323" t="s">
        <v>138</v>
      </c>
      <c r="F21" s="319" t="n">
        <v>45810</v>
      </c>
      <c r="G21" s="319" t="n">
        <v>45814</v>
      </c>
      <c r="H21" s="324" t="n">
        <f aca="false">+Tabla42[[#This Row],[Fecha de Respuesta]]-Tabla42[[#This Row],[Fecha de Envio]]</f>
        <v>4</v>
      </c>
      <c r="I21" s="319" t="s">
        <v>114</v>
      </c>
      <c r="J21" s="326" t="s">
        <v>143</v>
      </c>
    </row>
    <row r="22" customFormat="false" ht="85.5" hidden="true" customHeight="true" outlineLevel="0" collapsed="false">
      <c r="B22" s="321" t="n">
        <v>11</v>
      </c>
      <c r="C22" s="322" t="s">
        <v>115</v>
      </c>
      <c r="D22" s="322" t="s">
        <v>127</v>
      </c>
      <c r="E22" s="323" t="s">
        <v>136</v>
      </c>
      <c r="F22" s="319" t="n">
        <v>45502</v>
      </c>
      <c r="G22" s="319" t="n">
        <v>45540</v>
      </c>
      <c r="H22" s="324" t="n">
        <f aca="false">+Tabla42[[#This Row],[Fecha de Respuesta]]-Tabla42[[#This Row],[Fecha de Envio]]</f>
        <v>38</v>
      </c>
      <c r="I22" s="319" t="s">
        <v>114</v>
      </c>
      <c r="J22" s="326" t="s">
        <v>144</v>
      </c>
    </row>
    <row r="23" customFormat="false" ht="85.5" hidden="true" customHeight="true" outlineLevel="0" collapsed="false">
      <c r="B23" s="321" t="n">
        <v>12</v>
      </c>
      <c r="C23" s="322" t="s">
        <v>115</v>
      </c>
      <c r="D23" s="322" t="s">
        <v>127</v>
      </c>
      <c r="E23" s="323" t="s">
        <v>136</v>
      </c>
      <c r="F23" s="319" t="n">
        <v>45502</v>
      </c>
      <c r="G23" s="319" t="n">
        <v>45569</v>
      </c>
      <c r="H23" s="324" t="n">
        <f aca="false">+Tabla42[[#This Row],[Fecha de Respuesta]]-Tabla42[[#This Row],[Fecha de Envio]]</f>
        <v>67</v>
      </c>
      <c r="I23" s="319" t="s">
        <v>114</v>
      </c>
      <c r="J23" s="326" t="s">
        <v>137</v>
      </c>
    </row>
    <row r="24" customFormat="false" ht="85.5" hidden="true" customHeight="true" outlineLevel="0" collapsed="false">
      <c r="B24" s="321" t="n">
        <v>13</v>
      </c>
      <c r="C24" s="322" t="s">
        <v>115</v>
      </c>
      <c r="D24" s="322" t="s">
        <v>116</v>
      </c>
      <c r="E24" s="323" t="s">
        <v>145</v>
      </c>
      <c r="F24" s="319" t="n">
        <v>45502</v>
      </c>
      <c r="G24" s="319" t="n">
        <v>45639</v>
      </c>
      <c r="H24" s="324" t="n">
        <f aca="false">+Tabla42[[#This Row],[Fecha de Respuesta]]-Tabla42[[#This Row],[Fecha de Envio]]</f>
        <v>137</v>
      </c>
      <c r="I24" s="319" t="s">
        <v>114</v>
      </c>
      <c r="J24" s="326" t="s">
        <v>146</v>
      </c>
    </row>
    <row r="25" customFormat="false" ht="85.5" hidden="true" customHeight="true" outlineLevel="0" collapsed="false">
      <c r="B25" s="321" t="n">
        <v>14</v>
      </c>
      <c r="C25" s="322" t="s">
        <v>115</v>
      </c>
      <c r="D25" s="322" t="s">
        <v>127</v>
      </c>
      <c r="E25" s="323" t="s">
        <v>147</v>
      </c>
      <c r="F25" s="319" t="n">
        <v>45502</v>
      </c>
      <c r="G25" s="319" t="n">
        <v>45540</v>
      </c>
      <c r="H25" s="324" t="n">
        <f aca="false">+Tabla42[[#This Row],[Fecha de Respuesta]]-Tabla42[[#This Row],[Fecha de Envio]]</f>
        <v>38</v>
      </c>
      <c r="I25" s="319" t="s">
        <v>114</v>
      </c>
      <c r="J25" s="326" t="s">
        <v>148</v>
      </c>
    </row>
    <row r="26" customFormat="false" ht="85.5" hidden="true" customHeight="true" outlineLevel="0" collapsed="false">
      <c r="B26" s="321" t="n">
        <v>15</v>
      </c>
      <c r="C26" s="322" t="s">
        <v>115</v>
      </c>
      <c r="D26" s="322" t="s">
        <v>127</v>
      </c>
      <c r="E26" s="323" t="s">
        <v>149</v>
      </c>
      <c r="F26" s="319" t="n">
        <v>45502</v>
      </c>
      <c r="G26" s="319" t="n">
        <v>45505</v>
      </c>
      <c r="H26" s="324" t="n">
        <f aca="false">+Tabla42[[#This Row],[Fecha de Respuesta]]-Tabla42[[#This Row],[Fecha de Envio]]</f>
        <v>3</v>
      </c>
      <c r="I26" s="319" t="s">
        <v>114</v>
      </c>
      <c r="J26" s="326" t="s">
        <v>150</v>
      </c>
    </row>
    <row r="27" customFormat="false" ht="85.5" hidden="true" customHeight="true" outlineLevel="0" collapsed="false">
      <c r="B27" s="321" t="n">
        <v>16</v>
      </c>
      <c r="C27" s="322" t="s">
        <v>115</v>
      </c>
      <c r="D27" s="322" t="s">
        <v>127</v>
      </c>
      <c r="E27" s="323" t="s">
        <v>151</v>
      </c>
      <c r="F27" s="319" t="n">
        <v>45136</v>
      </c>
      <c r="G27" s="319" t="n">
        <v>45505</v>
      </c>
      <c r="H27" s="324" t="n">
        <f aca="false">+Tabla42[[#This Row],[Fecha de Respuesta]]-Tabla42[[#This Row],[Fecha de Envio]]</f>
        <v>369</v>
      </c>
      <c r="I27" s="319" t="s">
        <v>114</v>
      </c>
      <c r="J27" s="326" t="s">
        <v>152</v>
      </c>
    </row>
    <row r="28" customFormat="false" ht="85.5" hidden="true" customHeight="true" outlineLevel="0" collapsed="false">
      <c r="B28" s="321" t="n">
        <v>17</v>
      </c>
      <c r="C28" s="322" t="s">
        <v>115</v>
      </c>
      <c r="D28" s="322" t="s">
        <v>127</v>
      </c>
      <c r="E28" s="323" t="s">
        <v>153</v>
      </c>
      <c r="F28" s="319" t="n">
        <v>45503</v>
      </c>
      <c r="G28" s="319" t="n">
        <v>45505</v>
      </c>
      <c r="H28" s="324" t="n">
        <f aca="false">+Tabla42[[#This Row],[Fecha de Respuesta]]-Tabla42[[#This Row],[Fecha de Envio]]</f>
        <v>2</v>
      </c>
      <c r="I28" s="319" t="s">
        <v>114</v>
      </c>
      <c r="J28" s="326" t="s">
        <v>154</v>
      </c>
    </row>
    <row r="29" customFormat="false" ht="85.5" hidden="true" customHeight="true" outlineLevel="0" collapsed="false">
      <c r="B29" s="321" t="n">
        <v>18</v>
      </c>
      <c r="C29" s="322" t="s">
        <v>115</v>
      </c>
      <c r="D29" s="322" t="s">
        <v>116</v>
      </c>
      <c r="E29" s="323" t="s">
        <v>155</v>
      </c>
      <c r="F29" s="319" t="n">
        <v>45524</v>
      </c>
      <c r="G29" s="319" t="n">
        <v>45547</v>
      </c>
      <c r="H29" s="324" t="n">
        <f aca="false">+Tabla42[[#This Row],[Fecha de Respuesta]]-Tabla42[[#This Row],[Fecha de Envio]]</f>
        <v>23</v>
      </c>
      <c r="I29" s="319" t="s">
        <v>114</v>
      </c>
      <c r="J29" s="326" t="s">
        <v>139</v>
      </c>
    </row>
    <row r="30" customFormat="false" ht="85.5" hidden="true" customHeight="true" outlineLevel="0" collapsed="false">
      <c r="B30" s="321" t="n">
        <v>19</v>
      </c>
      <c r="C30" s="322" t="s">
        <v>115</v>
      </c>
      <c r="D30" s="322" t="s">
        <v>5</v>
      </c>
      <c r="E30" s="323" t="s">
        <v>156</v>
      </c>
      <c r="F30" s="319" t="n">
        <v>45524</v>
      </c>
      <c r="G30" s="319" t="n">
        <v>45545</v>
      </c>
      <c r="H30" s="324" t="n">
        <f aca="false">+Tabla42[[#This Row],[Fecha de Respuesta]]-Tabla42[[#This Row],[Fecha de Envio]]</f>
        <v>21</v>
      </c>
      <c r="I30" s="319" t="s">
        <v>114</v>
      </c>
      <c r="J30" s="326" t="s">
        <v>157</v>
      </c>
    </row>
    <row r="31" customFormat="false" ht="85.5" hidden="true" customHeight="true" outlineLevel="0" collapsed="false">
      <c r="B31" s="321" t="n">
        <v>20</v>
      </c>
      <c r="C31" s="322" t="s">
        <v>115</v>
      </c>
      <c r="D31" s="322" t="s">
        <v>127</v>
      </c>
      <c r="E31" s="323" t="s">
        <v>158</v>
      </c>
      <c r="F31" s="319" t="n">
        <v>45527</v>
      </c>
      <c r="G31" s="319" t="n">
        <v>45576</v>
      </c>
      <c r="H31" s="324" t="n">
        <f aca="false">+Tabla42[[#This Row],[Fecha de Respuesta]]-Tabla42[[#This Row],[Fecha de Envio]]</f>
        <v>49</v>
      </c>
      <c r="I31" s="319" t="s">
        <v>114</v>
      </c>
      <c r="J31" s="326" t="s">
        <v>159</v>
      </c>
    </row>
    <row r="32" customFormat="false" ht="85.5" hidden="true" customHeight="true" outlineLevel="0" collapsed="false">
      <c r="B32" s="321" t="n">
        <v>21</v>
      </c>
      <c r="C32" s="322" t="s">
        <v>115</v>
      </c>
      <c r="D32" s="322" t="s">
        <v>127</v>
      </c>
      <c r="E32" s="323" t="s">
        <v>160</v>
      </c>
      <c r="F32" s="319" t="n">
        <v>45534</v>
      </c>
      <c r="G32" s="319" t="n">
        <v>45547</v>
      </c>
      <c r="H32" s="324" t="n">
        <f aca="false">+Tabla42[[#This Row],[Fecha de Respuesta]]-Tabla42[[#This Row],[Fecha de Envio]]</f>
        <v>13</v>
      </c>
      <c r="I32" s="319" t="s">
        <v>114</v>
      </c>
      <c r="J32" s="326" t="s">
        <v>161</v>
      </c>
    </row>
    <row r="33" customFormat="false" ht="85.5" hidden="true" customHeight="true" outlineLevel="0" collapsed="false">
      <c r="B33" s="321" t="n">
        <v>22</v>
      </c>
      <c r="C33" s="322" t="s">
        <v>115</v>
      </c>
      <c r="D33" s="322" t="s">
        <v>127</v>
      </c>
      <c r="E33" s="323" t="s">
        <v>162</v>
      </c>
      <c r="F33" s="319" t="n">
        <v>45538</v>
      </c>
      <c r="G33" s="319" t="n">
        <v>45629</v>
      </c>
      <c r="H33" s="324" t="n">
        <f aca="false">+Tabla42[[#This Row],[Fecha de Respuesta]]-Tabla42[[#This Row],[Fecha de Envio]]</f>
        <v>91</v>
      </c>
      <c r="I33" s="319" t="s">
        <v>114</v>
      </c>
      <c r="J33" s="326" t="s">
        <v>163</v>
      </c>
    </row>
    <row r="34" customFormat="false" ht="85.5" hidden="true" customHeight="true" outlineLevel="0" collapsed="false">
      <c r="B34" s="321" t="n">
        <v>23</v>
      </c>
      <c r="C34" s="322" t="s">
        <v>115</v>
      </c>
      <c r="D34" s="322" t="s">
        <v>127</v>
      </c>
      <c r="E34" s="323" t="s">
        <v>153</v>
      </c>
      <c r="F34" s="319" t="n">
        <v>45538</v>
      </c>
      <c r="G34" s="319" t="n">
        <v>45573</v>
      </c>
      <c r="H34" s="324" t="n">
        <f aca="false">+Tabla42[[#This Row],[Fecha de Respuesta]]-Tabla42[[#This Row],[Fecha de Envio]]</f>
        <v>35</v>
      </c>
      <c r="I34" s="319" t="s">
        <v>114</v>
      </c>
      <c r="J34" s="326"/>
    </row>
    <row r="35" customFormat="false" ht="85.5" hidden="true" customHeight="true" outlineLevel="0" collapsed="false">
      <c r="B35" s="321" t="n">
        <v>24</v>
      </c>
      <c r="C35" s="322" t="s">
        <v>115</v>
      </c>
      <c r="D35" s="322" t="s">
        <v>127</v>
      </c>
      <c r="E35" s="323" t="s">
        <v>164</v>
      </c>
      <c r="F35" s="319" t="n">
        <v>45540</v>
      </c>
      <c r="G35" s="319" t="n">
        <v>45541</v>
      </c>
      <c r="H35" s="324" t="n">
        <f aca="false">+Tabla42[[#This Row],[Fecha de Respuesta]]-Tabla42[[#This Row],[Fecha de Envio]]</f>
        <v>1</v>
      </c>
      <c r="I35" s="319" t="s">
        <v>114</v>
      </c>
      <c r="J35" s="326" t="s">
        <v>165</v>
      </c>
    </row>
    <row r="36" customFormat="false" ht="85.5" hidden="true" customHeight="true" outlineLevel="0" collapsed="false">
      <c r="B36" s="321" t="n">
        <v>25</v>
      </c>
      <c r="C36" s="322" t="s">
        <v>115</v>
      </c>
      <c r="D36" s="322" t="s">
        <v>127</v>
      </c>
      <c r="E36" s="323" t="s">
        <v>166</v>
      </c>
      <c r="F36" s="319" t="n">
        <v>45544</v>
      </c>
      <c r="G36" s="319" t="n">
        <v>45546</v>
      </c>
      <c r="H36" s="324" t="n">
        <f aca="false">+Tabla42[[#This Row],[Fecha de Respuesta]]-Tabla42[[#This Row],[Fecha de Envio]]</f>
        <v>2</v>
      </c>
      <c r="I36" s="319" t="s">
        <v>114</v>
      </c>
      <c r="J36" s="326" t="s">
        <v>167</v>
      </c>
    </row>
    <row r="37" customFormat="false" ht="85.5" hidden="true" customHeight="true" outlineLevel="0" collapsed="false">
      <c r="B37" s="321" t="n">
        <v>26</v>
      </c>
      <c r="C37" s="322" t="s">
        <v>115</v>
      </c>
      <c r="D37" s="322" t="s">
        <v>127</v>
      </c>
      <c r="E37" s="323" t="s">
        <v>168</v>
      </c>
      <c r="F37" s="319" t="n">
        <v>45547</v>
      </c>
      <c r="G37" s="319" t="n">
        <v>45569</v>
      </c>
      <c r="H37" s="324" t="n">
        <f aca="false">+Tabla42[[#This Row],[Fecha de Respuesta]]-Tabla42[[#This Row],[Fecha de Envio]]</f>
        <v>22</v>
      </c>
      <c r="I37" s="319" t="s">
        <v>114</v>
      </c>
      <c r="J37" s="326" t="s">
        <v>169</v>
      </c>
    </row>
    <row r="38" customFormat="false" ht="85.5" hidden="true" customHeight="true" outlineLevel="0" collapsed="false">
      <c r="B38" s="321" t="s">
        <v>170</v>
      </c>
      <c r="C38" s="322" t="s">
        <v>115</v>
      </c>
      <c r="D38" s="328" t="s">
        <v>171</v>
      </c>
      <c r="E38" s="329" t="s">
        <v>172</v>
      </c>
      <c r="F38" s="330" t="n">
        <v>45547</v>
      </c>
      <c r="G38" s="319" t="n">
        <v>45923</v>
      </c>
      <c r="H38" s="324" t="n">
        <f aca="false">+Tabla42[[#This Row],[Fecha de Respuesta]]-Tabla42[[#This Row],[Fecha de Envio]]</f>
        <v>376</v>
      </c>
      <c r="I38" s="319" t="s">
        <v>114</v>
      </c>
      <c r="J38" s="326" t="s">
        <v>173</v>
      </c>
    </row>
    <row r="39" customFormat="false" ht="85.5" hidden="true" customHeight="true" outlineLevel="0" collapsed="false">
      <c r="B39" s="321" t="s">
        <v>174</v>
      </c>
      <c r="C39" s="322" t="s">
        <v>115</v>
      </c>
      <c r="D39" s="328" t="s">
        <v>171</v>
      </c>
      <c r="E39" s="329" t="s">
        <v>175</v>
      </c>
      <c r="F39" s="330" t="n">
        <v>45548</v>
      </c>
      <c r="G39" s="319" t="n">
        <v>45639</v>
      </c>
      <c r="H39" s="324" t="n">
        <f aca="false">+Tabla42[[#This Row],[Fecha de Respuesta]]-Tabla42[[#This Row],[Fecha de Envio]]</f>
        <v>91</v>
      </c>
      <c r="I39" s="319" t="s">
        <v>114</v>
      </c>
      <c r="J39" s="326" t="s">
        <v>176</v>
      </c>
    </row>
    <row r="40" customFormat="false" ht="85.5" hidden="true" customHeight="true" outlineLevel="0" collapsed="false">
      <c r="B40" s="321" t="s">
        <v>177</v>
      </c>
      <c r="C40" s="322" t="s">
        <v>115</v>
      </c>
      <c r="D40" s="328" t="s">
        <v>171</v>
      </c>
      <c r="E40" s="329" t="s">
        <v>178</v>
      </c>
      <c r="F40" s="330" t="n">
        <v>45548</v>
      </c>
      <c r="G40" s="319" t="n">
        <v>45558</v>
      </c>
      <c r="H40" s="324" t="n">
        <f aca="false">+Tabla42[[#This Row],[Fecha de Respuesta]]-Tabla42[[#This Row],[Fecha de Envio]]</f>
        <v>10</v>
      </c>
      <c r="I40" s="319" t="s">
        <v>114</v>
      </c>
      <c r="J40" s="326" t="s">
        <v>179</v>
      </c>
    </row>
    <row r="41" customFormat="false" ht="85.5" hidden="true" customHeight="true" outlineLevel="0" collapsed="false">
      <c r="B41" s="321" t="s">
        <v>180</v>
      </c>
      <c r="C41" s="322" t="s">
        <v>115</v>
      </c>
      <c r="D41" s="322" t="s">
        <v>127</v>
      </c>
      <c r="E41" s="329" t="s">
        <v>181</v>
      </c>
      <c r="F41" s="330" t="n">
        <v>45548</v>
      </c>
      <c r="G41" s="319"/>
      <c r="H41" s="324"/>
      <c r="I41" s="319" t="s">
        <v>119</v>
      </c>
      <c r="J41" s="326"/>
    </row>
    <row r="42" customFormat="false" ht="85.5" hidden="true" customHeight="true" outlineLevel="0" collapsed="false">
      <c r="B42" s="321" t="s">
        <v>182</v>
      </c>
      <c r="C42" s="322" t="s">
        <v>115</v>
      </c>
      <c r="D42" s="322" t="s">
        <v>183</v>
      </c>
      <c r="E42" s="329" t="s">
        <v>184</v>
      </c>
      <c r="F42" s="330" t="n">
        <v>45548</v>
      </c>
      <c r="G42" s="319" t="n">
        <v>45573</v>
      </c>
      <c r="H42" s="324" t="n">
        <f aca="false">+Tabla42[[#This Row],[Fecha de Respuesta]]-Tabla42[[#This Row],[Fecha de Envio]]</f>
        <v>25</v>
      </c>
      <c r="I42" s="319" t="s">
        <v>114</v>
      </c>
      <c r="J42" s="326" t="s">
        <v>185</v>
      </c>
    </row>
    <row r="43" customFormat="false" ht="85.5" hidden="true" customHeight="true" outlineLevel="0" collapsed="false">
      <c r="B43" s="321" t="s">
        <v>186</v>
      </c>
      <c r="C43" s="322" t="s">
        <v>115</v>
      </c>
      <c r="D43" s="322" t="s">
        <v>183</v>
      </c>
      <c r="E43" s="329" t="s">
        <v>187</v>
      </c>
      <c r="F43" s="330" t="n">
        <v>45558</v>
      </c>
      <c r="G43" s="319" t="n">
        <v>45639</v>
      </c>
      <c r="H43" s="324" t="n">
        <f aca="false">+Tabla42[[#This Row],[Fecha de Respuesta]]-Tabla42[[#This Row],[Fecha de Envio]]</f>
        <v>81</v>
      </c>
      <c r="I43" s="319" t="s">
        <v>114</v>
      </c>
      <c r="J43" s="326" t="s">
        <v>188</v>
      </c>
    </row>
    <row r="44" customFormat="false" ht="85.5" hidden="true" customHeight="true" outlineLevel="0" collapsed="false">
      <c r="B44" s="321" t="s">
        <v>189</v>
      </c>
      <c r="C44" s="322" t="s">
        <v>115</v>
      </c>
      <c r="D44" s="322" t="s">
        <v>183</v>
      </c>
      <c r="E44" s="329" t="s">
        <v>190</v>
      </c>
      <c r="F44" s="330" t="n">
        <v>45559</v>
      </c>
      <c r="G44" s="319" t="n">
        <v>45583</v>
      </c>
      <c r="H44" s="324" t="n">
        <f aca="false">+Tabla42[[#This Row],[Fecha de Respuesta]]-Tabla42[[#This Row],[Fecha de Envio]]</f>
        <v>24</v>
      </c>
      <c r="I44" s="319" t="s">
        <v>114</v>
      </c>
      <c r="J44" s="326" t="s">
        <v>191</v>
      </c>
    </row>
    <row r="45" customFormat="false" ht="85.5" hidden="true" customHeight="true" outlineLevel="0" collapsed="false">
      <c r="B45" s="321" t="s">
        <v>192</v>
      </c>
      <c r="C45" s="322" t="s">
        <v>115</v>
      </c>
      <c r="D45" s="322" t="s">
        <v>183</v>
      </c>
      <c r="E45" s="329" t="s">
        <v>190</v>
      </c>
      <c r="F45" s="319" t="n">
        <v>45579</v>
      </c>
      <c r="G45" s="319" t="n">
        <v>45583</v>
      </c>
      <c r="H45" s="324" t="n">
        <f aca="false">+Tabla42[[#This Row],[Fecha de Respuesta]]-Tabla42[[#This Row],[Fecha de Envio]]</f>
        <v>4</v>
      </c>
      <c r="I45" s="319" t="str">
        <f aca="false">+IF(Tabla42[[#This Row],[Fecha de Respuesta]]&gt;0,"Cerrada","Pendiente")</f>
        <v>Cerrada</v>
      </c>
      <c r="J45" s="331" t="s">
        <v>193</v>
      </c>
    </row>
    <row r="46" customFormat="false" ht="85.5" hidden="true" customHeight="true" outlineLevel="0" collapsed="false">
      <c r="B46" s="321" t="s">
        <v>194</v>
      </c>
      <c r="C46" s="322" t="s">
        <v>115</v>
      </c>
      <c r="D46" s="328" t="s">
        <v>171</v>
      </c>
      <c r="E46" s="329" t="s">
        <v>195</v>
      </c>
      <c r="F46" s="330" t="n">
        <v>45560</v>
      </c>
      <c r="G46" s="319" t="n">
        <v>45593</v>
      </c>
      <c r="H46" s="324" t="n">
        <f aca="false">+Tabla42[[#This Row],[Fecha de Respuesta]]-Tabla42[[#This Row],[Fecha de Envio]]</f>
        <v>33</v>
      </c>
      <c r="I46" s="319" t="s">
        <v>114</v>
      </c>
      <c r="J46" s="326" t="s">
        <v>196</v>
      </c>
    </row>
    <row r="47" customFormat="false" ht="85.5" hidden="true" customHeight="true" outlineLevel="0" collapsed="false">
      <c r="B47" s="321" t="s">
        <v>197</v>
      </c>
      <c r="C47" s="322" t="s">
        <v>115</v>
      </c>
      <c r="D47" s="322" t="s">
        <v>127</v>
      </c>
      <c r="E47" s="329" t="s">
        <v>198</v>
      </c>
      <c r="F47" s="330" t="n">
        <v>45560</v>
      </c>
      <c r="G47" s="319" t="n">
        <v>45575</v>
      </c>
      <c r="H47" s="324" t="n">
        <f aca="false">+Tabla42[[#This Row],[Fecha de Respuesta]]-Tabla42[[#This Row],[Fecha de Envio]]</f>
        <v>15</v>
      </c>
      <c r="I47" s="319" t="s">
        <v>114</v>
      </c>
      <c r="J47" s="326" t="s">
        <v>199</v>
      </c>
    </row>
    <row r="48" customFormat="false" ht="85.5" hidden="true" customHeight="true" outlineLevel="0" collapsed="false">
      <c r="B48" s="321" t="s">
        <v>200</v>
      </c>
      <c r="C48" s="322" t="s">
        <v>115</v>
      </c>
      <c r="D48" s="322" t="s">
        <v>116</v>
      </c>
      <c r="E48" s="329" t="s">
        <v>201</v>
      </c>
      <c r="F48" s="330" t="n">
        <v>45561</v>
      </c>
      <c r="G48" s="319" t="n">
        <v>45694</v>
      </c>
      <c r="H48" s="324" t="n">
        <f aca="false">+Tabla42[[#This Row],[Fecha de Respuesta]]-Tabla42[[#This Row],[Fecha de Envio]]</f>
        <v>133</v>
      </c>
      <c r="I48" s="319" t="s">
        <v>114</v>
      </c>
      <c r="J48" s="326" t="s">
        <v>202</v>
      </c>
    </row>
    <row r="49" customFormat="false" ht="85.5" hidden="true" customHeight="true" outlineLevel="0" collapsed="false">
      <c r="B49" s="321" t="s">
        <v>203</v>
      </c>
      <c r="C49" s="322" t="s">
        <v>115</v>
      </c>
      <c r="D49" s="322" t="s">
        <v>116</v>
      </c>
      <c r="E49" s="329" t="s">
        <v>204</v>
      </c>
      <c r="F49" s="330" t="n">
        <v>45561</v>
      </c>
      <c r="G49" s="319" t="n">
        <v>45623</v>
      </c>
      <c r="H49" s="324" t="n">
        <f aca="false">+Tabla42[[#This Row],[Fecha de Respuesta]]-Tabla42[[#This Row],[Fecha de Envio]]</f>
        <v>62</v>
      </c>
      <c r="I49" s="319" t="s">
        <v>114</v>
      </c>
      <c r="J49" s="326" t="s">
        <v>205</v>
      </c>
    </row>
    <row r="50" customFormat="false" ht="85.5" hidden="true" customHeight="true" outlineLevel="0" collapsed="false">
      <c r="B50" s="321" t="s">
        <v>206</v>
      </c>
      <c r="C50" s="322" t="s">
        <v>115</v>
      </c>
      <c r="D50" s="322" t="s">
        <v>127</v>
      </c>
      <c r="E50" s="329" t="s">
        <v>207</v>
      </c>
      <c r="F50" s="330" t="n">
        <v>45561</v>
      </c>
      <c r="G50" s="319" t="n">
        <v>45569</v>
      </c>
      <c r="H50" s="324" t="n">
        <f aca="false">+Tabla42[[#This Row],[Fecha de Respuesta]]-Tabla42[[#This Row],[Fecha de Envio]]</f>
        <v>8</v>
      </c>
      <c r="I50" s="319" t="s">
        <v>114</v>
      </c>
      <c r="J50" s="326" t="s">
        <v>159</v>
      </c>
    </row>
    <row r="51" customFormat="false" ht="85.5" hidden="true" customHeight="true" outlineLevel="0" collapsed="false">
      <c r="B51" s="321" t="s">
        <v>208</v>
      </c>
      <c r="C51" s="322" t="s">
        <v>115</v>
      </c>
      <c r="D51" s="322" t="s">
        <v>183</v>
      </c>
      <c r="E51" s="329" t="s">
        <v>209</v>
      </c>
      <c r="F51" s="330" t="n">
        <v>45561</v>
      </c>
      <c r="G51" s="319" t="n">
        <v>45579</v>
      </c>
      <c r="H51" s="324" t="n">
        <f aca="false">+Tabla42[[#This Row],[Fecha de Respuesta]]-Tabla42[[#This Row],[Fecha de Envio]]</f>
        <v>18</v>
      </c>
      <c r="I51" s="319" t="s">
        <v>114</v>
      </c>
      <c r="J51" s="326" t="s">
        <v>210</v>
      </c>
    </row>
    <row r="52" customFormat="false" ht="85.5" hidden="true" customHeight="true" outlineLevel="0" collapsed="false">
      <c r="B52" s="332" t="n">
        <v>40</v>
      </c>
      <c r="C52" s="322" t="s">
        <v>115</v>
      </c>
      <c r="D52" s="322" t="s">
        <v>116</v>
      </c>
      <c r="E52" s="323" t="s">
        <v>211</v>
      </c>
      <c r="F52" s="319" t="n">
        <v>45926</v>
      </c>
      <c r="G52" s="319" t="n">
        <v>45953</v>
      </c>
      <c r="H52" s="324" t="n">
        <f aca="false">+Tabla42[[#This Row],[Fecha de Respuesta]]-Tabla42[[#This Row],[Fecha de Envio]]</f>
        <v>27</v>
      </c>
      <c r="I52" s="319" t="s">
        <v>114</v>
      </c>
      <c r="J52" s="331" t="s">
        <v>212</v>
      </c>
    </row>
    <row r="53" customFormat="false" ht="85.5" hidden="true" customHeight="true" outlineLevel="0" collapsed="false">
      <c r="B53" s="321" t="s">
        <v>213</v>
      </c>
      <c r="C53" s="322" t="s">
        <v>115</v>
      </c>
      <c r="D53" s="322" t="s">
        <v>116</v>
      </c>
      <c r="E53" s="323" t="s">
        <v>211</v>
      </c>
      <c r="F53" s="330" t="n">
        <v>45603</v>
      </c>
      <c r="G53" s="319" t="n">
        <v>45629</v>
      </c>
      <c r="H53" s="324" t="n">
        <f aca="false">+Tabla42[[#This Row],[Fecha de Respuesta]]-Tabla42[[#This Row],[Fecha de Envio]]</f>
        <v>26</v>
      </c>
      <c r="I53" s="319" t="s">
        <v>114</v>
      </c>
      <c r="J53" s="326" t="s">
        <v>214</v>
      </c>
    </row>
    <row r="54" customFormat="false" ht="85.5" hidden="true" customHeight="true" outlineLevel="0" collapsed="false">
      <c r="B54" s="321" t="n">
        <v>41</v>
      </c>
      <c r="C54" s="322" t="s">
        <v>115</v>
      </c>
      <c r="D54" s="322" t="s">
        <v>116</v>
      </c>
      <c r="E54" s="323" t="s">
        <v>215</v>
      </c>
      <c r="F54" s="319" t="n">
        <v>45561</v>
      </c>
      <c r="G54" s="319" t="n">
        <v>45572</v>
      </c>
      <c r="H54" s="324" t="n">
        <f aca="false">+Tabla42[[#This Row],[Fecha de Respuesta]]-Tabla42[[#This Row],[Fecha de Envio]]</f>
        <v>11</v>
      </c>
      <c r="I54" s="319" t="s">
        <v>114</v>
      </c>
      <c r="J54" s="326" t="s">
        <v>216</v>
      </c>
    </row>
    <row r="55" customFormat="false" ht="85.5" hidden="true" customHeight="true" outlineLevel="0" collapsed="false">
      <c r="B55" s="321" t="n">
        <v>42</v>
      </c>
      <c r="C55" s="322" t="s">
        <v>115</v>
      </c>
      <c r="D55" s="322" t="s">
        <v>183</v>
      </c>
      <c r="E55" s="323" t="s">
        <v>217</v>
      </c>
      <c r="F55" s="319" t="n">
        <v>45562</v>
      </c>
      <c r="G55" s="319" t="n">
        <v>45565</v>
      </c>
      <c r="H55" s="324" t="n">
        <f aca="false">+Tabla42[[#This Row],[Fecha de Respuesta]]-Tabla42[[#This Row],[Fecha de Envio]]</f>
        <v>3</v>
      </c>
      <c r="I55" s="319" t="s">
        <v>114</v>
      </c>
      <c r="J55" s="326" t="s">
        <v>218</v>
      </c>
    </row>
    <row r="56" customFormat="false" ht="85.5" hidden="true" customHeight="true" outlineLevel="0" collapsed="false">
      <c r="B56" s="321" t="n">
        <v>43</v>
      </c>
      <c r="C56" s="322" t="s">
        <v>115</v>
      </c>
      <c r="D56" s="322" t="s">
        <v>116</v>
      </c>
      <c r="E56" s="323" t="s">
        <v>219</v>
      </c>
      <c r="F56" s="319" t="n">
        <v>45565</v>
      </c>
      <c r="G56" s="319" t="n">
        <v>45568</v>
      </c>
      <c r="H56" s="324" t="n">
        <f aca="false">+Tabla42[[#This Row],[Fecha de Respuesta]]-Tabla42[[#This Row],[Fecha de Envio]]</f>
        <v>3</v>
      </c>
      <c r="I56" s="319" t="s">
        <v>114</v>
      </c>
      <c r="J56" s="326" t="s">
        <v>220</v>
      </c>
    </row>
    <row r="57" customFormat="false" ht="102" hidden="true" customHeight="true" outlineLevel="0" collapsed="false">
      <c r="B57" s="321" t="s">
        <v>221</v>
      </c>
      <c r="C57" s="322" t="s">
        <v>222</v>
      </c>
      <c r="D57" s="322" t="s">
        <v>116</v>
      </c>
      <c r="E57" s="323" t="s">
        <v>223</v>
      </c>
      <c r="F57" s="319" t="n">
        <v>45569</v>
      </c>
      <c r="G57" s="319" t="n">
        <v>45684</v>
      </c>
      <c r="H57" s="324" t="n">
        <f aca="false">+Tabla42[[#This Row],[Fecha de Respuesta]]-Tabla42[[#This Row],[Fecha de Envio]]</f>
        <v>115</v>
      </c>
      <c r="I57" s="319" t="s">
        <v>114</v>
      </c>
      <c r="J57" s="326" t="s">
        <v>224</v>
      </c>
    </row>
    <row r="58" customFormat="false" ht="85.5" hidden="true" customHeight="true" outlineLevel="0" collapsed="false">
      <c r="B58" s="321" t="n">
        <v>44</v>
      </c>
      <c r="C58" s="322" t="s">
        <v>222</v>
      </c>
      <c r="D58" s="328" t="s">
        <v>171</v>
      </c>
      <c r="E58" s="323" t="s">
        <v>225</v>
      </c>
      <c r="F58" s="319" t="n">
        <v>45565</v>
      </c>
      <c r="G58" s="319" t="n">
        <v>45744</v>
      </c>
      <c r="H58" s="324" t="n">
        <f aca="false">+Tabla42[[#This Row],[Fecha de Respuesta]]-Tabla42[[#This Row],[Fecha de Envio]]</f>
        <v>179</v>
      </c>
      <c r="I58" s="319" t="s">
        <v>226</v>
      </c>
      <c r="J58" s="326" t="s">
        <v>227</v>
      </c>
    </row>
    <row r="59" customFormat="false" ht="85.5" hidden="true" customHeight="true" outlineLevel="0" collapsed="false">
      <c r="B59" s="321" t="n">
        <v>45</v>
      </c>
      <c r="C59" s="322" t="s">
        <v>222</v>
      </c>
      <c r="D59" s="322" t="s">
        <v>127</v>
      </c>
      <c r="E59" s="323" t="s">
        <v>228</v>
      </c>
      <c r="F59" s="319" t="n">
        <v>45566</v>
      </c>
      <c r="G59" s="319" t="n">
        <v>45608</v>
      </c>
      <c r="H59" s="324" t="n">
        <f aca="false">+Tabla42[[#This Row],[Fecha de Respuesta]]-Tabla42[[#This Row],[Fecha de Envio]]</f>
        <v>42</v>
      </c>
      <c r="I59" s="319" t="s">
        <v>114</v>
      </c>
      <c r="J59" s="326" t="s">
        <v>229</v>
      </c>
    </row>
    <row r="60" customFormat="false" ht="85.5" hidden="true" customHeight="true" outlineLevel="0" collapsed="false">
      <c r="B60" s="321" t="n">
        <v>46</v>
      </c>
      <c r="C60" s="322" t="s">
        <v>222</v>
      </c>
      <c r="D60" s="322" t="s">
        <v>127</v>
      </c>
      <c r="E60" s="323" t="s">
        <v>230</v>
      </c>
      <c r="F60" s="319" t="n">
        <v>45566</v>
      </c>
      <c r="G60" s="319" t="n">
        <v>45631</v>
      </c>
      <c r="H60" s="324" t="n">
        <f aca="false">+Tabla42[[#This Row],[Fecha de Respuesta]]-Tabla42[[#This Row],[Fecha de Envio]]</f>
        <v>65</v>
      </c>
      <c r="I60" s="319" t="s">
        <v>114</v>
      </c>
      <c r="J60" s="326" t="s">
        <v>231</v>
      </c>
    </row>
    <row r="61" customFormat="false" ht="85.5" hidden="true" customHeight="true" outlineLevel="0" collapsed="false">
      <c r="B61" s="321" t="n">
        <v>47</v>
      </c>
      <c r="C61" s="322" t="s">
        <v>222</v>
      </c>
      <c r="D61" s="322" t="s">
        <v>127</v>
      </c>
      <c r="E61" s="323" t="s">
        <v>232</v>
      </c>
      <c r="F61" s="319" t="n">
        <v>45566</v>
      </c>
      <c r="G61" s="319" t="n">
        <v>45603</v>
      </c>
      <c r="H61" s="324" t="n">
        <f aca="false">+Tabla42[[#This Row],[Fecha de Respuesta]]-Tabla42[[#This Row],[Fecha de Envio]]</f>
        <v>37</v>
      </c>
      <c r="I61" s="319" t="s">
        <v>114</v>
      </c>
      <c r="J61" s="326" t="s">
        <v>233</v>
      </c>
    </row>
    <row r="62" customFormat="false" ht="85.5" hidden="true" customHeight="true" outlineLevel="0" collapsed="false">
      <c r="B62" s="321" t="n">
        <v>48</v>
      </c>
      <c r="C62" s="322" t="s">
        <v>222</v>
      </c>
      <c r="D62" s="322" t="s">
        <v>127</v>
      </c>
      <c r="E62" s="323" t="s">
        <v>232</v>
      </c>
      <c r="F62" s="319" t="n">
        <v>45566</v>
      </c>
      <c r="G62" s="319" t="n">
        <v>45594</v>
      </c>
      <c r="H62" s="324" t="n">
        <f aca="false">+Tabla42[[#This Row],[Fecha de Respuesta]]-Tabla42[[#This Row],[Fecha de Envio]]</f>
        <v>28</v>
      </c>
      <c r="I62" s="319" t="s">
        <v>114</v>
      </c>
      <c r="J62" s="326" t="s">
        <v>234</v>
      </c>
    </row>
    <row r="63" customFormat="false" ht="85.5" hidden="true" customHeight="true" outlineLevel="0" collapsed="false">
      <c r="B63" s="321" t="n">
        <v>49</v>
      </c>
      <c r="C63" s="322" t="s">
        <v>222</v>
      </c>
      <c r="D63" s="322" t="s">
        <v>127</v>
      </c>
      <c r="E63" s="323" t="s">
        <v>235</v>
      </c>
      <c r="F63" s="319" t="n">
        <v>45566</v>
      </c>
      <c r="G63" s="319" t="n">
        <v>45629</v>
      </c>
      <c r="H63" s="324" t="n">
        <f aca="false">+Tabla42[[#This Row],[Fecha de Respuesta]]-Tabla42[[#This Row],[Fecha de Envio]]</f>
        <v>63</v>
      </c>
      <c r="I63" s="319" t="s">
        <v>114</v>
      </c>
      <c r="J63" s="326" t="s">
        <v>236</v>
      </c>
    </row>
    <row r="64" customFormat="false" ht="126" hidden="true" customHeight="true" outlineLevel="0" collapsed="false">
      <c r="B64" s="321" t="n">
        <v>50</v>
      </c>
      <c r="C64" s="322" t="s">
        <v>222</v>
      </c>
      <c r="D64" s="322" t="s">
        <v>116</v>
      </c>
      <c r="E64" s="323" t="s">
        <v>237</v>
      </c>
      <c r="F64" s="319" t="n">
        <v>45567</v>
      </c>
      <c r="G64" s="319" t="n">
        <v>45568</v>
      </c>
      <c r="H64" s="324" t="n">
        <f aca="false">+Tabla42[[#This Row],[Fecha de Respuesta]]-Tabla42[[#This Row],[Fecha de Envio]]</f>
        <v>1</v>
      </c>
      <c r="I64" s="319" t="s">
        <v>114</v>
      </c>
      <c r="J64" s="326" t="s">
        <v>238</v>
      </c>
    </row>
    <row r="65" customFormat="false" ht="85.5" hidden="true" customHeight="true" outlineLevel="0" collapsed="false">
      <c r="B65" s="321" t="n">
        <v>51</v>
      </c>
      <c r="C65" s="322" t="s">
        <v>222</v>
      </c>
      <c r="D65" s="322" t="s">
        <v>183</v>
      </c>
      <c r="E65" s="323" t="s">
        <v>239</v>
      </c>
      <c r="F65" s="319" t="n">
        <v>45567</v>
      </c>
      <c r="G65" s="319" t="n">
        <v>45642</v>
      </c>
      <c r="H65" s="324" t="n">
        <f aca="false">+Tabla42[[#This Row],[Fecha de Respuesta]]-Tabla42[[#This Row],[Fecha de Envio]]</f>
        <v>75</v>
      </c>
      <c r="I65" s="319" t="s">
        <v>114</v>
      </c>
      <c r="J65" s="326" t="s">
        <v>240</v>
      </c>
    </row>
    <row r="66" customFormat="false" ht="85.5" hidden="true" customHeight="true" outlineLevel="0" collapsed="false">
      <c r="B66" s="321" t="s">
        <v>241</v>
      </c>
      <c r="C66" s="322" t="s">
        <v>222</v>
      </c>
      <c r="D66" s="322" t="s">
        <v>183</v>
      </c>
      <c r="E66" s="323" t="s">
        <v>239</v>
      </c>
      <c r="F66" s="319" t="n">
        <v>45575</v>
      </c>
      <c r="G66" s="319" t="n">
        <v>45642</v>
      </c>
      <c r="H66" s="324" t="n">
        <f aca="false">+Tabla42[[#This Row],[Fecha de Respuesta]]-Tabla42[[#This Row],[Fecha de Envio]]</f>
        <v>67</v>
      </c>
      <c r="I66" s="319" t="str">
        <f aca="false">+IF(Tabla42[[#This Row],[Fecha de Respuesta]]&gt;0,"Cerrada","Pendiente")</f>
        <v>Cerrada</v>
      </c>
      <c r="J66" s="331" t="s">
        <v>242</v>
      </c>
    </row>
    <row r="67" customFormat="false" ht="85.5" hidden="true" customHeight="true" outlineLevel="0" collapsed="false">
      <c r="B67" s="321" t="n">
        <v>52</v>
      </c>
      <c r="C67" s="322" t="s">
        <v>222</v>
      </c>
      <c r="D67" s="322" t="s">
        <v>116</v>
      </c>
      <c r="E67" s="323" t="s">
        <v>243</v>
      </c>
      <c r="F67" s="319" t="n">
        <v>45566</v>
      </c>
      <c r="G67" s="319" t="n">
        <v>45573</v>
      </c>
      <c r="H67" s="324" t="n">
        <f aca="false">+Tabla42[[#This Row],[Fecha de Respuesta]]-Tabla42[[#This Row],[Fecha de Envio]]</f>
        <v>7</v>
      </c>
      <c r="I67" s="319" t="str">
        <f aca="false">+IF(Tabla42[[#This Row],[Fecha de Respuesta]]&gt;0,"Cerrada","Pendiente")</f>
        <v>Cerrada</v>
      </c>
      <c r="J67" s="331" t="s">
        <v>244</v>
      </c>
    </row>
    <row r="68" customFormat="false" ht="85.5" hidden="true" customHeight="true" outlineLevel="0" collapsed="false">
      <c r="B68" s="321" t="s">
        <v>245</v>
      </c>
      <c r="C68" s="322" t="s">
        <v>222</v>
      </c>
      <c r="D68" s="322" t="s">
        <v>116</v>
      </c>
      <c r="E68" s="323" t="s">
        <v>243</v>
      </c>
      <c r="F68" s="319" t="n">
        <v>45580</v>
      </c>
      <c r="G68" s="319" t="n">
        <v>45594</v>
      </c>
      <c r="H68" s="324" t="n">
        <f aca="false">+Tabla42[[#This Row],[Fecha de Respuesta]]-Tabla42[[#This Row],[Fecha de Envio]]</f>
        <v>14</v>
      </c>
      <c r="I68" s="319" t="s">
        <v>114</v>
      </c>
      <c r="J68" s="326" t="s">
        <v>246</v>
      </c>
    </row>
    <row r="69" customFormat="false" ht="85.5" hidden="true" customHeight="true" outlineLevel="0" collapsed="false">
      <c r="B69" s="321" t="s">
        <v>247</v>
      </c>
      <c r="C69" s="322" t="s">
        <v>222</v>
      </c>
      <c r="D69" s="322" t="s">
        <v>116</v>
      </c>
      <c r="E69" s="323" t="s">
        <v>243</v>
      </c>
      <c r="F69" s="319" t="n">
        <v>45601</v>
      </c>
      <c r="G69" s="319" t="n">
        <v>45608</v>
      </c>
      <c r="H69" s="324" t="n">
        <f aca="false">+Tabla42[[#This Row],[Fecha de Respuesta]]-Tabla42[[#This Row],[Fecha de Envio]]</f>
        <v>7</v>
      </c>
      <c r="I69" s="319" t="s">
        <v>114</v>
      </c>
      <c r="J69" s="326" t="s">
        <v>248</v>
      </c>
    </row>
    <row r="70" customFormat="false" ht="85.5" hidden="true" customHeight="true" outlineLevel="0" collapsed="false">
      <c r="B70" s="321" t="n">
        <v>53</v>
      </c>
      <c r="C70" s="322" t="s">
        <v>222</v>
      </c>
      <c r="D70" s="322" t="s">
        <v>127</v>
      </c>
      <c r="E70" s="323" t="s">
        <v>249</v>
      </c>
      <c r="F70" s="319" t="n">
        <v>45567</v>
      </c>
      <c r="G70" s="319" t="n">
        <v>45576</v>
      </c>
      <c r="H70" s="324" t="n">
        <f aca="false">+Tabla42[[#This Row],[Fecha de Respuesta]]-Tabla42[[#This Row],[Fecha de Envio]]</f>
        <v>9</v>
      </c>
      <c r="I70" s="319" t="s">
        <v>114</v>
      </c>
      <c r="J70" s="326" t="s">
        <v>250</v>
      </c>
    </row>
    <row r="71" customFormat="false" ht="85.5" hidden="true" customHeight="true" outlineLevel="0" collapsed="false">
      <c r="B71" s="321" t="n">
        <v>54</v>
      </c>
      <c r="C71" s="322" t="s">
        <v>222</v>
      </c>
      <c r="D71" s="322" t="s">
        <v>183</v>
      </c>
      <c r="E71" s="323" t="s">
        <v>217</v>
      </c>
      <c r="F71" s="319" t="n">
        <v>45567</v>
      </c>
      <c r="G71" s="319" t="n">
        <v>45568</v>
      </c>
      <c r="H71" s="324" t="n">
        <f aca="false">+Tabla42[[#This Row],[Fecha de Respuesta]]-Tabla42[[#This Row],[Fecha de Envio]]</f>
        <v>1</v>
      </c>
      <c r="I71" s="319" t="s">
        <v>114</v>
      </c>
      <c r="J71" s="326" t="s">
        <v>251</v>
      </c>
    </row>
    <row r="72" customFormat="false" ht="85.5" hidden="true" customHeight="true" outlineLevel="0" collapsed="false">
      <c r="B72" s="321" t="s">
        <v>252</v>
      </c>
      <c r="C72" s="322" t="s">
        <v>222</v>
      </c>
      <c r="D72" s="322" t="s">
        <v>183</v>
      </c>
      <c r="E72" s="323" t="s">
        <v>253</v>
      </c>
      <c r="F72" s="319" t="n">
        <v>45568</v>
      </c>
      <c r="G72" s="319" t="n">
        <v>45572</v>
      </c>
      <c r="H72" s="324" t="n">
        <f aca="false">+Tabla42[[#This Row],[Fecha de Respuesta]]-Tabla42[[#This Row],[Fecha de Envio]]</f>
        <v>4</v>
      </c>
      <c r="I72" s="319" t="s">
        <v>114</v>
      </c>
      <c r="J72" s="326" t="s">
        <v>254</v>
      </c>
    </row>
    <row r="73" customFormat="false" ht="85.5" hidden="true" customHeight="true" outlineLevel="0" collapsed="false">
      <c r="B73" s="321" t="n">
        <v>55</v>
      </c>
      <c r="C73" s="322" t="s">
        <v>222</v>
      </c>
      <c r="D73" s="322" t="s">
        <v>127</v>
      </c>
      <c r="E73" s="333" t="s">
        <v>255</v>
      </c>
      <c r="F73" s="334" t="n">
        <v>45569</v>
      </c>
      <c r="G73" s="319" t="n">
        <v>45825</v>
      </c>
      <c r="H73" s="324" t="n">
        <f aca="false">+Tabla42[[#This Row],[Fecha de Respuesta]]-Tabla42[[#This Row],[Fecha de Envio]]</f>
        <v>256</v>
      </c>
      <c r="I73" s="319" t="s">
        <v>226</v>
      </c>
      <c r="J73" s="326" t="s">
        <v>256</v>
      </c>
    </row>
    <row r="74" customFormat="false" ht="85.5" hidden="true" customHeight="true" outlineLevel="0" collapsed="false">
      <c r="B74" s="321" t="n">
        <v>56</v>
      </c>
      <c r="C74" s="322" t="s">
        <v>222</v>
      </c>
      <c r="D74" s="322" t="s">
        <v>127</v>
      </c>
      <c r="E74" s="333" t="s">
        <v>257</v>
      </c>
      <c r="F74" s="334" t="n">
        <v>45569</v>
      </c>
      <c r="G74" s="319" t="n">
        <v>45625</v>
      </c>
      <c r="H74" s="324" t="n">
        <f aca="false">+Tabla42[[#This Row],[Fecha de Respuesta]]-Tabla42[[#This Row],[Fecha de Envio]]</f>
        <v>56</v>
      </c>
      <c r="I74" s="319" t="s">
        <v>114</v>
      </c>
      <c r="J74" s="326" t="s">
        <v>258</v>
      </c>
    </row>
    <row r="75" customFormat="false" ht="85.5" hidden="true" customHeight="true" outlineLevel="0" collapsed="false">
      <c r="B75" s="321" t="n">
        <v>57</v>
      </c>
      <c r="C75" s="322" t="s">
        <v>222</v>
      </c>
      <c r="D75" s="322" t="s">
        <v>127</v>
      </c>
      <c r="E75" s="323" t="s">
        <v>259</v>
      </c>
      <c r="F75" s="334" t="n">
        <v>45573</v>
      </c>
      <c r="G75" s="319" t="n">
        <v>45763</v>
      </c>
      <c r="H75" s="324" t="n">
        <f aca="false">+Tabla42[[#This Row],[Fecha de Respuesta]]-Tabla42[[#This Row],[Fecha de Envio]]</f>
        <v>190</v>
      </c>
      <c r="I75" s="319" t="str">
        <f aca="false">+IF(Tabla42[[#This Row],[Fecha de Respuesta]]&gt;0,"Cerrada","Pendiente")</f>
        <v>Cerrada</v>
      </c>
      <c r="J75" s="326"/>
    </row>
    <row r="76" customFormat="false" ht="85.5" hidden="true" customHeight="true" outlineLevel="0" collapsed="false">
      <c r="B76" s="321" t="n">
        <v>58</v>
      </c>
      <c r="C76" s="322" t="s">
        <v>222</v>
      </c>
      <c r="D76" s="328" t="s">
        <v>171</v>
      </c>
      <c r="E76" s="323" t="s">
        <v>260</v>
      </c>
      <c r="F76" s="334" t="n">
        <v>45572</v>
      </c>
      <c r="G76" s="319" t="n">
        <v>45572</v>
      </c>
      <c r="H76" s="324" t="n">
        <f aca="false">+Tabla42[[#This Row],[Fecha de Respuesta]]-Tabla42[[#This Row],[Fecha de Envio]]</f>
        <v>0</v>
      </c>
      <c r="I76" s="319" t="s">
        <v>114</v>
      </c>
      <c r="J76" s="326" t="s">
        <v>261</v>
      </c>
    </row>
    <row r="77" customFormat="false" ht="85.5" hidden="true" customHeight="true" outlineLevel="0" collapsed="false">
      <c r="B77" s="321" t="n">
        <v>59</v>
      </c>
      <c r="C77" s="322" t="s">
        <v>222</v>
      </c>
      <c r="D77" s="322" t="s">
        <v>127</v>
      </c>
      <c r="E77" s="323" t="s">
        <v>262</v>
      </c>
      <c r="F77" s="334" t="n">
        <v>45573</v>
      </c>
      <c r="G77" s="319" t="n">
        <v>45622</v>
      </c>
      <c r="H77" s="324" t="n">
        <f aca="false">+Tabla42[[#This Row],[Fecha de Respuesta]]-Tabla42[[#This Row],[Fecha de Envio]]</f>
        <v>49</v>
      </c>
      <c r="I77" s="319" t="s">
        <v>114</v>
      </c>
      <c r="J77" s="326" t="s">
        <v>263</v>
      </c>
    </row>
    <row r="78" customFormat="false" ht="85.5" hidden="true" customHeight="true" outlineLevel="0" collapsed="false">
      <c r="B78" s="321" t="n">
        <v>60</v>
      </c>
      <c r="C78" s="322" t="s">
        <v>222</v>
      </c>
      <c r="D78" s="322" t="s">
        <v>127</v>
      </c>
      <c r="E78" s="333" t="s">
        <v>264</v>
      </c>
      <c r="F78" s="334" t="n">
        <v>45575</v>
      </c>
      <c r="G78" s="319" t="n">
        <v>45576</v>
      </c>
      <c r="H78" s="324" t="n">
        <f aca="false">+Tabla42[[#This Row],[Fecha de Respuesta]]-Tabla42[[#This Row],[Fecha de Envio]]</f>
        <v>1</v>
      </c>
      <c r="I78" s="319" t="s">
        <v>114</v>
      </c>
      <c r="J78" s="326" t="s">
        <v>265</v>
      </c>
    </row>
    <row r="79" customFormat="false" ht="85.5" hidden="true" customHeight="true" outlineLevel="0" collapsed="false">
      <c r="B79" s="321" t="n">
        <v>61</v>
      </c>
      <c r="C79" s="322" t="s">
        <v>222</v>
      </c>
      <c r="D79" s="322" t="s">
        <v>127</v>
      </c>
      <c r="E79" s="333" t="s">
        <v>266</v>
      </c>
      <c r="F79" s="334" t="n">
        <v>45579</v>
      </c>
      <c r="G79" s="319" t="n">
        <v>45595</v>
      </c>
      <c r="H79" s="324" t="n">
        <f aca="false">+Tabla42[[#This Row],[Fecha de Respuesta]]-Tabla42[[#This Row],[Fecha de Envio]]</f>
        <v>16</v>
      </c>
      <c r="I79" s="319" t="s">
        <v>114</v>
      </c>
      <c r="J79" s="326" t="s">
        <v>267</v>
      </c>
    </row>
    <row r="80" customFormat="false" ht="85.5" hidden="true" customHeight="true" outlineLevel="0" collapsed="false">
      <c r="B80" s="321" t="n">
        <v>62</v>
      </c>
      <c r="C80" s="322" t="s">
        <v>222</v>
      </c>
      <c r="D80" s="322" t="s">
        <v>127</v>
      </c>
      <c r="E80" s="333" t="s">
        <v>268</v>
      </c>
      <c r="F80" s="334" t="n">
        <v>45579</v>
      </c>
      <c r="G80" s="319" t="n">
        <v>45603</v>
      </c>
      <c r="H80" s="324" t="n">
        <f aca="false">+Tabla42[[#This Row],[Fecha de Respuesta]]-Tabla42[[#This Row],[Fecha de Envio]]</f>
        <v>24</v>
      </c>
      <c r="I80" s="319" t="s">
        <v>114</v>
      </c>
      <c r="J80" s="326" t="s">
        <v>269</v>
      </c>
    </row>
    <row r="81" customFormat="false" ht="85.5" hidden="true" customHeight="true" outlineLevel="0" collapsed="false">
      <c r="B81" s="321" t="n">
        <v>63</v>
      </c>
      <c r="C81" s="322" t="s">
        <v>222</v>
      </c>
      <c r="D81" s="322" t="s">
        <v>127</v>
      </c>
      <c r="E81" s="333" t="s">
        <v>270</v>
      </c>
      <c r="F81" s="334" t="n">
        <v>45579</v>
      </c>
      <c r="G81" s="319" t="n">
        <v>45625</v>
      </c>
      <c r="H81" s="324" t="n">
        <f aca="false">+Tabla42[[#This Row],[Fecha de Respuesta]]-Tabla42[[#This Row],[Fecha de Envio]]</f>
        <v>46</v>
      </c>
      <c r="I81" s="319" t="s">
        <v>114</v>
      </c>
      <c r="J81" s="326" t="s">
        <v>271</v>
      </c>
    </row>
    <row r="82" customFormat="false" ht="85.5" hidden="true" customHeight="true" outlineLevel="0" collapsed="false">
      <c r="B82" s="321" t="n">
        <v>64</v>
      </c>
      <c r="C82" s="322" t="s">
        <v>222</v>
      </c>
      <c r="D82" s="322" t="s">
        <v>183</v>
      </c>
      <c r="E82" s="323" t="s">
        <v>272</v>
      </c>
      <c r="F82" s="319" t="n">
        <v>45583</v>
      </c>
      <c r="G82" s="319" t="n">
        <v>45609</v>
      </c>
      <c r="H82" s="324" t="n">
        <f aca="false">+Tabla42[[#This Row],[Fecha de Respuesta]]-Tabla42[[#This Row],[Fecha de Envio]]</f>
        <v>26</v>
      </c>
      <c r="I82" s="319" t="s">
        <v>114</v>
      </c>
      <c r="J82" s="326" t="s">
        <v>273</v>
      </c>
    </row>
    <row r="83" customFormat="false" ht="85.5" hidden="true" customHeight="true" outlineLevel="0" collapsed="false">
      <c r="B83" s="321" t="n">
        <v>65</v>
      </c>
      <c r="C83" s="322" t="s">
        <v>222</v>
      </c>
      <c r="D83" s="322" t="s">
        <v>5</v>
      </c>
      <c r="E83" s="323" t="s">
        <v>274</v>
      </c>
      <c r="F83" s="319" t="n">
        <v>45589</v>
      </c>
      <c r="G83" s="319" t="n">
        <v>45769</v>
      </c>
      <c r="H83" s="324" t="n">
        <f aca="false">+Tabla42[[#This Row],[Fecha de Respuesta]]-Tabla42[[#This Row],[Fecha de Envio]]</f>
        <v>180</v>
      </c>
      <c r="I83" s="319" t="str">
        <f aca="false">+IF(Tabla42[[#This Row],[Fecha de Respuesta]]&gt;0,"Cerrada","Pendiente")</f>
        <v>Cerrada</v>
      </c>
      <c r="J83" s="326" t="s">
        <v>275</v>
      </c>
    </row>
    <row r="84" customFormat="false" ht="85.5" hidden="true" customHeight="true" outlineLevel="0" collapsed="false">
      <c r="B84" s="321" t="n">
        <v>66</v>
      </c>
      <c r="C84" s="322" t="s">
        <v>222</v>
      </c>
      <c r="D84" s="328" t="s">
        <v>171</v>
      </c>
      <c r="E84" s="329" t="s">
        <v>276</v>
      </c>
      <c r="F84" s="335" t="n">
        <v>45593</v>
      </c>
      <c r="G84" s="319" t="n">
        <v>45609</v>
      </c>
      <c r="H84" s="324" t="n">
        <f aca="false">+Tabla42[[#This Row],[Fecha de Respuesta]]-Tabla42[[#This Row],[Fecha de Envio]]</f>
        <v>16</v>
      </c>
      <c r="I84" s="319" t="s">
        <v>114</v>
      </c>
      <c r="J84" s="326" t="s">
        <v>277</v>
      </c>
    </row>
    <row r="85" customFormat="false" ht="85.5" hidden="true" customHeight="true" outlineLevel="0" collapsed="false">
      <c r="B85" s="321" t="n">
        <v>67</v>
      </c>
      <c r="C85" s="322" t="s">
        <v>222</v>
      </c>
      <c r="D85" s="322" t="s">
        <v>127</v>
      </c>
      <c r="E85" s="329" t="s">
        <v>278</v>
      </c>
      <c r="F85" s="335" t="n">
        <v>45593</v>
      </c>
      <c r="G85" s="319" t="n">
        <v>45609</v>
      </c>
      <c r="H85" s="324" t="n">
        <f aca="false">+Tabla42[[#This Row],[Fecha de Respuesta]]-Tabla42[[#This Row],[Fecha de Envio]]</f>
        <v>16</v>
      </c>
      <c r="I85" s="319" t="s">
        <v>114</v>
      </c>
      <c r="J85" s="326" t="s">
        <v>279</v>
      </c>
    </row>
    <row r="86" customFormat="false" ht="85.5" hidden="true" customHeight="true" outlineLevel="0" collapsed="false">
      <c r="B86" s="321" t="n">
        <v>68</v>
      </c>
      <c r="C86" s="322" t="s">
        <v>222</v>
      </c>
      <c r="D86" s="322" t="s">
        <v>5</v>
      </c>
      <c r="E86" s="329" t="s">
        <v>280</v>
      </c>
      <c r="F86" s="335" t="n">
        <v>45594</v>
      </c>
      <c r="G86" s="319" t="n">
        <v>45646</v>
      </c>
      <c r="H86" s="324" t="n">
        <f aca="false">+Tabla42[[#This Row],[Fecha de Respuesta]]-Tabla42[[#This Row],[Fecha de Envio]]</f>
        <v>52</v>
      </c>
      <c r="I86" s="319" t="s">
        <v>114</v>
      </c>
      <c r="J86" s="326" t="s">
        <v>281</v>
      </c>
    </row>
    <row r="87" customFormat="false" ht="85.5" hidden="true" customHeight="true" outlineLevel="0" collapsed="false">
      <c r="B87" s="336" t="n">
        <v>69</v>
      </c>
      <c r="C87" s="337" t="s">
        <v>222</v>
      </c>
      <c r="D87" s="322" t="s">
        <v>127</v>
      </c>
      <c r="E87" s="329" t="s">
        <v>282</v>
      </c>
      <c r="F87" s="327" t="n">
        <v>45595</v>
      </c>
      <c r="G87" s="327" t="n">
        <v>45763</v>
      </c>
      <c r="H87" s="324" t="n">
        <f aca="false">+Tabla42[[#This Row],[Fecha de Respuesta]]-Tabla42[[#This Row],[Fecha de Envio]]</f>
        <v>168</v>
      </c>
      <c r="I87" s="319" t="str">
        <f aca="false">+IF(Tabla42[[#This Row],[Fecha de Respuesta]]&gt;0,"Cerrada","Pendiente")</f>
        <v>Cerrada</v>
      </c>
      <c r="J87" s="326" t="s">
        <v>283</v>
      </c>
    </row>
    <row r="88" customFormat="false" ht="85.5" hidden="true" customHeight="true" outlineLevel="0" collapsed="false">
      <c r="B88" s="336" t="n">
        <v>70</v>
      </c>
      <c r="C88" s="337" t="s">
        <v>222</v>
      </c>
      <c r="D88" s="322" t="s">
        <v>127</v>
      </c>
      <c r="E88" s="329" t="s">
        <v>284</v>
      </c>
      <c r="F88" s="327" t="n">
        <v>45596</v>
      </c>
      <c r="G88" s="327" t="n">
        <v>45629</v>
      </c>
      <c r="H88" s="324" t="n">
        <f aca="false">+Tabla42[[#This Row],[Fecha de Respuesta]]-Tabla42[[#This Row],[Fecha de Envio]]</f>
        <v>33</v>
      </c>
      <c r="I88" s="319" t="s">
        <v>114</v>
      </c>
      <c r="J88" s="338" t="s">
        <v>285</v>
      </c>
    </row>
    <row r="89" customFormat="false" ht="85.5" hidden="true" customHeight="true" outlineLevel="0" collapsed="false">
      <c r="B89" s="336" t="n">
        <v>71</v>
      </c>
      <c r="C89" s="337" t="s">
        <v>222</v>
      </c>
      <c r="D89" s="322" t="s">
        <v>5</v>
      </c>
      <c r="E89" s="329" t="s">
        <v>286</v>
      </c>
      <c r="F89" s="327" t="n">
        <v>45601</v>
      </c>
      <c r="G89" s="327"/>
      <c r="H89" s="339"/>
      <c r="I89" s="319" t="s">
        <v>114</v>
      </c>
      <c r="J89" s="338" t="s">
        <v>287</v>
      </c>
    </row>
    <row r="90" customFormat="false" ht="85.5" hidden="true" customHeight="true" outlineLevel="0" collapsed="false">
      <c r="B90" s="321" t="s">
        <v>288</v>
      </c>
      <c r="C90" s="322" t="s">
        <v>222</v>
      </c>
      <c r="D90" s="322" t="s">
        <v>5</v>
      </c>
      <c r="E90" s="323" t="s">
        <v>289</v>
      </c>
      <c r="F90" s="319" t="n">
        <v>45607</v>
      </c>
      <c r="G90" s="319" t="n">
        <v>45695</v>
      </c>
      <c r="H90" s="324" t="n">
        <f aca="false">+Tabla42[[#This Row],[Fecha de Respuesta]]-Tabla42[[#This Row],[Fecha de Envio]]</f>
        <v>88</v>
      </c>
      <c r="I90" s="319" t="s">
        <v>114</v>
      </c>
      <c r="J90" s="326" t="s">
        <v>290</v>
      </c>
    </row>
    <row r="91" customFormat="false" ht="85.5" hidden="true" customHeight="true" outlineLevel="0" collapsed="false">
      <c r="B91" s="321" t="s">
        <v>291</v>
      </c>
      <c r="C91" s="322" t="s">
        <v>222</v>
      </c>
      <c r="D91" s="322" t="s">
        <v>183</v>
      </c>
      <c r="E91" s="323" t="s">
        <v>292</v>
      </c>
      <c r="F91" s="319" t="n">
        <v>45611</v>
      </c>
      <c r="G91" s="319" t="n">
        <v>45614</v>
      </c>
      <c r="H91" s="324" t="n">
        <f aca="false">+Tabla42[[#This Row],[Fecha de Respuesta]]-Tabla42[[#This Row],[Fecha de Envio]]</f>
        <v>3</v>
      </c>
      <c r="I91" s="319" t="str">
        <f aca="false">+IF(Tabla42[[#This Row],[Fecha de Respuesta]]&gt;0,"Cerrada","Pendiente")</f>
        <v>Cerrada</v>
      </c>
      <c r="J91" s="331" t="s">
        <v>293</v>
      </c>
    </row>
    <row r="92" customFormat="false" ht="85.5" hidden="true" customHeight="true" outlineLevel="0" collapsed="false">
      <c r="B92" s="321" t="s">
        <v>294</v>
      </c>
      <c r="C92" s="322" t="s">
        <v>222</v>
      </c>
      <c r="D92" s="322" t="s">
        <v>183</v>
      </c>
      <c r="E92" s="323" t="s">
        <v>292</v>
      </c>
      <c r="F92" s="319" t="n">
        <v>45615</v>
      </c>
      <c r="G92" s="319" t="n">
        <v>45616</v>
      </c>
      <c r="H92" s="324" t="n">
        <f aca="false">+Tabla42[[#This Row],[Fecha de Respuesta]]-Tabla42[[#This Row],[Fecha de Envio]]</f>
        <v>1</v>
      </c>
      <c r="I92" s="319" t="s">
        <v>114</v>
      </c>
      <c r="J92" s="326" t="s">
        <v>295</v>
      </c>
    </row>
    <row r="93" customFormat="false" ht="85.5" hidden="true" customHeight="true" outlineLevel="0" collapsed="false">
      <c r="B93" s="321" t="s">
        <v>296</v>
      </c>
      <c r="C93" s="322" t="s">
        <v>222</v>
      </c>
      <c r="D93" s="322" t="s">
        <v>127</v>
      </c>
      <c r="E93" s="323" t="s">
        <v>297</v>
      </c>
      <c r="F93" s="319" t="n">
        <v>45615</v>
      </c>
      <c r="G93" s="319" t="n">
        <v>45663</v>
      </c>
      <c r="H93" s="324" t="n">
        <f aca="false">+Tabla42[[#This Row],[Fecha de Respuesta]]-Tabla42[[#This Row],[Fecha de Envio]]</f>
        <v>48</v>
      </c>
      <c r="I93" s="319" t="s">
        <v>114</v>
      </c>
      <c r="J93" s="326" t="s">
        <v>298</v>
      </c>
    </row>
    <row r="94" customFormat="false" ht="85.5" hidden="true" customHeight="true" outlineLevel="0" collapsed="false">
      <c r="B94" s="321" t="n">
        <v>75</v>
      </c>
      <c r="C94" s="322" t="s">
        <v>222</v>
      </c>
      <c r="D94" s="322" t="s">
        <v>127</v>
      </c>
      <c r="E94" s="333" t="s">
        <v>299</v>
      </c>
      <c r="F94" s="334" t="n">
        <v>45618</v>
      </c>
      <c r="G94" s="319" t="n">
        <v>45628</v>
      </c>
      <c r="H94" s="324" t="n">
        <f aca="false">+Tabla42[[#This Row],[Fecha de Respuesta]]-Tabla42[[#This Row],[Fecha de Envio]]</f>
        <v>10</v>
      </c>
      <c r="I94" s="319" t="s">
        <v>114</v>
      </c>
      <c r="J94" s="326" t="s">
        <v>300</v>
      </c>
    </row>
    <row r="95" customFormat="false" ht="85.5" hidden="true" customHeight="true" outlineLevel="0" collapsed="false">
      <c r="B95" s="321" t="n">
        <v>76</v>
      </c>
      <c r="C95" s="322" t="s">
        <v>222</v>
      </c>
      <c r="D95" s="322" t="s">
        <v>127</v>
      </c>
      <c r="E95" s="333" t="s">
        <v>301</v>
      </c>
      <c r="F95" s="334" t="n">
        <v>45618</v>
      </c>
      <c r="G95" s="319" t="n">
        <v>45629</v>
      </c>
      <c r="H95" s="324" t="n">
        <f aca="false">+Tabla42[[#This Row],[Fecha de Respuesta]]-Tabla42[[#This Row],[Fecha de Envio]]</f>
        <v>11</v>
      </c>
      <c r="I95" s="319" t="s">
        <v>114</v>
      </c>
      <c r="J95" s="326" t="s">
        <v>302</v>
      </c>
    </row>
    <row r="96" customFormat="false" ht="85.5" hidden="true" customHeight="true" outlineLevel="0" collapsed="false">
      <c r="B96" s="321" t="n">
        <v>77</v>
      </c>
      <c r="C96" s="322" t="s">
        <v>222</v>
      </c>
      <c r="D96" s="322" t="s">
        <v>127</v>
      </c>
      <c r="E96" s="333" t="s">
        <v>303</v>
      </c>
      <c r="F96" s="334" t="n">
        <v>45622</v>
      </c>
      <c r="G96" s="319" t="n">
        <v>45649</v>
      </c>
      <c r="H96" s="324" t="n">
        <f aca="false">+Tabla42[[#This Row],[Fecha de Respuesta]]-Tabla42[[#This Row],[Fecha de Envio]]</f>
        <v>27</v>
      </c>
      <c r="I96" s="319" t="s">
        <v>114</v>
      </c>
      <c r="J96" s="326" t="s">
        <v>304</v>
      </c>
    </row>
    <row r="97" customFormat="false" ht="85.5" hidden="true" customHeight="true" outlineLevel="0" collapsed="false">
      <c r="B97" s="321" t="n">
        <v>78</v>
      </c>
      <c r="C97" s="322" t="s">
        <v>222</v>
      </c>
      <c r="D97" s="328" t="s">
        <v>171</v>
      </c>
      <c r="E97" s="333" t="s">
        <v>305</v>
      </c>
      <c r="F97" s="334" t="n">
        <v>45622</v>
      </c>
      <c r="G97" s="319" t="n">
        <v>45747</v>
      </c>
      <c r="H97" s="324" t="n">
        <f aca="false">+Tabla42[[#This Row],[Fecha de Respuesta]]-Tabla42[[#This Row],[Fecha de Envio]]</f>
        <v>125</v>
      </c>
      <c r="I97" s="319" t="s">
        <v>114</v>
      </c>
      <c r="J97" s="326" t="s">
        <v>306</v>
      </c>
    </row>
    <row r="98" customFormat="false" ht="85.5" hidden="true" customHeight="true" outlineLevel="0" collapsed="false">
      <c r="B98" s="321" t="n">
        <v>79</v>
      </c>
      <c r="C98" s="322" t="s">
        <v>222</v>
      </c>
      <c r="D98" s="328" t="s">
        <v>171</v>
      </c>
      <c r="E98" s="333" t="s">
        <v>307</v>
      </c>
      <c r="F98" s="319" t="n">
        <v>45629</v>
      </c>
      <c r="G98" s="319" t="n">
        <v>45629</v>
      </c>
      <c r="H98" s="324" t="n">
        <f aca="false">+Tabla42[[#This Row],[Fecha de Respuesta]]-Tabla42[[#This Row],[Fecha de Envio]]</f>
        <v>0</v>
      </c>
      <c r="I98" s="319" t="s">
        <v>114</v>
      </c>
      <c r="J98" s="326" t="s">
        <v>308</v>
      </c>
    </row>
    <row r="99" customFormat="false" ht="85.5" hidden="true" customHeight="true" outlineLevel="0" collapsed="false">
      <c r="B99" s="321" t="n">
        <v>80</v>
      </c>
      <c r="C99" s="322" t="s">
        <v>222</v>
      </c>
      <c r="D99" s="322" t="s">
        <v>116</v>
      </c>
      <c r="E99" s="333" t="s">
        <v>309</v>
      </c>
      <c r="F99" s="319" t="n">
        <v>45629</v>
      </c>
      <c r="G99" s="319" t="n">
        <v>45629</v>
      </c>
      <c r="H99" s="324" t="n">
        <f aca="false">+Tabla42[[#This Row],[Fecha de Respuesta]]-Tabla42[[#This Row],[Fecha de Envio]]</f>
        <v>0</v>
      </c>
      <c r="I99" s="319" t="s">
        <v>114</v>
      </c>
      <c r="J99" s="326" t="s">
        <v>310</v>
      </c>
    </row>
    <row r="100" customFormat="false" ht="85.5" hidden="true" customHeight="true" outlineLevel="0" collapsed="false">
      <c r="B100" s="321" t="n">
        <v>81</v>
      </c>
      <c r="C100" s="322" t="s">
        <v>222</v>
      </c>
      <c r="D100" s="322" t="s">
        <v>127</v>
      </c>
      <c r="E100" s="323" t="s">
        <v>311</v>
      </c>
      <c r="F100" s="319" t="n">
        <v>45632</v>
      </c>
      <c r="G100" s="319" t="n">
        <v>45632</v>
      </c>
      <c r="H100" s="324" t="n">
        <f aca="false">+Tabla42[[#This Row],[Fecha de Respuesta]]-Tabla42[[#This Row],[Fecha de Envio]]</f>
        <v>0</v>
      </c>
      <c r="I100" s="319" t="s">
        <v>114</v>
      </c>
      <c r="J100" s="326" t="s">
        <v>312</v>
      </c>
    </row>
    <row r="101" customFormat="false" ht="85.5" hidden="true" customHeight="true" outlineLevel="0" collapsed="false">
      <c r="B101" s="321" t="n">
        <v>82</v>
      </c>
      <c r="C101" s="322" t="s">
        <v>222</v>
      </c>
      <c r="D101" s="322" t="s">
        <v>127</v>
      </c>
      <c r="E101" s="323" t="s">
        <v>313</v>
      </c>
      <c r="F101" s="319" t="n">
        <v>45635</v>
      </c>
      <c r="G101" s="319" t="n">
        <v>45646</v>
      </c>
      <c r="H101" s="324" t="n">
        <f aca="false">+Tabla42[[#This Row],[Fecha de Respuesta]]-Tabla42[[#This Row],[Fecha de Envio]]</f>
        <v>11</v>
      </c>
      <c r="I101" s="319" t="s">
        <v>114</v>
      </c>
      <c r="J101" s="326" t="s">
        <v>314</v>
      </c>
    </row>
    <row r="102" customFormat="false" ht="85.5" hidden="true" customHeight="true" outlineLevel="0" collapsed="false">
      <c r="B102" s="321" t="n">
        <v>83</v>
      </c>
      <c r="C102" s="322" t="s">
        <v>222</v>
      </c>
      <c r="D102" s="322" t="s">
        <v>127</v>
      </c>
      <c r="E102" s="323" t="s">
        <v>315</v>
      </c>
      <c r="F102" s="319" t="n">
        <v>45638</v>
      </c>
      <c r="G102" s="319" t="n">
        <v>45646</v>
      </c>
      <c r="H102" s="324" t="n">
        <f aca="false">+Tabla42[[#This Row],[Fecha de Respuesta]]-Tabla42[[#This Row],[Fecha de Envio]]</f>
        <v>8</v>
      </c>
      <c r="I102" s="319" t="s">
        <v>114</v>
      </c>
      <c r="J102" s="326" t="s">
        <v>316</v>
      </c>
    </row>
    <row r="103" customFormat="false" ht="85.5" hidden="true" customHeight="true" outlineLevel="0" collapsed="false">
      <c r="B103" s="321" t="n">
        <v>84</v>
      </c>
      <c r="C103" s="322" t="s">
        <v>222</v>
      </c>
      <c r="D103" s="322" t="s">
        <v>127</v>
      </c>
      <c r="E103" s="323" t="s">
        <v>317</v>
      </c>
      <c r="F103" s="319" t="n">
        <v>45638</v>
      </c>
      <c r="G103" s="319" t="n">
        <v>45646</v>
      </c>
      <c r="H103" s="324" t="n">
        <f aca="false">+Tabla42[[#This Row],[Fecha de Respuesta]]-Tabla42[[#This Row],[Fecha de Envio]]</f>
        <v>8</v>
      </c>
      <c r="I103" s="319" t="s">
        <v>114</v>
      </c>
      <c r="J103" s="326" t="s">
        <v>318</v>
      </c>
    </row>
    <row r="104" customFormat="false" ht="85.5" hidden="true" customHeight="true" outlineLevel="0" collapsed="false">
      <c r="B104" s="321" t="n">
        <v>85</v>
      </c>
      <c r="C104" s="322" t="s">
        <v>222</v>
      </c>
      <c r="D104" s="322" t="s">
        <v>127</v>
      </c>
      <c r="E104" s="323" t="s">
        <v>319</v>
      </c>
      <c r="F104" s="319" t="n">
        <v>45638</v>
      </c>
      <c r="G104" s="319" t="n">
        <v>45751</v>
      </c>
      <c r="H104" s="324" t="n">
        <f aca="false">+Tabla42[[#This Row],[Fecha de Respuesta]]-Tabla42[[#This Row],[Fecha de Envio]]</f>
        <v>113</v>
      </c>
      <c r="I104" s="319" t="s">
        <v>114</v>
      </c>
      <c r="J104" s="326" t="s">
        <v>320</v>
      </c>
    </row>
    <row r="105" customFormat="false" ht="85.5" hidden="true" customHeight="true" outlineLevel="0" collapsed="false">
      <c r="B105" s="321" t="n">
        <v>86</v>
      </c>
      <c r="C105" s="322" t="s">
        <v>222</v>
      </c>
      <c r="D105" s="322" t="s">
        <v>116</v>
      </c>
      <c r="E105" s="323" t="s">
        <v>321</v>
      </c>
      <c r="F105" s="319" t="n">
        <v>45640</v>
      </c>
      <c r="G105" s="319" t="n">
        <v>46021</v>
      </c>
      <c r="H105" s="324" t="n">
        <f aca="false">+Tabla42[[#This Row],[Fecha de Respuesta]]-Tabla42[[#This Row],[Fecha de Envio]]</f>
        <v>381</v>
      </c>
      <c r="I105" s="319" t="s">
        <v>114</v>
      </c>
      <c r="J105" s="326" t="s">
        <v>322</v>
      </c>
    </row>
    <row r="106" customFormat="false" ht="85.5" hidden="true" customHeight="true" outlineLevel="0" collapsed="false">
      <c r="B106" s="321" t="n">
        <v>87</v>
      </c>
      <c r="C106" s="322" t="s">
        <v>222</v>
      </c>
      <c r="D106" s="328" t="s">
        <v>171</v>
      </c>
      <c r="E106" s="323" t="s">
        <v>323</v>
      </c>
      <c r="F106" s="319" t="n">
        <v>45640</v>
      </c>
      <c r="G106" s="319" t="n">
        <v>45652</v>
      </c>
      <c r="H106" s="324" t="n">
        <f aca="false">+Tabla42[[#This Row],[Fecha de Respuesta]]-Tabla42[[#This Row],[Fecha de Envio]]</f>
        <v>12</v>
      </c>
      <c r="I106" s="319" t="s">
        <v>114</v>
      </c>
      <c r="J106" s="326" t="s">
        <v>324</v>
      </c>
    </row>
    <row r="107" customFormat="false" ht="85.5" hidden="true" customHeight="true" outlineLevel="0" collapsed="false">
      <c r="B107" s="332" t="s">
        <v>325</v>
      </c>
      <c r="C107" s="322" t="s">
        <v>222</v>
      </c>
      <c r="D107" s="328" t="s">
        <v>171</v>
      </c>
      <c r="E107" s="323" t="s">
        <v>323</v>
      </c>
      <c r="F107" s="319" t="n">
        <v>45705</v>
      </c>
      <c r="G107" s="319" t="n">
        <v>45706</v>
      </c>
      <c r="H107" s="324" t="n">
        <f aca="false">+Tabla42[[#This Row],[Fecha de Respuesta]]-Tabla42[[#This Row],[Fecha de Envio]]</f>
        <v>1</v>
      </c>
      <c r="I107" s="319" t="s">
        <v>114</v>
      </c>
      <c r="J107" s="326" t="s">
        <v>326</v>
      </c>
    </row>
    <row r="108" customFormat="false" ht="85.5" hidden="true" customHeight="true" outlineLevel="0" collapsed="false">
      <c r="B108" s="332" t="s">
        <v>327</v>
      </c>
      <c r="C108" s="322" t="s">
        <v>222</v>
      </c>
      <c r="D108" s="328" t="s">
        <v>171</v>
      </c>
      <c r="E108" s="323" t="s">
        <v>323</v>
      </c>
      <c r="F108" s="319" t="n">
        <v>45744</v>
      </c>
      <c r="G108" s="319" t="n">
        <v>45750</v>
      </c>
      <c r="H108" s="324" t="n">
        <f aca="false">+Tabla42[[#This Row],[Fecha de Respuesta]]-Tabla42[[#This Row],[Fecha de Envio]]</f>
        <v>6</v>
      </c>
      <c r="I108" s="319" t="s">
        <v>114</v>
      </c>
      <c r="J108" s="326" t="s">
        <v>328</v>
      </c>
    </row>
    <row r="109" customFormat="false" ht="85.5" hidden="true" customHeight="true" outlineLevel="0" collapsed="false">
      <c r="B109" s="332" t="s">
        <v>329</v>
      </c>
      <c r="C109" s="322" t="s">
        <v>222</v>
      </c>
      <c r="D109" s="328" t="s">
        <v>171</v>
      </c>
      <c r="E109" s="323" t="s">
        <v>323</v>
      </c>
      <c r="F109" s="319" t="n">
        <v>45785</v>
      </c>
      <c r="G109" s="319" t="n">
        <v>45796</v>
      </c>
      <c r="H109" s="324" t="n">
        <f aca="false">+Tabla42[[#This Row],[Fecha de Respuesta]]-Tabla42[[#This Row],[Fecha de Envio]]</f>
        <v>11</v>
      </c>
      <c r="I109" s="319" t="s">
        <v>114</v>
      </c>
      <c r="J109" s="326" t="s">
        <v>330</v>
      </c>
    </row>
    <row r="110" customFormat="false" ht="85.5" hidden="true" customHeight="true" outlineLevel="0" collapsed="false">
      <c r="B110" s="321" t="s">
        <v>331</v>
      </c>
      <c r="C110" s="322" t="s">
        <v>222</v>
      </c>
      <c r="D110" s="328" t="s">
        <v>171</v>
      </c>
      <c r="E110" s="323" t="s">
        <v>323</v>
      </c>
      <c r="F110" s="319" t="n">
        <v>45813</v>
      </c>
      <c r="G110" s="319" t="n">
        <v>45826</v>
      </c>
      <c r="H110" s="324" t="n">
        <f aca="false">+Tabla42[[#This Row],[Fecha de Respuesta]]-Tabla42[[#This Row],[Fecha de Envio]]</f>
        <v>13</v>
      </c>
      <c r="I110" s="319" t="str">
        <f aca="false">+IF(Tabla42[[#This Row],[Fecha de Respuesta]]&gt;0,"Cerrada","Pendiente")</f>
        <v>Cerrada</v>
      </c>
      <c r="J110" s="326" t="s">
        <v>281</v>
      </c>
    </row>
    <row r="111" customFormat="false" ht="85.5" hidden="true" customHeight="true" outlineLevel="0" collapsed="false">
      <c r="B111" s="321" t="s">
        <v>332</v>
      </c>
      <c r="C111" s="322" t="s">
        <v>222</v>
      </c>
      <c r="D111" s="328" t="s">
        <v>171</v>
      </c>
      <c r="E111" s="323" t="s">
        <v>323</v>
      </c>
      <c r="F111" s="319" t="n">
        <v>45826</v>
      </c>
      <c r="G111" s="319" t="n">
        <v>45826</v>
      </c>
      <c r="H111" s="324" t="n">
        <f aca="false">+Tabla42[[#This Row],[Fecha de Respuesta]]-Tabla42[[#This Row],[Fecha de Envio]]</f>
        <v>0</v>
      </c>
      <c r="I111" s="319" t="str">
        <f aca="false">+IF(Tabla42[[#This Row],[Fecha de Respuesta]]&gt;0,"Cerrada","Pendiente")</f>
        <v>Cerrada</v>
      </c>
      <c r="J111" s="326" t="s">
        <v>333</v>
      </c>
      <c r="M111" s="340"/>
    </row>
    <row r="112" customFormat="false" ht="85.5" hidden="true" customHeight="true" outlineLevel="0" collapsed="false">
      <c r="B112" s="321" t="s">
        <v>334</v>
      </c>
      <c r="C112" s="322" t="s">
        <v>222</v>
      </c>
      <c r="D112" s="328" t="s">
        <v>171</v>
      </c>
      <c r="E112" s="323" t="s">
        <v>323</v>
      </c>
      <c r="F112" s="319" t="n">
        <v>45873</v>
      </c>
      <c r="G112" s="319" t="n">
        <v>45888</v>
      </c>
      <c r="H112" s="324" t="n">
        <f aca="false">+TODAY()-Tabla42[[#This Row],[Fecha de Envio]]</f>
        <v>207</v>
      </c>
      <c r="I112" s="319" t="str">
        <f aca="false">+IF(Tabla42[[#This Row],[Fecha de Respuesta]]&gt;0,"Cerrada","Pendiente")</f>
        <v>Cerrada</v>
      </c>
      <c r="J112" s="326" t="s">
        <v>335</v>
      </c>
      <c r="M112" s="340"/>
    </row>
    <row r="113" customFormat="false" ht="85.5" hidden="true" customHeight="true" outlineLevel="0" collapsed="false">
      <c r="B113" s="321" t="s">
        <v>336</v>
      </c>
      <c r="C113" s="322" t="s">
        <v>222</v>
      </c>
      <c r="D113" s="328" t="s">
        <v>171</v>
      </c>
      <c r="E113" s="323" t="s">
        <v>323</v>
      </c>
      <c r="F113" s="319" t="n">
        <v>45932</v>
      </c>
      <c r="G113" s="319" t="n">
        <v>45937</v>
      </c>
      <c r="H113" s="324" t="n">
        <f aca="false">+TODAY()-Tabla42[[#This Row],[Fecha de Envio]]</f>
        <v>148</v>
      </c>
      <c r="I113" s="319" t="str">
        <f aca="false">+IF(Tabla42[[#This Row],[Fecha de Respuesta]]&gt;0,"Cerrada","Pendiente")</f>
        <v>Cerrada</v>
      </c>
      <c r="J113" s="341" t="s">
        <v>337</v>
      </c>
      <c r="M113" s="340"/>
    </row>
    <row r="114" customFormat="false" ht="85.5" hidden="true" customHeight="true" outlineLevel="0" collapsed="false">
      <c r="B114" s="321" t="s">
        <v>338</v>
      </c>
      <c r="C114" s="322" t="s">
        <v>222</v>
      </c>
      <c r="D114" s="328" t="s">
        <v>171</v>
      </c>
      <c r="E114" s="323" t="s">
        <v>323</v>
      </c>
      <c r="F114" s="319" t="n">
        <v>45952</v>
      </c>
      <c r="G114" s="319" t="n">
        <v>45968</v>
      </c>
      <c r="H114" s="324" t="n">
        <f aca="false">+TODAY()-Tabla42[[#This Row],[Fecha de Envio]]</f>
        <v>128</v>
      </c>
      <c r="I114" s="319" t="str">
        <f aca="false">+IF(Tabla42[[#This Row],[Fecha de Respuesta]]&gt;0,"Cerrada","Pendiente")</f>
        <v>Cerrada</v>
      </c>
      <c r="J114" s="331" t="s">
        <v>339</v>
      </c>
      <c r="M114" s="340"/>
    </row>
    <row r="115" customFormat="false" ht="85.5" hidden="true" customHeight="true" outlineLevel="0" collapsed="false">
      <c r="B115" s="321" t="n">
        <v>88</v>
      </c>
      <c r="C115" s="322" t="s">
        <v>222</v>
      </c>
      <c r="D115" s="322" t="s">
        <v>116</v>
      </c>
      <c r="E115" s="323" t="s">
        <v>340</v>
      </c>
      <c r="F115" s="319" t="n">
        <v>45642</v>
      </c>
      <c r="G115" s="319" t="n">
        <v>45684</v>
      </c>
      <c r="H115" s="324" t="n">
        <f aca="false">+Tabla42[[#This Row],[Fecha de Respuesta]]-Tabla42[[#This Row],[Fecha de Envio]]</f>
        <v>42</v>
      </c>
      <c r="I115" s="319" t="s">
        <v>114</v>
      </c>
      <c r="J115" s="326" t="s">
        <v>341</v>
      </c>
      <c r="M115" s="340"/>
    </row>
    <row r="116" customFormat="false" ht="85.5" hidden="true" customHeight="true" outlineLevel="0" collapsed="false">
      <c r="B116" s="321" t="s">
        <v>342</v>
      </c>
      <c r="C116" s="322" t="s">
        <v>222</v>
      </c>
      <c r="D116" s="322" t="s">
        <v>116</v>
      </c>
      <c r="E116" s="323" t="s">
        <v>340</v>
      </c>
      <c r="F116" s="319" t="n">
        <v>45686</v>
      </c>
      <c r="G116" s="319" t="n">
        <v>45715</v>
      </c>
      <c r="H116" s="324" t="n">
        <f aca="false">+Tabla42[[#This Row],[Fecha de Respuesta]]-Tabla42[[#This Row],[Fecha de Envio]]</f>
        <v>29</v>
      </c>
      <c r="I116" s="319" t="s">
        <v>114</v>
      </c>
      <c r="J116" s="326" t="s">
        <v>343</v>
      </c>
    </row>
    <row r="117" customFormat="false" ht="85.5" hidden="true" customHeight="true" outlineLevel="0" collapsed="false">
      <c r="B117" s="321" t="n">
        <v>89</v>
      </c>
      <c r="C117" s="322" t="s">
        <v>222</v>
      </c>
      <c r="D117" s="322" t="s">
        <v>183</v>
      </c>
      <c r="E117" s="323" t="s">
        <v>344</v>
      </c>
      <c r="F117" s="319" t="n">
        <v>45644</v>
      </c>
      <c r="G117" s="319" t="n">
        <v>45691</v>
      </c>
      <c r="H117" s="324" t="n">
        <f aca="false">+Tabla42[[#This Row],[Fecha de Respuesta]]-Tabla42[[#This Row],[Fecha de Envio]]</f>
        <v>47</v>
      </c>
      <c r="I117" s="319" t="s">
        <v>114</v>
      </c>
      <c r="J117" s="326" t="s">
        <v>345</v>
      </c>
    </row>
    <row r="118" customFormat="false" ht="106.5" hidden="true" customHeight="true" outlineLevel="0" collapsed="false">
      <c r="B118" s="321" t="n">
        <v>90</v>
      </c>
      <c r="C118" s="322" t="s">
        <v>222</v>
      </c>
      <c r="D118" s="322" t="s">
        <v>183</v>
      </c>
      <c r="E118" s="323" t="s">
        <v>346</v>
      </c>
      <c r="F118" s="319" t="n">
        <v>45646</v>
      </c>
      <c r="G118" s="319" t="n">
        <v>45657</v>
      </c>
      <c r="H118" s="324" t="n">
        <f aca="false">+Tabla42[[#This Row],[Fecha de Respuesta]]-Tabla42[[#This Row],[Fecha de Envio]]</f>
        <v>11</v>
      </c>
      <c r="I118" s="319" t="s">
        <v>114</v>
      </c>
      <c r="J118" s="326" t="s">
        <v>347</v>
      </c>
    </row>
    <row r="119" customFormat="false" ht="106.5" hidden="true" customHeight="true" outlineLevel="0" collapsed="false">
      <c r="B119" s="321" t="s">
        <v>348</v>
      </c>
      <c r="C119" s="322" t="s">
        <v>222</v>
      </c>
      <c r="D119" s="322" t="s">
        <v>183</v>
      </c>
      <c r="E119" s="323" t="s">
        <v>346</v>
      </c>
      <c r="F119" s="319" t="n">
        <v>45659</v>
      </c>
      <c r="G119" s="319" t="n">
        <v>45666</v>
      </c>
      <c r="H119" s="324" t="n">
        <f aca="false">+Tabla42[[#This Row],[Fecha de Respuesta]]-Tabla42[[#This Row],[Fecha de Envio]]</f>
        <v>7</v>
      </c>
      <c r="I119" s="319" t="s">
        <v>114</v>
      </c>
      <c r="J119" s="326" t="s">
        <v>349</v>
      </c>
    </row>
    <row r="120" customFormat="false" ht="85.5" hidden="true" customHeight="true" outlineLevel="0" collapsed="false">
      <c r="B120" s="321" t="s">
        <v>350</v>
      </c>
      <c r="C120" s="322" t="s">
        <v>222</v>
      </c>
      <c r="D120" s="322" t="s">
        <v>183</v>
      </c>
      <c r="E120" s="323" t="s">
        <v>346</v>
      </c>
      <c r="F120" s="319" t="n">
        <v>45679</v>
      </c>
      <c r="G120" s="319" t="n">
        <v>45686</v>
      </c>
      <c r="H120" s="324" t="n">
        <f aca="false">+Tabla42[[#This Row],[Fecha de Respuesta]]-Tabla42[[#This Row],[Fecha de Envio]]</f>
        <v>7</v>
      </c>
      <c r="I120" s="319" t="s">
        <v>114</v>
      </c>
      <c r="J120" s="326" t="s">
        <v>351</v>
      </c>
    </row>
    <row r="121" customFormat="false" ht="85.5" hidden="true" customHeight="true" outlineLevel="0" collapsed="false">
      <c r="B121" s="321" t="s">
        <v>352</v>
      </c>
      <c r="C121" s="322" t="s">
        <v>222</v>
      </c>
      <c r="D121" s="322" t="s">
        <v>183</v>
      </c>
      <c r="E121" s="323" t="s">
        <v>346</v>
      </c>
      <c r="F121" s="319" t="n">
        <v>45293</v>
      </c>
      <c r="G121" s="319" t="n">
        <v>45300</v>
      </c>
      <c r="H121" s="324" t="n">
        <f aca="false">+Tabla42[[#This Row],[Fecha de Respuesta]]-Tabla42[[#This Row],[Fecha de Envio]]</f>
        <v>7</v>
      </c>
      <c r="I121" s="319" t="s">
        <v>114</v>
      </c>
      <c r="J121" s="326" t="s">
        <v>353</v>
      </c>
    </row>
    <row r="122" customFormat="false" ht="112.5" hidden="true" customHeight="true" outlineLevel="0" collapsed="false">
      <c r="B122" s="321" t="s">
        <v>354</v>
      </c>
      <c r="C122" s="322" t="s">
        <v>222</v>
      </c>
      <c r="D122" s="322" t="s">
        <v>183</v>
      </c>
      <c r="E122" s="323" t="s">
        <v>346</v>
      </c>
      <c r="F122" s="319" t="n">
        <v>45758</v>
      </c>
      <c r="G122" s="319" t="n">
        <v>45784</v>
      </c>
      <c r="H122" s="324" t="n">
        <f aca="false">+Tabla42[[#This Row],[Fecha de Respuesta]]-Tabla42[[#This Row],[Fecha de Envio]]</f>
        <v>26</v>
      </c>
      <c r="I122" s="319" t="str">
        <f aca="false">+IF(Tabla42[[#This Row],[Fecha de Respuesta]]&gt;0,"Cerrada","Pendiente")</f>
        <v>Cerrada</v>
      </c>
      <c r="J122" s="331" t="s">
        <v>355</v>
      </c>
    </row>
    <row r="123" customFormat="false" ht="85.5" hidden="true" customHeight="true" outlineLevel="0" collapsed="false">
      <c r="B123" s="321" t="s">
        <v>356</v>
      </c>
      <c r="C123" s="322" t="s">
        <v>222</v>
      </c>
      <c r="D123" s="322" t="s">
        <v>183</v>
      </c>
      <c r="E123" s="323" t="s">
        <v>357</v>
      </c>
      <c r="F123" s="319" t="n">
        <v>45656</v>
      </c>
      <c r="G123" s="319" t="n">
        <v>45730</v>
      </c>
      <c r="H123" s="324" t="n">
        <f aca="false">+Tabla42[[#This Row],[Fecha de Respuesta]]-Tabla42[[#This Row],[Fecha de Envio]]</f>
        <v>74</v>
      </c>
      <c r="I123" s="319" t="s">
        <v>114</v>
      </c>
      <c r="J123" s="326" t="s">
        <v>358</v>
      </c>
    </row>
    <row r="124" customFormat="false" ht="85.5" hidden="true" customHeight="true" outlineLevel="0" collapsed="false">
      <c r="B124" s="321" t="s">
        <v>359</v>
      </c>
      <c r="C124" s="322" t="s">
        <v>222</v>
      </c>
      <c r="D124" s="322" t="s">
        <v>183</v>
      </c>
      <c r="E124" s="323" t="s">
        <v>360</v>
      </c>
      <c r="F124" s="319" t="n">
        <v>45656</v>
      </c>
      <c r="G124" s="319" t="n">
        <v>45681</v>
      </c>
      <c r="H124" s="324" t="n">
        <f aca="false">+Tabla42[[#This Row],[Fecha de Respuesta]]-Tabla42[[#This Row],[Fecha de Envio]]</f>
        <v>25</v>
      </c>
      <c r="I124" s="319" t="s">
        <v>114</v>
      </c>
      <c r="J124" s="326" t="s">
        <v>361</v>
      </c>
    </row>
    <row r="125" customFormat="false" ht="85.5" hidden="true" customHeight="true" outlineLevel="0" collapsed="false">
      <c r="B125" s="321" t="n">
        <v>93</v>
      </c>
      <c r="C125" s="322" t="s">
        <v>222</v>
      </c>
      <c r="D125" s="322" t="s">
        <v>183</v>
      </c>
      <c r="E125" s="323" t="s">
        <v>362</v>
      </c>
      <c r="F125" s="319" t="n">
        <v>45663</v>
      </c>
      <c r="G125" s="319" t="n">
        <v>45665</v>
      </c>
      <c r="H125" s="324" t="n">
        <f aca="false">+Tabla42[[#This Row],[Fecha de Respuesta]]-Tabla42[[#This Row],[Fecha de Envio]]</f>
        <v>2</v>
      </c>
      <c r="I125" s="319" t="s">
        <v>114</v>
      </c>
      <c r="J125" s="326" t="s">
        <v>363</v>
      </c>
    </row>
    <row r="126" customFormat="false" ht="85.5" hidden="true" customHeight="true" outlineLevel="0" collapsed="false">
      <c r="B126" s="321" t="s">
        <v>364</v>
      </c>
      <c r="C126" s="322" t="s">
        <v>222</v>
      </c>
      <c r="D126" s="322" t="s">
        <v>183</v>
      </c>
      <c r="E126" s="323" t="s">
        <v>362</v>
      </c>
      <c r="F126" s="319" t="n">
        <v>45684</v>
      </c>
      <c r="G126" s="319" t="n">
        <v>45691</v>
      </c>
      <c r="H126" s="324" t="n">
        <f aca="false">+Tabla42[[#This Row],[Fecha de Respuesta]]-Tabla42[[#This Row],[Fecha de Envio]]</f>
        <v>7</v>
      </c>
      <c r="I126" s="319" t="str">
        <f aca="false">+IF(Tabla42[[#This Row],[Fecha de Respuesta]]&gt;0,"Cerrada","Pendiente")</f>
        <v>Cerrada</v>
      </c>
      <c r="J126" s="331" t="s">
        <v>365</v>
      </c>
    </row>
    <row r="127" customFormat="false" ht="85.5" hidden="true" customHeight="true" outlineLevel="0" collapsed="false">
      <c r="B127" s="321" t="s">
        <v>366</v>
      </c>
      <c r="C127" s="322" t="s">
        <v>222</v>
      </c>
      <c r="D127" s="322" t="s">
        <v>183</v>
      </c>
      <c r="E127" s="323" t="s">
        <v>362</v>
      </c>
      <c r="F127" s="319" t="n">
        <v>45694</v>
      </c>
      <c r="G127" s="319" t="n">
        <v>45698</v>
      </c>
      <c r="H127" s="324" t="n">
        <f aca="false">+Tabla42[[#This Row],[Fecha de Respuesta]]-Tabla42[[#This Row],[Fecha de Envio]]</f>
        <v>4</v>
      </c>
      <c r="I127" s="319" t="str">
        <f aca="false">+IF(Tabla42[[#This Row],[Fecha de Respuesta]]&gt;0,"Cerrada","Pendiente")</f>
        <v>Cerrada</v>
      </c>
      <c r="J127" s="331" t="s">
        <v>367</v>
      </c>
    </row>
    <row r="128" customFormat="false" ht="85.5" hidden="true" customHeight="true" outlineLevel="0" collapsed="false">
      <c r="B128" s="321" t="n">
        <v>94</v>
      </c>
      <c r="C128" s="322" t="s">
        <v>222</v>
      </c>
      <c r="D128" s="322" t="s">
        <v>127</v>
      </c>
      <c r="E128" s="323" t="s">
        <v>368</v>
      </c>
      <c r="F128" s="319" t="n">
        <v>45663</v>
      </c>
      <c r="G128" s="319" t="n">
        <v>45694</v>
      </c>
      <c r="H128" s="324" t="n">
        <f aca="false">+Tabla42[[#This Row],[Fecha de Respuesta]]-Tabla42[[#This Row],[Fecha de Envio]]</f>
        <v>31</v>
      </c>
      <c r="I128" s="319" t="s">
        <v>114</v>
      </c>
      <c r="J128" s="326" t="s">
        <v>369</v>
      </c>
    </row>
    <row r="129" customFormat="false" ht="85.5" hidden="true" customHeight="true" outlineLevel="0" collapsed="false">
      <c r="B129" s="321" t="n">
        <v>95</v>
      </c>
      <c r="C129" s="322" t="s">
        <v>222</v>
      </c>
      <c r="D129" s="322" t="s">
        <v>127</v>
      </c>
      <c r="E129" s="323" t="s">
        <v>370</v>
      </c>
      <c r="F129" s="319" t="n">
        <v>45664</v>
      </c>
      <c r="G129" s="319" t="n">
        <v>45722</v>
      </c>
      <c r="H129" s="324" t="n">
        <f aca="false">+Tabla42[[#This Row],[Fecha de Respuesta]]-Tabla42[[#This Row],[Fecha de Envio]]</f>
        <v>58</v>
      </c>
      <c r="I129" s="319" t="s">
        <v>114</v>
      </c>
      <c r="J129" s="326" t="s">
        <v>371</v>
      </c>
    </row>
    <row r="130" customFormat="false" ht="85.5" hidden="true" customHeight="true" outlineLevel="0" collapsed="false">
      <c r="B130" s="321" t="s">
        <v>372</v>
      </c>
      <c r="C130" s="322" t="s">
        <v>222</v>
      </c>
      <c r="D130" s="322" t="s">
        <v>183</v>
      </c>
      <c r="E130" s="323" t="s">
        <v>373</v>
      </c>
      <c r="F130" s="319" t="n">
        <v>45670</v>
      </c>
      <c r="G130" s="319" t="n">
        <v>45671</v>
      </c>
      <c r="H130" s="324" t="n">
        <f aca="false">+Tabla42[[#This Row],[Fecha de Respuesta]]-Tabla42[[#This Row],[Fecha de Envio]]</f>
        <v>1</v>
      </c>
      <c r="I130" s="319" t="s">
        <v>114</v>
      </c>
      <c r="J130" s="326" t="s">
        <v>374</v>
      </c>
    </row>
    <row r="131" customFormat="false" ht="85.5" hidden="true" customHeight="true" outlineLevel="0" collapsed="false">
      <c r="B131" s="321" t="s">
        <v>375</v>
      </c>
      <c r="C131" s="322" t="s">
        <v>222</v>
      </c>
      <c r="D131" s="322" t="s">
        <v>127</v>
      </c>
      <c r="E131" s="323" t="s">
        <v>376</v>
      </c>
      <c r="F131" s="319" t="n">
        <v>45670</v>
      </c>
      <c r="G131" s="319" t="n">
        <v>45701</v>
      </c>
      <c r="H131" s="324" t="n">
        <f aca="false">+Tabla42[[#This Row],[Fecha de Respuesta]]-Tabla42[[#This Row],[Fecha de Envio]]</f>
        <v>31</v>
      </c>
      <c r="I131" s="319" t="s">
        <v>114</v>
      </c>
      <c r="J131" s="326" t="s">
        <v>377</v>
      </c>
    </row>
    <row r="132" customFormat="false" ht="85.5" hidden="true" customHeight="true" outlineLevel="0" collapsed="false">
      <c r="B132" s="321" t="s">
        <v>378</v>
      </c>
      <c r="C132" s="322" t="s">
        <v>222</v>
      </c>
      <c r="D132" s="322" t="s">
        <v>127</v>
      </c>
      <c r="E132" s="323" t="s">
        <v>379</v>
      </c>
      <c r="F132" s="319" t="n">
        <v>45673</v>
      </c>
      <c r="G132" s="319" t="n">
        <v>45694</v>
      </c>
      <c r="H132" s="324" t="n">
        <f aca="false">+Tabla42[[#This Row],[Fecha de Respuesta]]-Tabla42[[#This Row],[Fecha de Envio]]</f>
        <v>21</v>
      </c>
      <c r="I132" s="319" t="s">
        <v>114</v>
      </c>
      <c r="J132" s="326" t="s">
        <v>380</v>
      </c>
    </row>
    <row r="133" customFormat="false" ht="85.5" hidden="true" customHeight="true" outlineLevel="0" collapsed="false">
      <c r="B133" s="321" t="s">
        <v>381</v>
      </c>
      <c r="C133" s="322" t="s">
        <v>222</v>
      </c>
      <c r="D133" s="322" t="s">
        <v>183</v>
      </c>
      <c r="E133" s="323" t="s">
        <v>382</v>
      </c>
      <c r="F133" s="319" t="n">
        <v>45677</v>
      </c>
      <c r="G133" s="319" t="n">
        <v>45691</v>
      </c>
      <c r="H133" s="324" t="n">
        <f aca="false">+Tabla42[[#This Row],[Fecha de Respuesta]]-Tabla42[[#This Row],[Fecha de Envio]]</f>
        <v>14</v>
      </c>
      <c r="I133" s="319" t="s">
        <v>114</v>
      </c>
      <c r="J133" s="326" t="s">
        <v>383</v>
      </c>
    </row>
    <row r="134" customFormat="false" ht="85.5" hidden="true" customHeight="true" outlineLevel="0" collapsed="false">
      <c r="B134" s="321" t="s">
        <v>384</v>
      </c>
      <c r="C134" s="322" t="s">
        <v>222</v>
      </c>
      <c r="D134" s="322" t="s">
        <v>183</v>
      </c>
      <c r="E134" s="323" t="s">
        <v>385</v>
      </c>
      <c r="F134" s="319" t="n">
        <v>45677</v>
      </c>
      <c r="G134" s="319" t="n">
        <v>45705</v>
      </c>
      <c r="H134" s="324" t="n">
        <f aca="false">+Tabla42[[#This Row],[Fecha de Respuesta]]-Tabla42[[#This Row],[Fecha de Envio]]</f>
        <v>28</v>
      </c>
      <c r="I134" s="319" t="s">
        <v>114</v>
      </c>
      <c r="J134" s="326" t="s">
        <v>386</v>
      </c>
    </row>
    <row r="135" customFormat="false" ht="85.5" hidden="true" customHeight="true" outlineLevel="0" collapsed="false">
      <c r="B135" s="321" t="s">
        <v>387</v>
      </c>
      <c r="C135" s="322" t="s">
        <v>222</v>
      </c>
      <c r="D135" s="322" t="s">
        <v>183</v>
      </c>
      <c r="E135" s="323" t="s">
        <v>388</v>
      </c>
      <c r="F135" s="319" t="n">
        <v>45685</v>
      </c>
      <c r="G135" s="319" t="n">
        <v>45687</v>
      </c>
      <c r="H135" s="324" t="n">
        <f aca="false">+Tabla42[[#This Row],[Fecha de Respuesta]]-Tabla42[[#This Row],[Fecha de Envio]]</f>
        <v>2</v>
      </c>
      <c r="I135" s="319" t="s">
        <v>114</v>
      </c>
      <c r="J135" s="326" t="s">
        <v>389</v>
      </c>
    </row>
    <row r="136" customFormat="false" ht="85.5" hidden="true" customHeight="true" outlineLevel="0" collapsed="false">
      <c r="B136" s="321" t="s">
        <v>390</v>
      </c>
      <c r="C136" s="322" t="s">
        <v>222</v>
      </c>
      <c r="D136" s="322" t="s">
        <v>183</v>
      </c>
      <c r="E136" s="323" t="s">
        <v>388</v>
      </c>
      <c r="F136" s="319" t="n">
        <v>45692</v>
      </c>
      <c r="G136" s="319" t="n">
        <v>45695</v>
      </c>
      <c r="H136" s="324" t="n">
        <f aca="false">+Tabla42[[#This Row],[Fecha de Respuesta]]-Tabla42[[#This Row],[Fecha de Envio]]</f>
        <v>3</v>
      </c>
      <c r="I136" s="319" t="str">
        <f aca="false">+IF(Tabla42[[#This Row],[Fecha de Respuesta]]&gt;0,"Cerrada","Pendiente")</f>
        <v>Cerrada</v>
      </c>
      <c r="J136" s="331" t="s">
        <v>391</v>
      </c>
    </row>
    <row r="137" customFormat="false" ht="85.5" hidden="true" customHeight="true" outlineLevel="0" collapsed="false">
      <c r="B137" s="321" t="s">
        <v>392</v>
      </c>
      <c r="C137" s="322" t="s">
        <v>222</v>
      </c>
      <c r="D137" s="322" t="s">
        <v>183</v>
      </c>
      <c r="E137" s="323" t="s">
        <v>388</v>
      </c>
      <c r="F137" s="319" t="n">
        <v>45712</v>
      </c>
      <c r="G137" s="319" t="n">
        <v>45728</v>
      </c>
      <c r="H137" s="324" t="n">
        <f aca="false">+Tabla42[[#This Row],[Fecha de Respuesta]]-Tabla42[[#This Row],[Fecha de Envio]]</f>
        <v>16</v>
      </c>
      <c r="I137" s="319" t="str">
        <f aca="false">+IF(Tabla42[[#This Row],[Fecha de Respuesta]]&gt;0,"Cerrada","Pendiente")</f>
        <v>Cerrada</v>
      </c>
      <c r="J137" s="331" t="s">
        <v>393</v>
      </c>
    </row>
    <row r="138" customFormat="false" ht="85.5" hidden="true" customHeight="true" outlineLevel="0" collapsed="false">
      <c r="B138" s="321" t="s">
        <v>394</v>
      </c>
      <c r="C138" s="322" t="s">
        <v>222</v>
      </c>
      <c r="D138" s="322" t="s">
        <v>183</v>
      </c>
      <c r="E138" s="323" t="s">
        <v>388</v>
      </c>
      <c r="F138" s="319" t="n">
        <v>45742</v>
      </c>
      <c r="G138" s="319" t="n">
        <v>45751</v>
      </c>
      <c r="H138" s="324" t="n">
        <f aca="false">+Tabla42[[#This Row],[Fecha de Respuesta]]-Tabla42[[#This Row],[Fecha de Envio]]</f>
        <v>9</v>
      </c>
      <c r="I138" s="319" t="str">
        <f aca="false">+IF(Tabla42[[#This Row],[Fecha de Respuesta]]&gt;0,"Cerrada","Pendiente")</f>
        <v>Cerrada</v>
      </c>
      <c r="J138" s="331" t="s">
        <v>395</v>
      </c>
    </row>
    <row r="139" customFormat="false" ht="85.5" hidden="true" customHeight="true" outlineLevel="0" collapsed="false">
      <c r="B139" s="321" t="s">
        <v>396</v>
      </c>
      <c r="C139" s="322" t="s">
        <v>222</v>
      </c>
      <c r="D139" s="322" t="s">
        <v>116</v>
      </c>
      <c r="E139" s="323" t="s">
        <v>397</v>
      </c>
      <c r="F139" s="319" t="n">
        <v>45681</v>
      </c>
      <c r="G139" s="319" t="n">
        <v>45694</v>
      </c>
      <c r="H139" s="324" t="n">
        <f aca="false">+Tabla42[[#This Row],[Fecha de Respuesta]]-Tabla42[[#This Row],[Fecha de Envio]]</f>
        <v>13</v>
      </c>
      <c r="I139" s="319" t="s">
        <v>114</v>
      </c>
      <c r="J139" s="326" t="s">
        <v>398</v>
      </c>
    </row>
    <row r="140" customFormat="false" ht="85.5" hidden="true" customHeight="true" outlineLevel="0" collapsed="false">
      <c r="B140" s="321" t="n">
        <v>103</v>
      </c>
      <c r="C140" s="322" t="s">
        <v>222</v>
      </c>
      <c r="D140" s="322" t="s">
        <v>127</v>
      </c>
      <c r="E140" s="323" t="s">
        <v>399</v>
      </c>
      <c r="F140" s="319" t="n">
        <v>45698</v>
      </c>
      <c r="G140" s="319" t="n">
        <v>45743</v>
      </c>
      <c r="H140" s="324" t="n">
        <f aca="false">+Tabla42[[#This Row],[Fecha de Respuesta]]-Tabla42[[#This Row],[Fecha de Envio]]</f>
        <v>45</v>
      </c>
      <c r="I140" s="319" t="s">
        <v>114</v>
      </c>
      <c r="J140" s="326" t="s">
        <v>400</v>
      </c>
    </row>
    <row r="141" customFormat="false" ht="85.5" hidden="true" customHeight="true" outlineLevel="0" collapsed="false">
      <c r="B141" s="321" t="s">
        <v>401</v>
      </c>
      <c r="C141" s="322" t="s">
        <v>222</v>
      </c>
      <c r="D141" s="322" t="s">
        <v>127</v>
      </c>
      <c r="E141" s="323" t="s">
        <v>399</v>
      </c>
      <c r="F141" s="319" t="n">
        <v>45730</v>
      </c>
      <c r="G141" s="319" t="n">
        <v>45755</v>
      </c>
      <c r="H141" s="324" t="n">
        <f aca="false">+Tabla42[[#This Row],[Fecha de Respuesta]]-Tabla42[[#This Row],[Fecha de Envio]]</f>
        <v>25</v>
      </c>
      <c r="I141" s="319" t="str">
        <f aca="false">+IF(Tabla42[[#This Row],[Fecha de Respuesta]]&gt;0,"Cerrada","Pendiente")</f>
        <v>Cerrada</v>
      </c>
      <c r="J141" s="331" t="s">
        <v>402</v>
      </c>
    </row>
    <row r="142" customFormat="false" ht="85.5" hidden="false" customHeight="true" outlineLevel="0" collapsed="false">
      <c r="B142" s="321" t="n">
        <v>104</v>
      </c>
      <c r="C142" s="322" t="s">
        <v>222</v>
      </c>
      <c r="D142" s="322" t="s">
        <v>403</v>
      </c>
      <c r="E142" s="323" t="s">
        <v>404</v>
      </c>
      <c r="F142" s="319" t="n">
        <v>45701</v>
      </c>
      <c r="G142" s="319"/>
      <c r="H142" s="324" t="n">
        <f aca="false">+TODAY()-Tabla42[[#This Row],[Fecha de Envio]]</f>
        <v>379</v>
      </c>
      <c r="I142" s="319" t="str">
        <f aca="false">+IF(Tabla42[[#This Row],[Fecha de Respuesta]]&gt;0,"Cerrada","Pendiente")</f>
        <v>Pendiente</v>
      </c>
      <c r="J142" s="326"/>
    </row>
    <row r="143" customFormat="false" ht="85.5" hidden="true" customHeight="true" outlineLevel="0" collapsed="false">
      <c r="B143" s="321" t="n">
        <v>105</v>
      </c>
      <c r="C143" s="322" t="s">
        <v>222</v>
      </c>
      <c r="D143" s="322" t="s">
        <v>5</v>
      </c>
      <c r="E143" s="323" t="s">
        <v>405</v>
      </c>
      <c r="F143" s="319" t="n">
        <v>45706</v>
      </c>
      <c r="G143" s="319" t="n">
        <v>45719</v>
      </c>
      <c r="H143" s="324" t="n">
        <f aca="false">+Tabla42[[#This Row],[Fecha de Respuesta]]-Tabla42[[#This Row],[Fecha de Envio]]</f>
        <v>13</v>
      </c>
      <c r="I143" s="319" t="str">
        <f aca="false">+IF(Tabla42[[#This Row],[Fecha de Respuesta]]&gt;0,"Cerrada","Pendiente")</f>
        <v>Cerrada</v>
      </c>
      <c r="J143" s="326" t="s">
        <v>406</v>
      </c>
    </row>
    <row r="144" customFormat="false" ht="85.5" hidden="true" customHeight="true" outlineLevel="0" collapsed="false">
      <c r="B144" s="321" t="n">
        <v>106</v>
      </c>
      <c r="C144" s="322" t="s">
        <v>222</v>
      </c>
      <c r="D144" s="322" t="s">
        <v>116</v>
      </c>
      <c r="E144" s="323" t="s">
        <v>407</v>
      </c>
      <c r="F144" s="319" t="n">
        <v>45707</v>
      </c>
      <c r="G144" s="319" t="n">
        <v>45728</v>
      </c>
      <c r="H144" s="324" t="n">
        <f aca="false">+Tabla42[[#This Row],[Fecha de Respuesta]]-Tabla42[[#This Row],[Fecha de Envio]]</f>
        <v>21</v>
      </c>
      <c r="I144" s="319" t="str">
        <f aca="false">+IF(Tabla42[[#This Row],[Fecha de Respuesta]]&gt;0,"Cerrada","Pendiente")</f>
        <v>Cerrada</v>
      </c>
      <c r="J144" s="326" t="s">
        <v>408</v>
      </c>
    </row>
    <row r="145" customFormat="false" ht="117" hidden="true" customHeight="true" outlineLevel="0" collapsed="false">
      <c r="B145" s="321" t="n">
        <v>107</v>
      </c>
      <c r="C145" s="322" t="s">
        <v>222</v>
      </c>
      <c r="D145" s="322" t="s">
        <v>116</v>
      </c>
      <c r="E145" s="323" t="s">
        <v>409</v>
      </c>
      <c r="F145" s="319" t="n">
        <v>45709</v>
      </c>
      <c r="G145" s="319" t="n">
        <v>45838</v>
      </c>
      <c r="H145" s="324" t="n">
        <f aca="false">+Tabla42[[#This Row],[Fecha de Respuesta]]-Tabla42[[#This Row],[Fecha de Envio]]</f>
        <v>129</v>
      </c>
      <c r="I145" s="319" t="str">
        <f aca="false">+IF(Tabla42[[#This Row],[Fecha de Respuesta]]&gt;0,"Cerrada","Pendiente")</f>
        <v>Cerrada</v>
      </c>
      <c r="J145" s="326" t="s">
        <v>410</v>
      </c>
    </row>
    <row r="146" customFormat="false" ht="85.5" hidden="true" customHeight="true" outlineLevel="0" collapsed="false">
      <c r="B146" s="321" t="n">
        <v>108</v>
      </c>
      <c r="C146" s="322" t="s">
        <v>222</v>
      </c>
      <c r="D146" s="322" t="s">
        <v>183</v>
      </c>
      <c r="E146" s="323" t="s">
        <v>411</v>
      </c>
      <c r="F146" s="319" t="n">
        <v>45719</v>
      </c>
      <c r="G146" s="319" t="n">
        <v>45742</v>
      </c>
      <c r="H146" s="324" t="n">
        <f aca="false">+Tabla42[[#This Row],[Fecha de Respuesta]]-Tabla42[[#This Row],[Fecha de Envio]]</f>
        <v>23</v>
      </c>
      <c r="I146" s="319" t="str">
        <f aca="false">+IF(Tabla42[[#This Row],[Fecha de Respuesta]]&gt;0,"Cerrada","Pendiente")</f>
        <v>Cerrada</v>
      </c>
      <c r="J146" s="326" t="s">
        <v>412</v>
      </c>
    </row>
    <row r="147" customFormat="false" ht="85.5" hidden="true" customHeight="true" outlineLevel="0" collapsed="false">
      <c r="B147" s="321" t="n">
        <v>109</v>
      </c>
      <c r="C147" s="322" t="s">
        <v>222</v>
      </c>
      <c r="D147" s="322" t="s">
        <v>116</v>
      </c>
      <c r="E147" s="323" t="s">
        <v>413</v>
      </c>
      <c r="F147" s="319" t="n">
        <v>45708</v>
      </c>
      <c r="G147" s="319" t="n">
        <v>45728</v>
      </c>
      <c r="H147" s="324" t="n">
        <f aca="false">+Tabla42[[#This Row],[Fecha de Respuesta]]-Tabla42[[#This Row],[Fecha de Envio]]</f>
        <v>20</v>
      </c>
      <c r="I147" s="319" t="str">
        <f aca="false">+IF(Tabla42[[#This Row],[Fecha de Respuesta]]&gt;0,"Cerrada","Pendiente")</f>
        <v>Cerrada</v>
      </c>
      <c r="J147" s="326" t="s">
        <v>414</v>
      </c>
    </row>
    <row r="148" customFormat="false" ht="85.5" hidden="true" customHeight="true" outlineLevel="0" collapsed="false">
      <c r="B148" s="321" t="n">
        <v>110</v>
      </c>
      <c r="C148" s="322" t="s">
        <v>222</v>
      </c>
      <c r="D148" s="322" t="s">
        <v>183</v>
      </c>
      <c r="E148" s="323" t="s">
        <v>415</v>
      </c>
      <c r="F148" s="319" t="n">
        <v>45719</v>
      </c>
      <c r="G148" s="319" t="n">
        <v>45754</v>
      </c>
      <c r="H148" s="324" t="n">
        <f aca="false">+Tabla42[[#This Row],[Fecha de Respuesta]]-Tabla42[[#This Row],[Fecha de Envio]]</f>
        <v>35</v>
      </c>
      <c r="I148" s="319" t="str">
        <f aca="false">+IF(Tabla42[[#This Row],[Fecha de Respuesta]]&gt;0,"Cerrada","Pendiente")</f>
        <v>Cerrada</v>
      </c>
      <c r="J148" s="326" t="s">
        <v>416</v>
      </c>
    </row>
    <row r="149" customFormat="false" ht="85.5" hidden="true" customHeight="true" outlineLevel="0" collapsed="false">
      <c r="B149" s="321" t="n">
        <v>111</v>
      </c>
      <c r="C149" s="322" t="s">
        <v>222</v>
      </c>
      <c r="D149" s="322" t="s">
        <v>5</v>
      </c>
      <c r="E149" s="323" t="s">
        <v>417</v>
      </c>
      <c r="F149" s="319" t="n">
        <v>45719</v>
      </c>
      <c r="G149" s="319" t="n">
        <v>45786</v>
      </c>
      <c r="H149" s="324" t="n">
        <f aca="false">+Tabla42[[#This Row],[Fecha de Respuesta]]-Tabla42[[#This Row],[Fecha de Envio]]</f>
        <v>67</v>
      </c>
      <c r="I149" s="319" t="str">
        <f aca="false">+IF(Tabla42[[#This Row],[Fecha de Respuesta]]&gt;0,"Cerrada","Pendiente")</f>
        <v>Cerrada</v>
      </c>
      <c r="J149" s="326" t="s">
        <v>418</v>
      </c>
    </row>
    <row r="150" customFormat="false" ht="85.5" hidden="true" customHeight="true" outlineLevel="0" collapsed="false">
      <c r="B150" s="321" t="n">
        <v>112</v>
      </c>
      <c r="C150" s="322" t="s">
        <v>222</v>
      </c>
      <c r="D150" s="322" t="s">
        <v>183</v>
      </c>
      <c r="E150" s="323" t="s">
        <v>419</v>
      </c>
      <c r="F150" s="319" t="n">
        <v>45728</v>
      </c>
      <c r="G150" s="319" t="n">
        <v>45729</v>
      </c>
      <c r="H150" s="324" t="n">
        <f aca="false">+Tabla42[[#This Row],[Fecha de Respuesta]]-Tabla42[[#This Row],[Fecha de Envio]]</f>
        <v>1</v>
      </c>
      <c r="I150" s="319" t="str">
        <f aca="false">+IF(Tabla42[[#This Row],[Fecha de Respuesta]]&gt;0,"Cerrada","Pendiente")</f>
        <v>Cerrada</v>
      </c>
      <c r="J150" s="331" t="s">
        <v>420</v>
      </c>
    </row>
    <row r="151" customFormat="false" ht="85.5" hidden="true" customHeight="true" outlineLevel="0" collapsed="false">
      <c r="B151" s="321" t="s">
        <v>421</v>
      </c>
      <c r="C151" s="322" t="s">
        <v>222</v>
      </c>
      <c r="D151" s="322" t="s">
        <v>183</v>
      </c>
      <c r="E151" s="323" t="s">
        <v>419</v>
      </c>
      <c r="F151" s="319" t="n">
        <v>45734</v>
      </c>
      <c r="G151" s="319" t="n">
        <v>45735</v>
      </c>
      <c r="H151" s="324" t="n">
        <f aca="false">+Tabla42[[#This Row],[Fecha de Respuesta]]-Tabla42[[#This Row],[Fecha de Envio]]</f>
        <v>1</v>
      </c>
      <c r="I151" s="319" t="str">
        <f aca="false">+IF(Tabla42[[#This Row],[Fecha de Respuesta]]&gt;0,"Cerrada","Pendiente")</f>
        <v>Cerrada</v>
      </c>
      <c r="J151" s="331" t="s">
        <v>422</v>
      </c>
    </row>
    <row r="152" customFormat="false" ht="85.5" hidden="true" customHeight="true" outlineLevel="0" collapsed="false">
      <c r="B152" s="321" t="s">
        <v>423</v>
      </c>
      <c r="C152" s="322" t="s">
        <v>222</v>
      </c>
      <c r="D152" s="322" t="s">
        <v>183</v>
      </c>
      <c r="E152" s="323" t="s">
        <v>419</v>
      </c>
      <c r="F152" s="319" t="n">
        <v>45735</v>
      </c>
      <c r="G152" s="319" t="n">
        <v>45735</v>
      </c>
      <c r="H152" s="324" t="n">
        <f aca="false">+Tabla42[[#This Row],[Fecha de Respuesta]]-Tabla42[[#This Row],[Fecha de Envio]]</f>
        <v>0</v>
      </c>
      <c r="I152" s="319" t="str">
        <f aca="false">+IF(Tabla42[[#This Row],[Fecha de Respuesta]]&gt;0,"Cerrada","Pendiente")</f>
        <v>Cerrada</v>
      </c>
      <c r="J152" s="331" t="s">
        <v>424</v>
      </c>
    </row>
    <row r="153" customFormat="false" ht="85.5" hidden="true" customHeight="true" outlineLevel="0" collapsed="false">
      <c r="B153" s="321" t="s">
        <v>425</v>
      </c>
      <c r="C153" s="322" t="s">
        <v>222</v>
      </c>
      <c r="D153" s="322" t="s">
        <v>183</v>
      </c>
      <c r="E153" s="323" t="s">
        <v>419</v>
      </c>
      <c r="F153" s="319" t="n">
        <v>45736</v>
      </c>
      <c r="G153" s="319" t="n">
        <v>45737</v>
      </c>
      <c r="H153" s="324" t="n">
        <f aca="false">+Tabla42[[#This Row],[Fecha de Respuesta]]-Tabla42[[#This Row],[Fecha de Envio]]</f>
        <v>1</v>
      </c>
      <c r="I153" s="319" t="str">
        <f aca="false">+IF(Tabla42[[#This Row],[Fecha de Respuesta]]&gt;0,"Cerrada","Pendiente")</f>
        <v>Cerrada</v>
      </c>
      <c r="J153" s="326" t="s">
        <v>426</v>
      </c>
    </row>
    <row r="154" customFormat="false" ht="85.5" hidden="true" customHeight="true" outlineLevel="0" collapsed="false">
      <c r="B154" s="321" t="n">
        <v>113</v>
      </c>
      <c r="C154" s="322" t="s">
        <v>222</v>
      </c>
      <c r="D154" s="322" t="s">
        <v>183</v>
      </c>
      <c r="E154" s="323" t="s">
        <v>427</v>
      </c>
      <c r="F154" s="319" t="n">
        <v>45730</v>
      </c>
      <c r="G154" s="319" t="n">
        <v>45750</v>
      </c>
      <c r="H154" s="324" t="n">
        <f aca="false">+Tabla42[[#This Row],[Fecha de Respuesta]]-Tabla42[[#This Row],[Fecha de Envio]]</f>
        <v>20</v>
      </c>
      <c r="I154" s="319" t="str">
        <f aca="false">+IF(Tabla42[[#This Row],[Fecha de Respuesta]]&gt;0,"Cerrada","Pendiente")</f>
        <v>Cerrada</v>
      </c>
      <c r="J154" s="326" t="s">
        <v>428</v>
      </c>
    </row>
    <row r="155" customFormat="false" ht="85.5" hidden="false" customHeight="true" outlineLevel="0" collapsed="false">
      <c r="B155" s="321" t="n">
        <v>114</v>
      </c>
      <c r="C155" s="322" t="s">
        <v>222</v>
      </c>
      <c r="D155" s="328" t="s">
        <v>171</v>
      </c>
      <c r="E155" s="323" t="s">
        <v>429</v>
      </c>
      <c r="F155" s="319" t="n">
        <v>45730</v>
      </c>
      <c r="G155" s="319"/>
      <c r="H155" s="324" t="n">
        <f aca="false">+TODAY()-Tabla42[[#This Row],[Fecha de Envio]]</f>
        <v>350</v>
      </c>
      <c r="I155" s="319" t="str">
        <f aca="false">+IF(Tabla42[[#This Row],[Fecha de Respuesta]]&gt;0,"Cerrada","Pendiente")</f>
        <v>Pendiente</v>
      </c>
      <c r="J155" s="326"/>
    </row>
    <row r="156" customFormat="false" ht="85.5" hidden="false" customHeight="true" outlineLevel="0" collapsed="false">
      <c r="B156" s="321" t="n">
        <v>115</v>
      </c>
      <c r="C156" s="322" t="s">
        <v>222</v>
      </c>
      <c r="D156" s="322" t="s">
        <v>5</v>
      </c>
      <c r="E156" s="323" t="s">
        <v>430</v>
      </c>
      <c r="F156" s="319" t="n">
        <v>45730</v>
      </c>
      <c r="G156" s="319"/>
      <c r="H156" s="324" t="n">
        <f aca="false">+TODAY()-Tabla42[[#This Row],[Fecha de Envio]]</f>
        <v>350</v>
      </c>
      <c r="I156" s="319" t="str">
        <f aca="false">+IF(Tabla42[[#This Row],[Fecha de Respuesta]]&gt;0,"Cerrada","Pendiente")</f>
        <v>Pendiente</v>
      </c>
      <c r="J156" s="326"/>
    </row>
    <row r="157" customFormat="false" ht="85.5" hidden="true" customHeight="true" outlineLevel="0" collapsed="false">
      <c r="B157" s="321" t="n">
        <v>116</v>
      </c>
      <c r="C157" s="322" t="s">
        <v>222</v>
      </c>
      <c r="D157" s="322" t="s">
        <v>127</v>
      </c>
      <c r="E157" s="323" t="s">
        <v>431</v>
      </c>
      <c r="F157" s="319" t="n">
        <v>45730</v>
      </c>
      <c r="G157" s="319" t="n">
        <v>45888</v>
      </c>
      <c r="H157" s="324" t="n">
        <f aca="false">+TODAY()-Tabla42[[#This Row],[Fecha de Envio]]</f>
        <v>350</v>
      </c>
      <c r="I157" s="319" t="str">
        <f aca="false">+IF(Tabla42[[#This Row],[Fecha de Respuesta]]&gt;0,"Cerrada","Pendiente")</f>
        <v>Cerrada</v>
      </c>
      <c r="J157" s="326" t="s">
        <v>432</v>
      </c>
    </row>
    <row r="158" customFormat="false" ht="85.5" hidden="false" customHeight="true" outlineLevel="0" collapsed="false">
      <c r="B158" s="321" t="n">
        <v>117</v>
      </c>
      <c r="C158" s="322" t="s">
        <v>222</v>
      </c>
      <c r="D158" s="322" t="s">
        <v>116</v>
      </c>
      <c r="E158" s="323" t="s">
        <v>433</v>
      </c>
      <c r="F158" s="319" t="n">
        <v>45730</v>
      </c>
      <c r="G158" s="319"/>
      <c r="H158" s="324" t="n">
        <f aca="false">+TODAY()-Tabla42[[#This Row],[Fecha de Envio]]</f>
        <v>350</v>
      </c>
      <c r="I158" s="319" t="str">
        <f aca="false">+IF(Tabla42[[#This Row],[Fecha de Respuesta]]&gt;0,"Cerrada","Pendiente")</f>
        <v>Pendiente</v>
      </c>
      <c r="J158" s="326"/>
    </row>
    <row r="159" customFormat="false" ht="85.5" hidden="false" customHeight="true" outlineLevel="0" collapsed="false">
      <c r="B159" s="321" t="n">
        <v>118</v>
      </c>
      <c r="C159" s="322" t="s">
        <v>222</v>
      </c>
      <c r="D159" s="322" t="s">
        <v>183</v>
      </c>
      <c r="E159" s="323" t="s">
        <v>434</v>
      </c>
      <c r="F159" s="319" t="n">
        <v>45730</v>
      </c>
      <c r="G159" s="319"/>
      <c r="H159" s="324" t="n">
        <f aca="false">+TODAY()-Tabla42[[#This Row],[Fecha de Envio]]</f>
        <v>350</v>
      </c>
      <c r="I159" s="319" t="str">
        <f aca="false">+IF(Tabla42[[#This Row],[Fecha de Respuesta]]&gt;0,"Cerrada","Pendiente")</f>
        <v>Pendiente</v>
      </c>
      <c r="J159" s="326"/>
    </row>
    <row r="160" customFormat="false" ht="85.5" hidden="true" customHeight="true" outlineLevel="0" collapsed="false">
      <c r="B160" s="321" t="n">
        <v>119</v>
      </c>
      <c r="C160" s="322" t="s">
        <v>222</v>
      </c>
      <c r="D160" s="322" t="s">
        <v>183</v>
      </c>
      <c r="E160" s="323" t="s">
        <v>435</v>
      </c>
      <c r="F160" s="319" t="n">
        <v>45730</v>
      </c>
      <c r="G160" s="319" t="n">
        <v>45750</v>
      </c>
      <c r="H160" s="324" t="n">
        <f aca="false">+Tabla42[[#This Row],[Fecha de Respuesta]]-Tabla42[[#This Row],[Fecha de Envio]]</f>
        <v>20</v>
      </c>
      <c r="I160" s="319" t="str">
        <f aca="false">+IF(Tabla42[[#This Row],[Fecha de Respuesta]]&gt;0,"Cerrada","Pendiente")</f>
        <v>Cerrada</v>
      </c>
      <c r="J160" s="326" t="s">
        <v>436</v>
      </c>
    </row>
    <row r="161" customFormat="false" ht="85.5" hidden="true" customHeight="true" outlineLevel="0" collapsed="false">
      <c r="B161" s="321" t="n">
        <v>120</v>
      </c>
      <c r="C161" s="322" t="s">
        <v>222</v>
      </c>
      <c r="D161" s="322" t="s">
        <v>437</v>
      </c>
      <c r="E161" s="323" t="s">
        <v>438</v>
      </c>
      <c r="F161" s="319" t="n">
        <v>45733</v>
      </c>
      <c r="G161" s="319" t="n">
        <v>45863</v>
      </c>
      <c r="H161" s="324" t="n">
        <f aca="false">+TODAY()-Tabla42[[#This Row],[Fecha de Envio]]</f>
        <v>347</v>
      </c>
      <c r="I161" s="319" t="str">
        <f aca="false">+IF(Tabla42[[#This Row],[Fecha de Respuesta]]&gt;0,"Cerrada","Pendiente")</f>
        <v>Cerrada</v>
      </c>
      <c r="J161" s="326" t="s">
        <v>439</v>
      </c>
    </row>
    <row r="162" customFormat="false" ht="85.5" hidden="true" customHeight="true" outlineLevel="0" collapsed="false">
      <c r="B162" s="321" t="n">
        <v>121</v>
      </c>
      <c r="C162" s="322" t="s">
        <v>222</v>
      </c>
      <c r="D162" s="322" t="s">
        <v>183</v>
      </c>
      <c r="E162" s="323" t="s">
        <v>440</v>
      </c>
      <c r="F162" s="319" t="n">
        <v>45733</v>
      </c>
      <c r="G162" s="319" t="n">
        <v>45992</v>
      </c>
      <c r="H162" s="324" t="n">
        <f aca="false">+TODAY()-Tabla42[[#This Row],[Fecha de Envio]]</f>
        <v>347</v>
      </c>
      <c r="I162" s="319" t="str">
        <f aca="false">+IF(Tabla42[[#This Row],[Fecha de Respuesta]]&gt;0,"Cerrada","Pendiente")</f>
        <v>Cerrada</v>
      </c>
      <c r="J162" s="326" t="s">
        <v>441</v>
      </c>
    </row>
    <row r="163" customFormat="false" ht="207.75" hidden="true" customHeight="true" outlineLevel="0" collapsed="false">
      <c r="B163" s="321" t="n">
        <v>122</v>
      </c>
      <c r="C163" s="322" t="s">
        <v>222</v>
      </c>
      <c r="D163" s="322" t="s">
        <v>183</v>
      </c>
      <c r="E163" s="323" t="s">
        <v>442</v>
      </c>
      <c r="F163" s="319" t="n">
        <v>45733</v>
      </c>
      <c r="G163" s="319" t="n">
        <v>45805</v>
      </c>
      <c r="H163" s="324" t="n">
        <f aca="false">+Tabla42[[#This Row],[Fecha de Respuesta]]-Tabla42[[#This Row],[Fecha de Envio]]</f>
        <v>72</v>
      </c>
      <c r="I163" s="319" t="str">
        <f aca="false">+IF(Tabla42[[#This Row],[Fecha de Respuesta]]&gt;0,"Cerrada","Pendiente")</f>
        <v>Cerrada</v>
      </c>
      <c r="J163" s="326" t="s">
        <v>443</v>
      </c>
    </row>
    <row r="164" customFormat="false" ht="81.75" hidden="true" customHeight="true" outlineLevel="0" collapsed="false">
      <c r="B164" s="332" t="s">
        <v>444</v>
      </c>
      <c r="C164" s="322" t="s">
        <v>222</v>
      </c>
      <c r="D164" s="322" t="s">
        <v>183</v>
      </c>
      <c r="E164" s="323" t="s">
        <v>442</v>
      </c>
      <c r="F164" s="319" t="n">
        <v>45894</v>
      </c>
      <c r="G164" s="319" t="n">
        <v>45951</v>
      </c>
      <c r="H164" s="324" t="n">
        <v>72</v>
      </c>
      <c r="I164" s="319" t="str">
        <f aca="false">+IF(Tabla42[[#This Row],[Fecha de Respuesta]]&gt;0,"Cerrada","Pendiente")</f>
        <v>Cerrada</v>
      </c>
      <c r="J164" s="331" t="s">
        <v>445</v>
      </c>
    </row>
    <row r="165" customFormat="false" ht="81.75" hidden="true" customHeight="true" outlineLevel="0" collapsed="false">
      <c r="B165" s="321" t="n">
        <v>123</v>
      </c>
      <c r="C165" s="322" t="s">
        <v>222</v>
      </c>
      <c r="D165" s="322" t="s">
        <v>127</v>
      </c>
      <c r="E165" s="323" t="s">
        <v>446</v>
      </c>
      <c r="F165" s="319" t="n">
        <v>45734</v>
      </c>
      <c r="G165" s="319" t="n">
        <v>45755</v>
      </c>
      <c r="H165" s="324" t="n">
        <f aca="false">+Tabla42[[#This Row],[Fecha de Respuesta]]-Tabla42[[#This Row],[Fecha de Envio]]</f>
        <v>21</v>
      </c>
      <c r="I165" s="319" t="str">
        <f aca="false">+IF(Tabla42[[#This Row],[Fecha de Respuesta]]&gt;0,"Cerrada","Pendiente")</f>
        <v>Cerrada</v>
      </c>
      <c r="J165" s="326" t="s">
        <v>447</v>
      </c>
    </row>
    <row r="166" customFormat="false" ht="81.75" hidden="true" customHeight="true" outlineLevel="0" collapsed="false">
      <c r="B166" s="321" t="n">
        <v>124</v>
      </c>
      <c r="C166" s="322" t="s">
        <v>222</v>
      </c>
      <c r="D166" s="322" t="s">
        <v>183</v>
      </c>
      <c r="E166" s="323" t="s">
        <v>448</v>
      </c>
      <c r="F166" s="319" t="n">
        <v>45736</v>
      </c>
      <c r="G166" s="319" t="n">
        <v>45736</v>
      </c>
      <c r="H166" s="324" t="n">
        <f aca="false">+Tabla42[[#This Row],[Fecha de Respuesta]]-Tabla42[[#This Row],[Fecha de Envio]]</f>
        <v>0</v>
      </c>
      <c r="I166" s="319" t="str">
        <f aca="false">+IF(Tabla42[[#This Row],[Fecha de Respuesta]]&gt;0,"Cerrada","Pendiente")</f>
        <v>Cerrada</v>
      </c>
      <c r="J166" s="326" t="s">
        <v>449</v>
      </c>
    </row>
    <row r="167" customFormat="false" ht="85.5" hidden="true" customHeight="true" outlineLevel="0" collapsed="false">
      <c r="B167" s="321" t="n">
        <v>125</v>
      </c>
      <c r="C167" s="322" t="s">
        <v>222</v>
      </c>
      <c r="D167" s="328" t="s">
        <v>171</v>
      </c>
      <c r="E167" s="323" t="s">
        <v>450</v>
      </c>
      <c r="F167" s="319" t="n">
        <v>45742</v>
      </c>
      <c r="G167" s="319" t="n">
        <v>45817</v>
      </c>
      <c r="H167" s="324" t="n">
        <f aca="false">+Tabla42[[#This Row],[Fecha de Respuesta]]-Tabla42[[#This Row],[Fecha de Envio]]</f>
        <v>75</v>
      </c>
      <c r="I167" s="319" t="str">
        <f aca="false">+IF(Tabla42[[#This Row],[Fecha de Respuesta]]&gt;0,"Cerrada","Pendiente")</f>
        <v>Cerrada</v>
      </c>
      <c r="J167" s="326" t="s">
        <v>451</v>
      </c>
    </row>
    <row r="168" customFormat="false" ht="85.5" hidden="true" customHeight="true" outlineLevel="0" collapsed="false">
      <c r="B168" s="321" t="n">
        <v>126</v>
      </c>
      <c r="C168" s="322" t="s">
        <v>222</v>
      </c>
      <c r="D168" s="328" t="s">
        <v>171</v>
      </c>
      <c r="E168" s="323" t="s">
        <v>452</v>
      </c>
      <c r="F168" s="319" t="n">
        <v>45742</v>
      </c>
      <c r="G168" s="319" t="n">
        <v>45789</v>
      </c>
      <c r="H168" s="324" t="n">
        <f aca="false">+Tabla42[[#This Row],[Fecha de Respuesta]]-Tabla42[[#This Row],[Fecha de Envio]]</f>
        <v>47</v>
      </c>
      <c r="I168" s="319" t="str">
        <f aca="false">+IF(Tabla42[[#This Row],[Fecha de Respuesta]]&gt;0,"Cerrada","Pendiente")</f>
        <v>Cerrada</v>
      </c>
      <c r="J168" s="326" t="s">
        <v>453</v>
      </c>
    </row>
    <row r="169" customFormat="false" ht="85.5" hidden="true" customHeight="true" outlineLevel="0" collapsed="false">
      <c r="B169" s="321" t="n">
        <v>127</v>
      </c>
      <c r="C169" s="322" t="s">
        <v>222</v>
      </c>
      <c r="D169" s="322" t="s">
        <v>82</v>
      </c>
      <c r="E169" s="323" t="s">
        <v>454</v>
      </c>
      <c r="F169" s="319" t="n">
        <v>45742</v>
      </c>
      <c r="G169" s="319" t="n">
        <v>45825</v>
      </c>
      <c r="H169" s="324" t="n">
        <f aca="false">+Tabla42[[#This Row],[Fecha de Respuesta]]-Tabla42[[#This Row],[Fecha de Envio]]</f>
        <v>83</v>
      </c>
      <c r="I169" s="319" t="str">
        <f aca="false">+IF(Tabla42[[#This Row],[Fecha de Respuesta]]&gt;0,"Cerrada","Pendiente")</f>
        <v>Cerrada</v>
      </c>
      <c r="J169" s="326" t="s">
        <v>455</v>
      </c>
    </row>
    <row r="170" customFormat="false" ht="85.5" hidden="true" customHeight="true" outlineLevel="0" collapsed="false">
      <c r="B170" s="321" t="n">
        <v>128</v>
      </c>
      <c r="C170" s="322" t="s">
        <v>222</v>
      </c>
      <c r="D170" s="322" t="s">
        <v>82</v>
      </c>
      <c r="E170" s="323" t="s">
        <v>456</v>
      </c>
      <c r="F170" s="319" t="n">
        <v>45743</v>
      </c>
      <c r="G170" s="319" t="n">
        <v>45897</v>
      </c>
      <c r="H170" s="324" t="n">
        <f aca="false">Tabla42[[#This Row],[Fecha de Respuesta]]-Tabla42[[#This Row],[Fecha de Envio]]</f>
        <v>154</v>
      </c>
      <c r="I170" s="319" t="str">
        <f aca="false">+IF(Tabla42[[#This Row],[Fecha de Respuesta]]&gt;0,"Cerrada","Pendiente")</f>
        <v>Cerrada</v>
      </c>
      <c r="J170" s="326" t="s">
        <v>457</v>
      </c>
    </row>
    <row r="171" customFormat="false" ht="85.5" hidden="true" customHeight="true" outlineLevel="0" collapsed="false">
      <c r="B171" s="321" t="n">
        <v>129</v>
      </c>
      <c r="C171" s="322" t="s">
        <v>222</v>
      </c>
      <c r="D171" s="322" t="s">
        <v>183</v>
      </c>
      <c r="E171" s="323" t="s">
        <v>458</v>
      </c>
      <c r="F171" s="319" t="n">
        <v>45748</v>
      </c>
      <c r="G171" s="319" t="n">
        <v>45825</v>
      </c>
      <c r="H171" s="324" t="n">
        <f aca="false">+Tabla42[[#This Row],[Fecha de Respuesta]]-Tabla42[[#This Row],[Fecha de Envio]]</f>
        <v>77</v>
      </c>
      <c r="I171" s="319" t="str">
        <f aca="false">+IF(Tabla42[[#This Row],[Fecha de Respuesta]]&gt;0,"Cerrada","Pendiente")</f>
        <v>Cerrada</v>
      </c>
      <c r="J171" s="326" t="s">
        <v>459</v>
      </c>
    </row>
    <row r="172" customFormat="false" ht="85.5" hidden="true" customHeight="true" outlineLevel="0" collapsed="false">
      <c r="B172" s="321" t="n">
        <v>130</v>
      </c>
      <c r="C172" s="322" t="s">
        <v>222</v>
      </c>
      <c r="D172" s="322" t="s">
        <v>183</v>
      </c>
      <c r="E172" s="323" t="s">
        <v>460</v>
      </c>
      <c r="F172" s="319" t="n">
        <v>45754</v>
      </c>
      <c r="G172" s="319" t="n">
        <v>45769</v>
      </c>
      <c r="H172" s="324" t="n">
        <f aca="false">+Tabla42[[#This Row],[Fecha de Respuesta]]-Tabla42[[#This Row],[Fecha de Envio]]</f>
        <v>15</v>
      </c>
      <c r="I172" s="319" t="str">
        <f aca="false">+IF(Tabla42[[#This Row],[Fecha de Respuesta]]&gt;0,"Cerrada","Pendiente")</f>
        <v>Cerrada</v>
      </c>
      <c r="J172" s="326" t="s">
        <v>461</v>
      </c>
    </row>
    <row r="173" customFormat="false" ht="85.5" hidden="true" customHeight="true" outlineLevel="0" collapsed="false">
      <c r="B173" s="321" t="n">
        <v>131</v>
      </c>
      <c r="C173" s="322" t="s">
        <v>222</v>
      </c>
      <c r="D173" s="322" t="s">
        <v>183</v>
      </c>
      <c r="E173" s="323" t="s">
        <v>462</v>
      </c>
      <c r="F173" s="319" t="n">
        <v>45754</v>
      </c>
      <c r="G173" s="319" t="n">
        <v>45776</v>
      </c>
      <c r="H173" s="324" t="n">
        <f aca="false">+Tabla42[[#This Row],[Fecha de Respuesta]]-Tabla42[[#This Row],[Fecha de Envio]]</f>
        <v>22</v>
      </c>
      <c r="I173" s="319" t="str">
        <f aca="false">+IF(Tabla42[[#This Row],[Fecha de Respuesta]]&gt;0,"Cerrada","Pendiente")</f>
        <v>Cerrada</v>
      </c>
      <c r="J173" s="326" t="s">
        <v>463</v>
      </c>
    </row>
    <row r="174" customFormat="false" ht="85.5" hidden="true" customHeight="true" outlineLevel="0" collapsed="false">
      <c r="B174" s="321" t="n">
        <v>132</v>
      </c>
      <c r="C174" s="322" t="s">
        <v>222</v>
      </c>
      <c r="D174" s="322" t="s">
        <v>183</v>
      </c>
      <c r="E174" s="323" t="s">
        <v>464</v>
      </c>
      <c r="F174" s="319" t="n">
        <v>45755</v>
      </c>
      <c r="G174" s="319" t="n">
        <v>45761</v>
      </c>
      <c r="H174" s="324" t="n">
        <f aca="false">+Tabla42[[#This Row],[Fecha de Respuesta]]-Tabla42[[#This Row],[Fecha de Envio]]</f>
        <v>6</v>
      </c>
      <c r="I174" s="319" t="str">
        <f aca="false">+IF(Tabla42[[#This Row],[Fecha de Respuesta]]&gt;0,"Cerrada","Pendiente")</f>
        <v>Cerrada</v>
      </c>
      <c r="J174" s="331" t="s">
        <v>465</v>
      </c>
    </row>
    <row r="175" customFormat="false" ht="85.5" hidden="true" customHeight="true" outlineLevel="0" collapsed="false">
      <c r="B175" s="321" t="s">
        <v>466</v>
      </c>
      <c r="C175" s="322" t="s">
        <v>222</v>
      </c>
      <c r="D175" s="322" t="s">
        <v>183</v>
      </c>
      <c r="E175" s="323" t="s">
        <v>464</v>
      </c>
      <c r="F175" s="319" t="n">
        <v>45763</v>
      </c>
      <c r="G175" s="319" t="n">
        <v>45769</v>
      </c>
      <c r="H175" s="324" t="n">
        <f aca="false">+Tabla42[[#This Row],[Fecha de Respuesta]]-Tabla42[[#This Row],[Fecha de Envio]]</f>
        <v>6</v>
      </c>
      <c r="I175" s="319" t="str">
        <f aca="false">+IF(Tabla42[[#This Row],[Fecha de Respuesta]]&gt;0,"Cerrada","Pendiente")</f>
        <v>Cerrada</v>
      </c>
      <c r="J175" s="331" t="s">
        <v>467</v>
      </c>
    </row>
    <row r="176" customFormat="false" ht="85.5" hidden="true" customHeight="true" outlineLevel="0" collapsed="false">
      <c r="B176" s="321" t="s">
        <v>468</v>
      </c>
      <c r="C176" s="322" t="s">
        <v>222</v>
      </c>
      <c r="D176" s="322" t="s">
        <v>183</v>
      </c>
      <c r="E176" s="323" t="s">
        <v>464</v>
      </c>
      <c r="F176" s="319" t="n">
        <v>45764</v>
      </c>
      <c r="G176" s="319" t="n">
        <v>45769</v>
      </c>
      <c r="H176" s="324" t="n">
        <f aca="false">+Tabla42[[#This Row],[Fecha de Respuesta]]-Tabla42[[#This Row],[Fecha de Envio]]</f>
        <v>5</v>
      </c>
      <c r="I176" s="319" t="str">
        <f aca="false">+IF(Tabla42[[#This Row],[Fecha de Respuesta]]&gt;0,"Cerrada","Pendiente")</f>
        <v>Cerrada</v>
      </c>
      <c r="J176" s="331" t="s">
        <v>469</v>
      </c>
    </row>
    <row r="177" customFormat="false" ht="85.5" hidden="true" customHeight="true" outlineLevel="0" collapsed="false">
      <c r="B177" s="321" t="s">
        <v>470</v>
      </c>
      <c r="C177" s="322" t="s">
        <v>222</v>
      </c>
      <c r="D177" s="322" t="s">
        <v>183</v>
      </c>
      <c r="E177" s="323" t="s">
        <v>464</v>
      </c>
      <c r="F177" s="319" t="n">
        <v>45771</v>
      </c>
      <c r="G177" s="319" t="n">
        <v>45772</v>
      </c>
      <c r="H177" s="324" t="n">
        <f aca="false">+Tabla42[[#This Row],[Fecha de Respuesta]]-Tabla42[[#This Row],[Fecha de Envio]]</f>
        <v>1</v>
      </c>
      <c r="I177" s="319" t="str">
        <f aca="false">+IF(Tabla42[[#This Row],[Fecha de Respuesta]]&gt;0,"Cerrada","Pendiente")</f>
        <v>Cerrada</v>
      </c>
      <c r="J177" s="331" t="s">
        <v>471</v>
      </c>
    </row>
    <row r="178" customFormat="false" ht="85.5" hidden="true" customHeight="true" outlineLevel="0" collapsed="false">
      <c r="B178" s="321" t="s">
        <v>472</v>
      </c>
      <c r="C178" s="322" t="s">
        <v>222</v>
      </c>
      <c r="D178" s="322" t="s">
        <v>183</v>
      </c>
      <c r="E178" s="323" t="s">
        <v>464</v>
      </c>
      <c r="F178" s="319" t="n">
        <v>45775</v>
      </c>
      <c r="G178" s="319" t="n">
        <v>45776</v>
      </c>
      <c r="H178" s="324" t="n">
        <f aca="false">+Tabla42[[#This Row],[Fecha de Respuesta]]-Tabla42[[#This Row],[Fecha de Envio]]</f>
        <v>1</v>
      </c>
      <c r="I178" s="319" t="str">
        <f aca="false">+IF(Tabla42[[#This Row],[Fecha de Respuesta]]&gt;0,"Cerrada","Pendiente")</f>
        <v>Cerrada</v>
      </c>
      <c r="J178" s="326" t="s">
        <v>473</v>
      </c>
    </row>
    <row r="179" customFormat="false" ht="85.5" hidden="true" customHeight="true" outlineLevel="0" collapsed="false">
      <c r="B179" s="321" t="n">
        <v>133</v>
      </c>
      <c r="C179" s="322" t="s">
        <v>222</v>
      </c>
      <c r="D179" s="328" t="s">
        <v>171</v>
      </c>
      <c r="E179" s="323" t="s">
        <v>474</v>
      </c>
      <c r="F179" s="319" t="n">
        <v>45756</v>
      </c>
      <c r="G179" s="319" t="n">
        <v>45768</v>
      </c>
      <c r="H179" s="324" t="n">
        <f aca="false">+Tabla42[[#This Row],[Fecha de Respuesta]]-Tabla42[[#This Row],[Fecha de Envio]]</f>
        <v>12</v>
      </c>
      <c r="I179" s="319" t="str">
        <f aca="false">+IF(Tabla42[[#This Row],[Fecha de Respuesta]]&gt;0,"Cerrada","Pendiente")</f>
        <v>Cerrada</v>
      </c>
      <c r="J179" s="326" t="s">
        <v>475</v>
      </c>
    </row>
    <row r="180" customFormat="false" ht="85.5" hidden="true" customHeight="true" outlineLevel="0" collapsed="false">
      <c r="B180" s="321" t="n">
        <v>134</v>
      </c>
      <c r="C180" s="322" t="s">
        <v>222</v>
      </c>
      <c r="D180" s="322" t="s">
        <v>127</v>
      </c>
      <c r="E180" s="323" t="s">
        <v>476</v>
      </c>
      <c r="F180" s="319" t="n">
        <v>45757</v>
      </c>
      <c r="G180" s="319" t="n">
        <v>45789</v>
      </c>
      <c r="H180" s="324" t="n">
        <f aca="false">+Tabla42[[#This Row],[Fecha de Respuesta]]-Tabla42[[#This Row],[Fecha de Envio]]</f>
        <v>32</v>
      </c>
      <c r="I180" s="319" t="str">
        <f aca="false">+IF(Tabla42[[#This Row],[Fecha de Respuesta]]&gt;0,"Cerrada","Pendiente")</f>
        <v>Cerrada</v>
      </c>
      <c r="J180" s="326" t="s">
        <v>477</v>
      </c>
    </row>
    <row r="181" customFormat="false" ht="85.5" hidden="true" customHeight="true" outlineLevel="0" collapsed="false">
      <c r="B181" s="321" t="n">
        <v>135</v>
      </c>
      <c r="C181" s="322" t="s">
        <v>222</v>
      </c>
      <c r="D181" s="322" t="s">
        <v>127</v>
      </c>
      <c r="E181" s="323" t="s">
        <v>478</v>
      </c>
      <c r="F181" s="319" t="n">
        <v>45758</v>
      </c>
      <c r="G181" s="319" t="n">
        <v>45779</v>
      </c>
      <c r="H181" s="324" t="n">
        <f aca="false">+Tabla42[[#This Row],[Fecha de Respuesta]]-Tabla42[[#This Row],[Fecha de Envio]]</f>
        <v>21</v>
      </c>
      <c r="I181" s="319" t="str">
        <f aca="false">+IF(Tabla42[[#This Row],[Fecha de Respuesta]]&gt;0,"Cerrada","Pendiente")</f>
        <v>Cerrada</v>
      </c>
      <c r="J181" s="326" t="s">
        <v>479</v>
      </c>
    </row>
    <row r="182" customFormat="false" ht="85.5" hidden="true" customHeight="true" outlineLevel="0" collapsed="false">
      <c r="B182" s="321" t="n">
        <v>136</v>
      </c>
      <c r="C182" s="322" t="s">
        <v>222</v>
      </c>
      <c r="D182" s="328" t="s">
        <v>171</v>
      </c>
      <c r="E182" s="323" t="s">
        <v>480</v>
      </c>
      <c r="F182" s="319" t="n">
        <v>45758</v>
      </c>
      <c r="G182" s="319" t="n">
        <v>45825</v>
      </c>
      <c r="H182" s="324" t="n">
        <f aca="false">+Tabla42[[#This Row],[Fecha de Respuesta]]-Tabla42[[#This Row],[Fecha de Envio]]</f>
        <v>67</v>
      </c>
      <c r="I182" s="319" t="str">
        <f aca="false">+IF(Tabla42[[#This Row],[Fecha de Respuesta]]&gt;0,"Cerrada","Pendiente")</f>
        <v>Cerrada</v>
      </c>
      <c r="J182" s="326" t="s">
        <v>481</v>
      </c>
    </row>
    <row r="183" customFormat="false" ht="85.5" hidden="true" customHeight="true" outlineLevel="0" collapsed="false">
      <c r="B183" s="321" t="n">
        <v>137</v>
      </c>
      <c r="C183" s="322" t="s">
        <v>222</v>
      </c>
      <c r="D183" s="322" t="s">
        <v>183</v>
      </c>
      <c r="E183" s="323" t="s">
        <v>482</v>
      </c>
      <c r="F183" s="319" t="n">
        <v>45758</v>
      </c>
      <c r="G183" s="319" t="n">
        <v>45761</v>
      </c>
      <c r="H183" s="324" t="n">
        <f aca="false">+Tabla42[[#This Row],[Fecha de Respuesta]]-Tabla42[[#This Row],[Fecha de Envio]]</f>
        <v>3</v>
      </c>
      <c r="I183" s="319" t="str">
        <f aca="false">+IF(Tabla42[[#This Row],[Fecha de Respuesta]]&gt;0,"Cerrada","Pendiente")</f>
        <v>Cerrada</v>
      </c>
      <c r="J183" s="331" t="s">
        <v>483</v>
      </c>
    </row>
    <row r="184" customFormat="false" ht="85.5" hidden="true" customHeight="true" outlineLevel="0" collapsed="false">
      <c r="B184" s="321" t="s">
        <v>484</v>
      </c>
      <c r="C184" s="322" t="s">
        <v>222</v>
      </c>
      <c r="D184" s="322" t="s">
        <v>183</v>
      </c>
      <c r="E184" s="323" t="s">
        <v>482</v>
      </c>
      <c r="F184" s="319" t="n">
        <v>45762</v>
      </c>
      <c r="G184" s="319" t="n">
        <v>45762</v>
      </c>
      <c r="H184" s="324" t="n">
        <f aca="false">+Tabla42[[#This Row],[Fecha de Respuesta]]-Tabla42[[#This Row],[Fecha de Envio]]</f>
        <v>0</v>
      </c>
      <c r="I184" s="319" t="str">
        <f aca="false">+IF(Tabla42[[#This Row],[Fecha de Respuesta]]&gt;0,"Cerrada","Pendiente")</f>
        <v>Cerrada</v>
      </c>
      <c r="J184" s="331" t="s">
        <v>485</v>
      </c>
    </row>
    <row r="185" customFormat="false" ht="85.5" hidden="true" customHeight="true" outlineLevel="0" collapsed="false">
      <c r="B185" s="321" t="s">
        <v>486</v>
      </c>
      <c r="C185" s="322" t="s">
        <v>222</v>
      </c>
      <c r="D185" s="322" t="s">
        <v>183</v>
      </c>
      <c r="E185" s="323" t="s">
        <v>482</v>
      </c>
      <c r="F185" s="319" t="n">
        <v>45771</v>
      </c>
      <c r="G185" s="319" t="n">
        <v>45776</v>
      </c>
      <c r="H185" s="324" t="n">
        <f aca="false">+Tabla42[[#This Row],[Fecha de Respuesta]]-Tabla42[[#This Row],[Fecha de Envio]]</f>
        <v>5</v>
      </c>
      <c r="I185" s="319" t="str">
        <f aca="false">+IF(Tabla42[[#This Row],[Fecha de Respuesta]]&gt;0,"Cerrada","Pendiente")</f>
        <v>Cerrada</v>
      </c>
      <c r="J185" s="331" t="s">
        <v>487</v>
      </c>
    </row>
    <row r="186" customFormat="false" ht="85.5" hidden="true" customHeight="true" outlineLevel="0" collapsed="false">
      <c r="B186" s="321" t="s">
        <v>488</v>
      </c>
      <c r="C186" s="322" t="s">
        <v>222</v>
      </c>
      <c r="D186" s="322" t="s">
        <v>183</v>
      </c>
      <c r="E186" s="323" t="s">
        <v>482</v>
      </c>
      <c r="F186" s="319" t="n">
        <v>45777</v>
      </c>
      <c r="G186" s="319" t="n">
        <v>45777</v>
      </c>
      <c r="H186" s="324" t="n">
        <f aca="false">+Tabla42[[#This Row],[Fecha de Respuesta]]-Tabla42[[#This Row],[Fecha de Envio]]</f>
        <v>0</v>
      </c>
      <c r="I186" s="319" t="str">
        <f aca="false">+IF(Tabla42[[#This Row],[Fecha de Respuesta]]&gt;0,"Cerrada","Pendiente")</f>
        <v>Cerrada</v>
      </c>
      <c r="J186" s="331" t="s">
        <v>489</v>
      </c>
    </row>
    <row r="187" customFormat="false" ht="85.5" hidden="true" customHeight="true" outlineLevel="0" collapsed="false">
      <c r="B187" s="321" t="s">
        <v>490</v>
      </c>
      <c r="C187" s="322" t="s">
        <v>222</v>
      </c>
      <c r="D187" s="322" t="s">
        <v>183</v>
      </c>
      <c r="E187" s="323" t="s">
        <v>482</v>
      </c>
      <c r="F187" s="319" t="n">
        <v>45762</v>
      </c>
      <c r="G187" s="319" t="n">
        <v>45763</v>
      </c>
      <c r="H187" s="324" t="n">
        <f aca="false">+Tabla42[[#This Row],[Fecha de Respuesta]]-Tabla42[[#This Row],[Fecha de Envio]]</f>
        <v>1</v>
      </c>
      <c r="I187" s="319" t="str">
        <f aca="false">+IF(Tabla42[[#This Row],[Fecha de Respuesta]]&gt;0,"Cerrada","Pendiente")</f>
        <v>Cerrada</v>
      </c>
      <c r="J187" s="326" t="s">
        <v>491</v>
      </c>
    </row>
    <row r="188" customFormat="false" ht="85.5" hidden="true" customHeight="true" outlineLevel="0" collapsed="false">
      <c r="B188" s="321" t="n">
        <v>138</v>
      </c>
      <c r="C188" s="322" t="s">
        <v>222</v>
      </c>
      <c r="D188" s="322" t="s">
        <v>183</v>
      </c>
      <c r="E188" s="323" t="s">
        <v>492</v>
      </c>
      <c r="F188" s="319" t="n">
        <v>45758</v>
      </c>
      <c r="G188" s="319" t="n">
        <v>45779</v>
      </c>
      <c r="H188" s="324" t="n">
        <f aca="false">+Tabla42[[#This Row],[Fecha de Respuesta]]-Tabla42[[#This Row],[Fecha de Envio]]</f>
        <v>21</v>
      </c>
      <c r="I188" s="319" t="str">
        <f aca="false">+IF(Tabla42[[#This Row],[Fecha de Respuesta]]&gt;0,"Cerrada","Pendiente")</f>
        <v>Cerrada</v>
      </c>
      <c r="J188" s="326" t="s">
        <v>493</v>
      </c>
    </row>
    <row r="189" customFormat="false" ht="85.5" hidden="true" customHeight="true" outlineLevel="0" collapsed="false">
      <c r="B189" s="321" t="n">
        <v>139</v>
      </c>
      <c r="C189" s="322" t="s">
        <v>222</v>
      </c>
      <c r="D189" s="322" t="s">
        <v>116</v>
      </c>
      <c r="E189" s="323" t="s">
        <v>494</v>
      </c>
      <c r="F189" s="319" t="n">
        <v>45758</v>
      </c>
      <c r="G189" s="319" t="n">
        <v>45762</v>
      </c>
      <c r="H189" s="324" t="n">
        <f aca="false">+Tabla42[[#This Row],[Fecha de Respuesta]]-Tabla42[[#This Row],[Fecha de Envio]]</f>
        <v>4</v>
      </c>
      <c r="I189" s="319" t="str">
        <f aca="false">+IF(Tabla42[[#This Row],[Fecha de Respuesta]]&gt;0,"Cerrada","Pendiente")</f>
        <v>Cerrada</v>
      </c>
      <c r="J189" s="326" t="s">
        <v>495</v>
      </c>
    </row>
    <row r="190" customFormat="false" ht="85.5" hidden="true" customHeight="true" outlineLevel="0" collapsed="false">
      <c r="B190" s="321" t="s">
        <v>496</v>
      </c>
      <c r="C190" s="322" t="s">
        <v>222</v>
      </c>
      <c r="D190" s="328" t="s">
        <v>171</v>
      </c>
      <c r="E190" s="323" t="s">
        <v>497</v>
      </c>
      <c r="F190" s="319" t="n">
        <v>45764</v>
      </c>
      <c r="G190" s="319" t="n">
        <v>45786</v>
      </c>
      <c r="H190" s="324" t="n">
        <f aca="false">+Tabla42[[#This Row],[Fecha de Respuesta]]-Tabla42[[#This Row],[Fecha de Envio]]</f>
        <v>22</v>
      </c>
      <c r="I190" s="319" t="str">
        <f aca="false">+IF(Tabla42[[#This Row],[Fecha de Respuesta]]&gt;0,"Cerrada","Pendiente")</f>
        <v>Cerrada</v>
      </c>
      <c r="J190" s="331" t="s">
        <v>498</v>
      </c>
    </row>
    <row r="191" customFormat="false" ht="85.5" hidden="true" customHeight="true" outlineLevel="0" collapsed="false">
      <c r="B191" s="321" t="s">
        <v>499</v>
      </c>
      <c r="C191" s="322" t="s">
        <v>222</v>
      </c>
      <c r="D191" s="328" t="s">
        <v>171</v>
      </c>
      <c r="E191" s="323" t="s">
        <v>497</v>
      </c>
      <c r="F191" s="319" t="n">
        <v>45805</v>
      </c>
      <c r="G191" s="319" t="n">
        <v>45817</v>
      </c>
      <c r="H191" s="324" t="n">
        <f aca="false">+Tabla42[[#This Row],[Fecha de Respuesta]]-Tabla42[[#This Row],[Fecha de Envio]]</f>
        <v>12</v>
      </c>
      <c r="I191" s="319" t="str">
        <f aca="false">+IF(Tabla42[[#This Row],[Fecha de Respuesta]]&gt;0,"Cerrada","Pendiente")</f>
        <v>Cerrada</v>
      </c>
      <c r="J191" s="326" t="s">
        <v>500</v>
      </c>
    </row>
    <row r="192" customFormat="false" ht="85.5" hidden="true" customHeight="true" outlineLevel="0" collapsed="false">
      <c r="B192" s="332" t="n">
        <v>141</v>
      </c>
      <c r="C192" s="322" t="s">
        <v>222</v>
      </c>
      <c r="D192" s="328" t="s">
        <v>171</v>
      </c>
      <c r="E192" s="323" t="s">
        <v>501</v>
      </c>
      <c r="F192" s="319" t="n">
        <v>45769</v>
      </c>
      <c r="G192" s="319" t="n">
        <v>45786</v>
      </c>
      <c r="H192" s="324" t="n">
        <f aca="false">+Tabla42[[#This Row],[Fecha de Respuesta]]-Tabla42[[#This Row],[Fecha de Envio]]</f>
        <v>17</v>
      </c>
      <c r="I192" s="319" t="str">
        <f aca="false">+IF(Tabla42[[#This Row],[Fecha de Respuesta]]&gt;0,"Cerrada","Pendiente")</f>
        <v>Cerrada</v>
      </c>
      <c r="J192" s="331"/>
    </row>
    <row r="193" customFormat="false" ht="85.5" hidden="true" customHeight="true" outlineLevel="0" collapsed="false">
      <c r="B193" s="321" t="s">
        <v>502</v>
      </c>
      <c r="C193" s="322" t="s">
        <v>222</v>
      </c>
      <c r="D193" s="328" t="s">
        <v>171</v>
      </c>
      <c r="E193" s="323" t="s">
        <v>501</v>
      </c>
      <c r="F193" s="319" t="n">
        <v>45771</v>
      </c>
      <c r="G193" s="319" t="n">
        <v>45786</v>
      </c>
      <c r="H193" s="324" t="n">
        <f aca="false">+Tabla42[[#This Row],[Fecha de Respuesta]]-Tabla42[[#This Row],[Fecha de Envio]]</f>
        <v>15</v>
      </c>
      <c r="I193" s="319" t="str">
        <f aca="false">+IF(Tabla42[[#This Row],[Fecha de Respuesta]]&gt;0,"Cerrada","Pendiente")</f>
        <v>Cerrada</v>
      </c>
      <c r="J193" s="326" t="s">
        <v>503</v>
      </c>
    </row>
    <row r="194" customFormat="false" ht="85.5" hidden="true" customHeight="true" outlineLevel="0" collapsed="false">
      <c r="B194" s="321" t="s">
        <v>504</v>
      </c>
      <c r="C194" s="322" t="s">
        <v>222</v>
      </c>
      <c r="D194" s="322" t="s">
        <v>505</v>
      </c>
      <c r="E194" s="323" t="s">
        <v>506</v>
      </c>
      <c r="F194" s="319" t="n">
        <v>45775</v>
      </c>
      <c r="G194" s="319" t="n">
        <v>45776</v>
      </c>
      <c r="H194" s="324" t="n">
        <f aca="false">+Tabla42[[#This Row],[Fecha de Respuesta]]-Tabla42[[#This Row],[Fecha de Envio]]</f>
        <v>1</v>
      </c>
      <c r="I194" s="319" t="str">
        <f aca="false">+IF(Tabla42[[#This Row],[Fecha de Respuesta]]&gt;0,"Cerrada","Pendiente")</f>
        <v>Cerrada</v>
      </c>
      <c r="J194" s="331" t="s">
        <v>507</v>
      </c>
    </row>
    <row r="195" customFormat="false" ht="85.5" hidden="true" customHeight="true" outlineLevel="0" collapsed="false">
      <c r="B195" s="321" t="s">
        <v>508</v>
      </c>
      <c r="C195" s="322" t="s">
        <v>222</v>
      </c>
      <c r="D195" s="322" t="s">
        <v>505</v>
      </c>
      <c r="E195" s="323" t="s">
        <v>506</v>
      </c>
      <c r="F195" s="319" t="n">
        <v>45793</v>
      </c>
      <c r="G195" s="319" t="n">
        <v>45810</v>
      </c>
      <c r="H195" s="324" t="n">
        <f aca="false">+Tabla42[[#This Row],[Fecha de Respuesta]]-Tabla42[[#This Row],[Fecha de Envio]]</f>
        <v>17</v>
      </c>
      <c r="I195" s="319" t="str">
        <f aca="false">+IF(Tabla42[[#This Row],[Fecha de Respuesta]]&gt;0,"Cerrada","Pendiente")</f>
        <v>Cerrada</v>
      </c>
      <c r="J195" s="331" t="s">
        <v>509</v>
      </c>
    </row>
    <row r="196" customFormat="false" ht="109.5" hidden="true" customHeight="true" outlineLevel="0" collapsed="false">
      <c r="B196" s="321" t="s">
        <v>510</v>
      </c>
      <c r="C196" s="322" t="s">
        <v>222</v>
      </c>
      <c r="D196" s="322" t="s">
        <v>505</v>
      </c>
      <c r="E196" s="323" t="s">
        <v>506</v>
      </c>
      <c r="F196" s="319" t="n">
        <v>45793</v>
      </c>
      <c r="G196" s="319" t="n">
        <v>45810</v>
      </c>
      <c r="H196" s="324" t="n">
        <f aca="false">+Tabla42[[#This Row],[Fecha de Respuesta]]-Tabla42[[#This Row],[Fecha de Envio]]</f>
        <v>17</v>
      </c>
      <c r="I196" s="319" t="str">
        <f aca="false">+IF(Tabla42[[#This Row],[Fecha de Respuesta]]&gt;0,"Cerrada","Pendiente")</f>
        <v>Cerrada</v>
      </c>
      <c r="J196" s="326" t="s">
        <v>511</v>
      </c>
    </row>
    <row r="197" customFormat="false" ht="85.5" hidden="true" customHeight="true" outlineLevel="0" collapsed="false">
      <c r="B197" s="321" t="n">
        <v>143</v>
      </c>
      <c r="C197" s="322" t="s">
        <v>222</v>
      </c>
      <c r="D197" s="322" t="s">
        <v>127</v>
      </c>
      <c r="E197" s="323" t="s">
        <v>512</v>
      </c>
      <c r="F197" s="319" t="n">
        <v>45779</v>
      </c>
      <c r="G197" s="319" t="n">
        <v>45782</v>
      </c>
      <c r="H197" s="324" t="n">
        <f aca="false">+Tabla42[[#This Row],[Fecha de Respuesta]]-Tabla42[[#This Row],[Fecha de Envio]]</f>
        <v>3</v>
      </c>
      <c r="I197" s="319" t="str">
        <f aca="false">+IF(Tabla42[[#This Row],[Fecha de Respuesta]]&gt;0,"Cerrada","Pendiente")</f>
        <v>Cerrada</v>
      </c>
      <c r="J197" s="326" t="s">
        <v>451</v>
      </c>
    </row>
    <row r="198" customFormat="false" ht="85.5" hidden="true" customHeight="true" outlineLevel="0" collapsed="false">
      <c r="B198" s="321" t="n">
        <v>144</v>
      </c>
      <c r="C198" s="322" t="s">
        <v>222</v>
      </c>
      <c r="D198" s="322" t="s">
        <v>127</v>
      </c>
      <c r="E198" s="323" t="s">
        <v>513</v>
      </c>
      <c r="F198" s="319" t="n">
        <v>45779</v>
      </c>
      <c r="G198" s="319" t="n">
        <v>45817</v>
      </c>
      <c r="H198" s="324" t="n">
        <f aca="false">+Tabla42[[#This Row],[Fecha de Respuesta]]-Tabla42[[#This Row],[Fecha de Envio]]</f>
        <v>38</v>
      </c>
      <c r="I198" s="319" t="str">
        <f aca="false">+IF(Tabla42[[#This Row],[Fecha de Respuesta]]&gt;0,"Cerrada","Pendiente")</f>
        <v>Cerrada</v>
      </c>
      <c r="J198" s="326" t="s">
        <v>514</v>
      </c>
    </row>
    <row r="199" customFormat="false" ht="109.5" hidden="true" customHeight="true" outlineLevel="0" collapsed="false">
      <c r="B199" s="321" t="n">
        <v>145</v>
      </c>
      <c r="C199" s="322" t="s">
        <v>222</v>
      </c>
      <c r="D199" s="328" t="s">
        <v>171</v>
      </c>
      <c r="E199" s="323" t="s">
        <v>515</v>
      </c>
      <c r="F199" s="319" t="n">
        <v>45779</v>
      </c>
      <c r="G199" s="319" t="n">
        <v>45789</v>
      </c>
      <c r="H199" s="324" t="n">
        <f aca="false">+Tabla42[[#This Row],[Fecha de Respuesta]]-Tabla42[[#This Row],[Fecha de Envio]]</f>
        <v>10</v>
      </c>
      <c r="I199" s="319" t="str">
        <f aca="false">+IF(Tabla42[[#This Row],[Fecha de Respuesta]]&gt;0,"Cerrada","Pendiente")</f>
        <v>Cerrada</v>
      </c>
      <c r="J199" s="326" t="s">
        <v>516</v>
      </c>
    </row>
    <row r="200" customFormat="false" ht="93" hidden="true" customHeight="true" outlineLevel="0" collapsed="false">
      <c r="B200" s="321" t="n">
        <v>146</v>
      </c>
      <c r="C200" s="322" t="s">
        <v>222</v>
      </c>
      <c r="D200" s="322" t="s">
        <v>127</v>
      </c>
      <c r="E200" s="323" t="s">
        <v>517</v>
      </c>
      <c r="F200" s="319" t="n">
        <v>45784</v>
      </c>
      <c r="G200" s="319" t="n">
        <v>45880</v>
      </c>
      <c r="H200" s="324" t="n">
        <f aca="false">+TODAY()-Tabla42[[#This Row],[Fecha de Envio]]</f>
        <v>296</v>
      </c>
      <c r="I200" s="319" t="str">
        <f aca="false">+IF(Tabla42[[#This Row],[Fecha de Respuesta]]&gt;0,"Cerrada","Pendiente")</f>
        <v>Cerrada</v>
      </c>
      <c r="J200" s="326" t="s">
        <v>518</v>
      </c>
    </row>
    <row r="201" customFormat="false" ht="84.75" hidden="true" customHeight="true" outlineLevel="0" collapsed="false">
      <c r="B201" s="321" t="n">
        <v>147</v>
      </c>
      <c r="C201" s="322" t="s">
        <v>222</v>
      </c>
      <c r="D201" s="322" t="s">
        <v>82</v>
      </c>
      <c r="E201" s="323" t="s">
        <v>519</v>
      </c>
      <c r="F201" s="319" t="n">
        <v>45792</v>
      </c>
      <c r="G201" s="319" t="n">
        <v>45862</v>
      </c>
      <c r="H201" s="324" t="n">
        <f aca="false">+TODAY()-Tabla42[[#This Row],[Fecha de Envio]]</f>
        <v>288</v>
      </c>
      <c r="I201" s="319" t="str">
        <f aca="false">+IF(Tabla42[[#This Row],[Fecha de Respuesta]]&gt;0,"Cerrada","Pendiente")</f>
        <v>Cerrada</v>
      </c>
      <c r="J201" s="326" t="s">
        <v>520</v>
      </c>
      <c r="P201" s="342"/>
    </row>
    <row r="202" customFormat="false" ht="84.75" hidden="true" customHeight="true" outlineLevel="0" collapsed="false">
      <c r="B202" s="321" t="n">
        <v>148</v>
      </c>
      <c r="C202" s="322" t="s">
        <v>222</v>
      </c>
      <c r="D202" s="322" t="s">
        <v>183</v>
      </c>
      <c r="E202" s="323" t="s">
        <v>521</v>
      </c>
      <c r="F202" s="319" t="n">
        <v>45803</v>
      </c>
      <c r="G202" s="319" t="n">
        <v>45813</v>
      </c>
      <c r="H202" s="324" t="n">
        <f aca="false">+Tabla42[[#This Row],[Fecha de Respuesta]]-Tabla42[[#This Row],[Fecha de Envio]]</f>
        <v>10</v>
      </c>
      <c r="I202" s="319" t="str">
        <f aca="false">+IF(Tabla42[[#This Row],[Fecha de Respuesta]]&gt;0,"Cerrada","Pendiente")</f>
        <v>Cerrada</v>
      </c>
      <c r="J202" s="326" t="s">
        <v>522</v>
      </c>
      <c r="N202" s="342"/>
    </row>
    <row r="203" customFormat="false" ht="84.75" hidden="true" customHeight="true" outlineLevel="0" collapsed="false">
      <c r="B203" s="321" t="n">
        <v>149</v>
      </c>
      <c r="C203" s="322" t="s">
        <v>222</v>
      </c>
      <c r="D203" s="322" t="s">
        <v>183</v>
      </c>
      <c r="E203" s="323" t="s">
        <v>523</v>
      </c>
      <c r="F203" s="319" t="n">
        <v>45803</v>
      </c>
      <c r="G203" s="319" t="n">
        <v>45805</v>
      </c>
      <c r="H203" s="324" t="n">
        <f aca="false">+Tabla42[[#This Row],[Fecha de Respuesta]]-Tabla42[[#This Row],[Fecha de Envio]]</f>
        <v>2</v>
      </c>
      <c r="I203" s="319" t="str">
        <f aca="false">+IF(Tabla42[[#This Row],[Fecha de Respuesta]]&gt;0,"Cerrada","Pendiente")</f>
        <v>Cerrada</v>
      </c>
      <c r="J203" s="326" t="s">
        <v>524</v>
      </c>
    </row>
    <row r="204" customFormat="false" ht="84.75" hidden="true" customHeight="true" outlineLevel="0" collapsed="false">
      <c r="B204" s="321" t="s">
        <v>525</v>
      </c>
      <c r="C204" s="322" t="s">
        <v>222</v>
      </c>
      <c r="D204" s="322" t="s">
        <v>183</v>
      </c>
      <c r="E204" s="323" t="s">
        <v>523</v>
      </c>
      <c r="F204" s="319" t="n">
        <v>45818</v>
      </c>
      <c r="G204" s="319" t="n">
        <v>45821</v>
      </c>
      <c r="H204" s="324" t="n">
        <f aca="false">+Tabla42[[#This Row],[Fecha de Respuesta]]-Tabla42[[#This Row],[Fecha de Envio]]</f>
        <v>3</v>
      </c>
      <c r="I204" s="319" t="str">
        <f aca="false">+IF(Tabla42[[#This Row],[Fecha de Respuesta]]&gt;0,"Cerrada","Pendiente")</f>
        <v>Cerrada</v>
      </c>
      <c r="J204" s="326" t="s">
        <v>526</v>
      </c>
      <c r="P204" s="342"/>
    </row>
    <row r="205" customFormat="false" ht="92.25" hidden="true" customHeight="true" outlineLevel="0" collapsed="false">
      <c r="B205" s="321" t="n">
        <v>150</v>
      </c>
      <c r="C205" s="322" t="s">
        <v>222</v>
      </c>
      <c r="D205" s="322" t="s">
        <v>116</v>
      </c>
      <c r="E205" s="323" t="s">
        <v>527</v>
      </c>
      <c r="F205" s="319" t="n">
        <v>45804</v>
      </c>
      <c r="G205" s="319" t="n">
        <v>45811</v>
      </c>
      <c r="H205" s="324" t="n">
        <f aca="false">+Tabla42[[#This Row],[Fecha de Respuesta]]-Tabla42[[#This Row],[Fecha de Envio]]</f>
        <v>7</v>
      </c>
      <c r="I205" s="319" t="str">
        <f aca="false">+IF(Tabla42[[#This Row],[Fecha de Respuesta]]&gt;0,"Cerrada","Pendiente")</f>
        <v>Cerrada</v>
      </c>
      <c r="J205" s="326" t="s">
        <v>528</v>
      </c>
    </row>
    <row r="206" customFormat="false" ht="92.25" hidden="true" customHeight="true" outlineLevel="0" collapsed="false">
      <c r="B206" s="321" t="n">
        <v>151</v>
      </c>
      <c r="C206" s="322" t="s">
        <v>222</v>
      </c>
      <c r="D206" s="322" t="s">
        <v>183</v>
      </c>
      <c r="E206" s="323" t="s">
        <v>529</v>
      </c>
      <c r="F206" s="319" t="n">
        <v>45804</v>
      </c>
      <c r="G206" s="319" t="n">
        <v>45814</v>
      </c>
      <c r="H206" s="324" t="n">
        <f aca="false">+Tabla42[[#This Row],[Fecha de Respuesta]]-Tabla42[[#This Row],[Fecha de Envio]]</f>
        <v>10</v>
      </c>
      <c r="I206" s="319" t="str">
        <f aca="false">+IF(Tabla42[[#This Row],[Fecha de Respuesta]]&gt;0,"Cerrada","Pendiente")</f>
        <v>Cerrada</v>
      </c>
      <c r="J206" s="326" t="s">
        <v>530</v>
      </c>
    </row>
    <row r="207" customFormat="false" ht="271.5" hidden="true" customHeight="true" outlineLevel="0" collapsed="false">
      <c r="B207" s="321" t="n">
        <v>152</v>
      </c>
      <c r="C207" s="322" t="s">
        <v>222</v>
      </c>
      <c r="D207" s="328" t="s">
        <v>171</v>
      </c>
      <c r="E207" s="323" t="s">
        <v>531</v>
      </c>
      <c r="F207" s="319" t="n">
        <v>45806</v>
      </c>
      <c r="G207" s="319" t="n">
        <v>45807</v>
      </c>
      <c r="H207" s="324" t="n">
        <f aca="false">+Tabla42[[#This Row],[Fecha de Respuesta]]-Tabla42[[#This Row],[Fecha de Envio]]</f>
        <v>1</v>
      </c>
      <c r="I207" s="319" t="str">
        <f aca="false">+IF(Tabla42[[#This Row],[Fecha de Respuesta]]&gt;0,"Cerrada","Pendiente")</f>
        <v>Cerrada</v>
      </c>
      <c r="J207" s="326" t="s">
        <v>532</v>
      </c>
    </row>
    <row r="208" customFormat="false" ht="92.25" hidden="true" customHeight="true" outlineLevel="0" collapsed="false">
      <c r="B208" s="321" t="n">
        <v>153</v>
      </c>
      <c r="C208" s="322" t="s">
        <v>222</v>
      </c>
      <c r="D208" s="322" t="s">
        <v>127</v>
      </c>
      <c r="E208" s="323" t="s">
        <v>533</v>
      </c>
      <c r="F208" s="319" t="n">
        <v>45806</v>
      </c>
      <c r="G208" s="319" t="n">
        <v>45810</v>
      </c>
      <c r="H208" s="324" t="n">
        <f aca="false">+Tabla42[[#This Row],[Fecha de Respuesta]]-Tabla42[[#This Row],[Fecha de Envio]]</f>
        <v>4</v>
      </c>
      <c r="I208" s="319" t="str">
        <f aca="false">+IF(Tabla42[[#This Row],[Fecha de Respuesta]]&gt;0,"Cerrada","Pendiente")</f>
        <v>Cerrada</v>
      </c>
      <c r="J208" s="326" t="s">
        <v>534</v>
      </c>
    </row>
    <row r="209" customFormat="false" ht="93" hidden="true" customHeight="true" outlineLevel="0" collapsed="false">
      <c r="B209" s="321" t="s">
        <v>535</v>
      </c>
      <c r="C209" s="322" t="s">
        <v>222</v>
      </c>
      <c r="D209" s="322" t="s">
        <v>127</v>
      </c>
      <c r="E209" s="323" t="s">
        <v>533</v>
      </c>
      <c r="F209" s="319" t="n">
        <v>45807</v>
      </c>
      <c r="G209" s="319" t="n">
        <v>45813</v>
      </c>
      <c r="H209" s="324" t="n">
        <f aca="false">+Tabla42[[#This Row],[Fecha de Respuesta]]-Tabla42[[#This Row],[Fecha de Envio]]</f>
        <v>6</v>
      </c>
      <c r="I209" s="319" t="str">
        <f aca="false">+IF(Tabla42[[#This Row],[Fecha de Respuesta]]&gt;0,"Cerrada","Pendiente")</f>
        <v>Cerrada</v>
      </c>
      <c r="J209" s="326" t="s">
        <v>536</v>
      </c>
    </row>
    <row r="210" customFormat="false" ht="93" hidden="true" customHeight="true" outlineLevel="0" collapsed="false">
      <c r="B210" s="343" t="s">
        <v>537</v>
      </c>
      <c r="C210" s="344" t="s">
        <v>222</v>
      </c>
      <c r="D210" s="344" t="s">
        <v>127</v>
      </c>
      <c r="E210" s="345" t="s">
        <v>538</v>
      </c>
      <c r="F210" s="346" t="n">
        <v>45812</v>
      </c>
      <c r="G210" s="346" t="n">
        <v>45827</v>
      </c>
      <c r="H210" s="324" t="n">
        <f aca="false">+Tabla42[[#This Row],[Fecha de Respuesta]]-Tabla42[[#This Row],[Fecha de Envio]]</f>
        <v>15</v>
      </c>
      <c r="I210" s="346" t="str">
        <f aca="false">+IF(Tabla42[[#This Row],[Fecha de Respuesta]]&gt;0,"Cerrada","Pendiente")</f>
        <v>Cerrada</v>
      </c>
      <c r="J210" s="326" t="s">
        <v>539</v>
      </c>
    </row>
    <row r="211" customFormat="false" ht="93" hidden="true" customHeight="true" outlineLevel="0" collapsed="false">
      <c r="B211" s="321" t="s">
        <v>540</v>
      </c>
      <c r="C211" s="322" t="s">
        <v>222</v>
      </c>
      <c r="D211" s="322" t="s">
        <v>116</v>
      </c>
      <c r="E211" s="323" t="s">
        <v>541</v>
      </c>
      <c r="F211" s="319" t="n">
        <v>45812</v>
      </c>
      <c r="G211" s="319" t="n">
        <v>45840</v>
      </c>
      <c r="H211" s="324" t="n">
        <f aca="false">+Tabla42[[#This Row],[Fecha de Respuesta]]-Tabla42[[#This Row],[Fecha de Envio]]</f>
        <v>28</v>
      </c>
      <c r="I211" s="319" t="str">
        <f aca="false">+IF(Tabla42[[#This Row],[Fecha de Respuesta]]&gt;0,"Cerrada","Pendiente")</f>
        <v>Cerrada</v>
      </c>
      <c r="J211" s="326" t="s">
        <v>542</v>
      </c>
    </row>
    <row r="212" customFormat="false" ht="93" hidden="true" customHeight="true" outlineLevel="0" collapsed="false">
      <c r="B212" s="321" t="n">
        <v>156</v>
      </c>
      <c r="C212" s="322" t="s">
        <v>222</v>
      </c>
      <c r="D212" s="322" t="s">
        <v>183</v>
      </c>
      <c r="E212" s="323" t="s">
        <v>543</v>
      </c>
      <c r="F212" s="319" t="n">
        <v>45819</v>
      </c>
      <c r="G212" s="319" t="n">
        <v>45831</v>
      </c>
      <c r="H212" s="324" t="n">
        <f aca="false">+Tabla42[[#This Row],[Fecha de Respuesta]]-Tabla42[[#This Row],[Fecha de Envio]]</f>
        <v>12</v>
      </c>
      <c r="I212" s="319" t="str">
        <f aca="false">+IF(Tabla42[[#This Row],[Fecha de Respuesta]]&gt;0,"Cerrada","Pendiente")</f>
        <v>Cerrada</v>
      </c>
      <c r="J212" s="326" t="s">
        <v>544</v>
      </c>
    </row>
    <row r="213" customFormat="false" ht="93" hidden="true" customHeight="true" outlineLevel="0" collapsed="false">
      <c r="B213" s="321" t="s">
        <v>545</v>
      </c>
      <c r="C213" s="322" t="s">
        <v>222</v>
      </c>
      <c r="D213" s="322" t="s">
        <v>183</v>
      </c>
      <c r="E213" s="323" t="s">
        <v>543</v>
      </c>
      <c r="F213" s="319" t="n">
        <v>45926</v>
      </c>
      <c r="G213" s="319" t="n">
        <v>45930</v>
      </c>
      <c r="H213" s="324" t="n">
        <f aca="false">+Tabla42[[#This Row],[Fecha de Respuesta]]-Tabla42[[#This Row],[Fecha de Envio]]</f>
        <v>4</v>
      </c>
      <c r="I213" s="319" t="str">
        <f aca="false">+IF(Tabla42[[#This Row],[Fecha de Respuesta]]&gt;0,"Cerrada","Pendiente")</f>
        <v>Cerrada</v>
      </c>
      <c r="J213" s="331" t="s">
        <v>546</v>
      </c>
    </row>
    <row r="214" customFormat="false" ht="93" hidden="true" customHeight="true" outlineLevel="0" collapsed="false">
      <c r="B214" s="321" t="n">
        <v>157</v>
      </c>
      <c r="C214" s="322" t="s">
        <v>222</v>
      </c>
      <c r="D214" s="322" t="s">
        <v>127</v>
      </c>
      <c r="E214" s="323" t="s">
        <v>547</v>
      </c>
      <c r="F214" s="319" t="n">
        <v>45821</v>
      </c>
      <c r="G214" s="319" t="n">
        <v>45887</v>
      </c>
      <c r="H214" s="324" t="n">
        <f aca="false">+Tabla42[[#This Row],[Fecha de Respuesta]]-Tabla42[[#This Row],[Fecha de Envio]]</f>
        <v>66</v>
      </c>
      <c r="I214" s="319" t="str">
        <f aca="false">+IF(Tabla42[[#This Row],[Fecha de Respuesta]]&gt;0,"Cerrada","Pendiente")</f>
        <v>Cerrada</v>
      </c>
      <c r="J214" s="331" t="s">
        <v>548</v>
      </c>
      <c r="K214" s="347"/>
      <c r="L214" s="347"/>
      <c r="M214" s="347"/>
      <c r="N214" s="347"/>
      <c r="O214" s="347"/>
      <c r="P214" s="347"/>
      <c r="Q214" s="347"/>
      <c r="R214" s="347"/>
      <c r="S214" s="347"/>
      <c r="T214" s="347"/>
      <c r="U214" s="347"/>
      <c r="V214" s="347"/>
      <c r="W214" s="347"/>
      <c r="X214" s="347"/>
      <c r="Y214" s="347"/>
      <c r="Z214" s="347"/>
      <c r="AA214" s="347"/>
      <c r="AB214" s="347"/>
      <c r="AC214" s="347"/>
      <c r="AD214" s="347"/>
      <c r="AE214" s="347"/>
      <c r="AF214" s="347"/>
      <c r="AG214" s="347"/>
      <c r="AH214" s="347"/>
      <c r="AI214" s="347"/>
    </row>
    <row r="215" customFormat="false" ht="93" hidden="true" customHeight="true" outlineLevel="0" collapsed="false">
      <c r="B215" s="321" t="n">
        <v>158</v>
      </c>
      <c r="C215" s="322" t="s">
        <v>222</v>
      </c>
      <c r="D215" s="328" t="s">
        <v>171</v>
      </c>
      <c r="E215" s="323" t="s">
        <v>549</v>
      </c>
      <c r="F215" s="319" t="n">
        <v>45825</v>
      </c>
      <c r="G215" s="319" t="n">
        <v>45888</v>
      </c>
      <c r="H215" s="324" t="n">
        <f aca="false">+Tabla42[[#This Row],[Fecha de Respuesta]]-Tabla42[[#This Row],[Fecha de Envio]]</f>
        <v>63</v>
      </c>
      <c r="I215" s="319" t="str">
        <f aca="false">+IF(Tabla42[[#This Row],[Fecha de Respuesta]]&gt;0,"Cerrada","Pendiente")</f>
        <v>Cerrada</v>
      </c>
      <c r="J215" s="331" t="s">
        <v>550</v>
      </c>
    </row>
    <row r="216" customFormat="false" ht="93" hidden="true" customHeight="true" outlineLevel="0" collapsed="false">
      <c r="B216" s="321" t="n">
        <v>159</v>
      </c>
      <c r="C216" s="322" t="s">
        <v>222</v>
      </c>
      <c r="D216" s="328" t="s">
        <v>171</v>
      </c>
      <c r="E216" s="345" t="s">
        <v>551</v>
      </c>
      <c r="F216" s="319" t="n">
        <v>45825</v>
      </c>
      <c r="G216" s="346" t="n">
        <v>45951</v>
      </c>
      <c r="H216" s="324" t="n">
        <f aca="false">+TODAY()-Tabla42[[#This Row],[Fecha de Envio]]</f>
        <v>255</v>
      </c>
      <c r="I216" s="346" t="str">
        <f aca="false">+IF(Tabla42[[#This Row],[Fecha de Respuesta]]&gt;0,"Cerrada","Pendiente")</f>
        <v>Cerrada</v>
      </c>
      <c r="J216" s="348" t="s">
        <v>552</v>
      </c>
    </row>
    <row r="217" customFormat="false" ht="93" hidden="true" customHeight="true" outlineLevel="0" collapsed="false">
      <c r="B217" s="321" t="n">
        <v>160</v>
      </c>
      <c r="C217" s="322" t="s">
        <v>222</v>
      </c>
      <c r="D217" s="322" t="s">
        <v>127</v>
      </c>
      <c r="E217" s="323" t="s">
        <v>553</v>
      </c>
      <c r="F217" s="319" t="n">
        <v>45832</v>
      </c>
      <c r="G217" s="319" t="n">
        <v>45863</v>
      </c>
      <c r="H217" s="324" t="n">
        <f aca="false">+Tabla42[[#This Row],[Fecha de Respuesta]]-Tabla42[[#This Row],[Fecha de Envio]]</f>
        <v>31</v>
      </c>
      <c r="I217" s="319" t="str">
        <f aca="false">+IF(Tabla42[[#This Row],[Fecha de Respuesta]]&gt;0,"Cerrada","Pendiente")</f>
        <v>Cerrada</v>
      </c>
      <c r="J217" s="331" t="s">
        <v>554</v>
      </c>
    </row>
    <row r="218" customFormat="false" ht="93" hidden="true" customHeight="true" outlineLevel="0" collapsed="false">
      <c r="B218" s="321" t="s">
        <v>555</v>
      </c>
      <c r="C218" s="322" t="s">
        <v>222</v>
      </c>
      <c r="D218" s="322" t="s">
        <v>127</v>
      </c>
      <c r="E218" s="323" t="s">
        <v>553</v>
      </c>
      <c r="F218" s="319" t="n">
        <v>45869</v>
      </c>
      <c r="G218" s="319" t="n">
        <v>45888</v>
      </c>
      <c r="H218" s="324" t="n">
        <f aca="false">+Tabla42[[#This Row],[Fecha de Respuesta]]-Tabla42[[#This Row],[Fecha de Envio]]</f>
        <v>19</v>
      </c>
      <c r="I218" s="319" t="str">
        <f aca="false">+IF(Tabla42[[#This Row],[Fecha de Respuesta]]&gt;0,"Cerrada","Pendiente")</f>
        <v>Cerrada</v>
      </c>
      <c r="J218" s="331" t="s">
        <v>556</v>
      </c>
    </row>
    <row r="219" customFormat="false" ht="93" hidden="false" customHeight="true" outlineLevel="0" collapsed="false">
      <c r="B219" s="321" t="s">
        <v>557</v>
      </c>
      <c r="C219" s="322" t="s">
        <v>222</v>
      </c>
      <c r="D219" s="322" t="s">
        <v>127</v>
      </c>
      <c r="E219" s="323" t="s">
        <v>553</v>
      </c>
      <c r="F219" s="319" t="n">
        <v>45923</v>
      </c>
      <c r="G219" s="319" t="n">
        <v>46077</v>
      </c>
      <c r="H219" s="324" t="n">
        <f aca="false">Tabla42[[#This Row],[Fecha de Respuesta]]-Tabla42[[#This Row],[Fecha de Envio]]</f>
        <v>154</v>
      </c>
      <c r="I219" s="319" t="str">
        <f aca="false">+IF(Tabla42[[#This Row],[Fecha de Respuesta]]&gt;0,"Cerrada","Pendiente")</f>
        <v>Cerrada</v>
      </c>
      <c r="J219" s="331" t="s">
        <v>558</v>
      </c>
    </row>
    <row r="220" customFormat="false" ht="93" hidden="true" customHeight="true" outlineLevel="0" collapsed="false">
      <c r="B220" s="321" t="n">
        <v>161</v>
      </c>
      <c r="C220" s="322" t="s">
        <v>222</v>
      </c>
      <c r="D220" s="322" t="s">
        <v>127</v>
      </c>
      <c r="E220" s="323" t="s">
        <v>559</v>
      </c>
      <c r="F220" s="319" t="n">
        <v>45832</v>
      </c>
      <c r="G220" s="319" t="n">
        <v>45863</v>
      </c>
      <c r="H220" s="324" t="n">
        <f aca="false">+Tabla42[[#This Row],[Fecha de Respuesta]]-Tabla42[[#This Row],[Fecha de Envio]]</f>
        <v>31</v>
      </c>
      <c r="I220" s="319" t="str">
        <f aca="false">+IF(Tabla42[[#This Row],[Fecha de Respuesta]]&gt;0,"Cerrada","Pendiente")</f>
        <v>Cerrada</v>
      </c>
      <c r="J220" s="331" t="s">
        <v>560</v>
      </c>
    </row>
    <row r="221" customFormat="false" ht="93" hidden="true" customHeight="true" outlineLevel="0" collapsed="false">
      <c r="B221" s="321" t="s">
        <v>561</v>
      </c>
      <c r="C221" s="322" t="s">
        <v>222</v>
      </c>
      <c r="D221" s="322" t="s">
        <v>127</v>
      </c>
      <c r="E221" s="323" t="s">
        <v>559</v>
      </c>
      <c r="F221" s="319" t="n">
        <v>45869</v>
      </c>
      <c r="G221" s="319" t="n">
        <v>45888</v>
      </c>
      <c r="H221" s="324" t="n">
        <f aca="false">+Tabla42[[#This Row],[Fecha de Respuesta]]-Tabla42[[#This Row],[Fecha de Envio]]</f>
        <v>19</v>
      </c>
      <c r="I221" s="319" t="str">
        <f aca="false">+IF(Tabla42[[#This Row],[Fecha de Respuesta]]&gt;0,"Cerrada","Pendiente")</f>
        <v>Cerrada</v>
      </c>
      <c r="J221" s="331" t="s">
        <v>562</v>
      </c>
    </row>
    <row r="222" customFormat="false" ht="93" hidden="false" customHeight="true" outlineLevel="0" collapsed="false">
      <c r="B222" s="321" t="s">
        <v>563</v>
      </c>
      <c r="C222" s="322" t="s">
        <v>222</v>
      </c>
      <c r="D222" s="322" t="s">
        <v>127</v>
      </c>
      <c r="E222" s="323" t="s">
        <v>559</v>
      </c>
      <c r="F222" s="319" t="n">
        <v>45922</v>
      </c>
      <c r="G222" s="319"/>
      <c r="H222" s="324" t="n">
        <f aca="false">+TODAY()-Tabla42[[#This Row],[Fecha de Envio]]</f>
        <v>158</v>
      </c>
      <c r="I222" s="319" t="str">
        <f aca="false">+IF(Tabla42[[#This Row],[Fecha de Respuesta]]&gt;0,"Cerrada","Pendiente")</f>
        <v>Pendiente</v>
      </c>
      <c r="J222" s="331"/>
    </row>
    <row r="223" customFormat="false" ht="93" hidden="false" customHeight="true" outlineLevel="0" collapsed="false">
      <c r="B223" s="321" t="n">
        <v>162</v>
      </c>
      <c r="C223" s="322" t="s">
        <v>222</v>
      </c>
      <c r="D223" s="328" t="s">
        <v>171</v>
      </c>
      <c r="E223" s="323" t="s">
        <v>564</v>
      </c>
      <c r="F223" s="319" t="n">
        <v>45833</v>
      </c>
      <c r="G223" s="319"/>
      <c r="H223" s="324" t="n">
        <f aca="false">+TODAY()-Tabla42[[#This Row],[Fecha de Envio]]</f>
        <v>247</v>
      </c>
      <c r="I223" s="319" t="str">
        <f aca="false">+IF(Tabla42[[#This Row],[Fecha de Respuesta]]&gt;0,"Cerrada","Pendiente")</f>
        <v>Pendiente</v>
      </c>
      <c r="J223" s="331"/>
    </row>
    <row r="224" customFormat="false" ht="93" hidden="true" customHeight="true" outlineLevel="0" collapsed="false">
      <c r="B224" s="349" t="n">
        <v>163</v>
      </c>
      <c r="C224" s="322" t="s">
        <v>222</v>
      </c>
      <c r="D224" s="328" t="s">
        <v>171</v>
      </c>
      <c r="E224" s="345" t="s">
        <v>565</v>
      </c>
      <c r="F224" s="346" t="n">
        <v>45840</v>
      </c>
      <c r="G224" s="346" t="n">
        <v>45889</v>
      </c>
      <c r="H224" s="324" t="n">
        <f aca="false">+Tabla42[[#This Row],[Fecha de Respuesta]]-Tabla42[[#This Row],[Fecha de Envio]]</f>
        <v>49</v>
      </c>
      <c r="I224" s="346" t="str">
        <f aca="false">+IF(Tabla42[[#This Row],[Fecha de Respuesta]]&gt;0,"Cerrada","Pendiente")</f>
        <v>Cerrada</v>
      </c>
      <c r="J224" s="348" t="s">
        <v>566</v>
      </c>
    </row>
    <row r="225" customFormat="false" ht="93" hidden="true" customHeight="true" outlineLevel="0" collapsed="false">
      <c r="B225" s="349" t="n">
        <v>164</v>
      </c>
      <c r="C225" s="322" t="s">
        <v>222</v>
      </c>
      <c r="D225" s="322" t="s">
        <v>82</v>
      </c>
      <c r="E225" s="323" t="s">
        <v>567</v>
      </c>
      <c r="F225" s="319" t="n">
        <v>45842</v>
      </c>
      <c r="G225" s="319" t="n">
        <v>45846</v>
      </c>
      <c r="H225" s="324" t="n">
        <f aca="false">+Tabla42[[#This Row],[Fecha de Respuesta]]-Tabla42[[#This Row],[Fecha de Envio]]</f>
        <v>4</v>
      </c>
      <c r="I225" s="319" t="str">
        <f aca="false">+IF(Tabla42[[#This Row],[Fecha de Respuesta]]&gt;0,"Cerrada","Pendiente")</f>
        <v>Cerrada</v>
      </c>
      <c r="J225" s="331"/>
    </row>
    <row r="226" customFormat="false" ht="93" hidden="true" customHeight="true" outlineLevel="0" collapsed="false">
      <c r="B226" s="349" t="s">
        <v>568</v>
      </c>
      <c r="C226" s="322" t="s">
        <v>222</v>
      </c>
      <c r="D226" s="322" t="s">
        <v>82</v>
      </c>
      <c r="E226" s="323" t="s">
        <v>567</v>
      </c>
      <c r="F226" s="319" t="n">
        <v>45845</v>
      </c>
      <c r="G226" s="319" t="n">
        <v>45846</v>
      </c>
      <c r="H226" s="324" t="n">
        <f aca="false">+Tabla42[[#This Row],[Fecha de Respuesta]]-Tabla42[[#This Row],[Fecha de Envio]]</f>
        <v>1</v>
      </c>
      <c r="I226" s="319" t="str">
        <f aca="false">+IF(Tabla42[[#This Row],[Fecha de Respuesta]]&gt;0,"Cerrada","Pendiente")</f>
        <v>Cerrada</v>
      </c>
      <c r="J226" s="331"/>
    </row>
    <row r="227" customFormat="false" ht="93" hidden="true" customHeight="true" outlineLevel="0" collapsed="false">
      <c r="B227" s="349" t="s">
        <v>569</v>
      </c>
      <c r="C227" s="322" t="s">
        <v>222</v>
      </c>
      <c r="D227" s="322" t="s">
        <v>82</v>
      </c>
      <c r="E227" s="323" t="s">
        <v>567</v>
      </c>
      <c r="F227" s="319" t="n">
        <v>45846</v>
      </c>
      <c r="G227" s="319" t="n">
        <v>45855</v>
      </c>
      <c r="H227" s="324" t="n">
        <f aca="false">+Tabla42[[#This Row],[Fecha de Respuesta]]-Tabla42[[#This Row],[Fecha de Envio]]</f>
        <v>9</v>
      </c>
      <c r="I227" s="319" t="str">
        <f aca="false">+IF(Tabla42[[#This Row],[Fecha de Respuesta]]&gt;0,"Cerrada","Pendiente")</f>
        <v>Cerrada</v>
      </c>
      <c r="J227" s="331"/>
    </row>
    <row r="228" customFormat="false" ht="93" hidden="true" customHeight="true" outlineLevel="0" collapsed="false">
      <c r="B228" s="349" t="n">
        <v>165</v>
      </c>
      <c r="C228" s="322" t="s">
        <v>222</v>
      </c>
      <c r="D228" s="322" t="s">
        <v>127</v>
      </c>
      <c r="E228" s="345" t="s">
        <v>570</v>
      </c>
      <c r="F228" s="346" t="n">
        <v>45842</v>
      </c>
      <c r="G228" s="346" t="n">
        <v>45880</v>
      </c>
      <c r="H228" s="324" t="n">
        <f aca="false">+Tabla42[[#This Row],[Fecha de Respuesta]]-Tabla42[[#This Row],[Fecha de Envio]]</f>
        <v>38</v>
      </c>
      <c r="I228" s="346" t="str">
        <f aca="false">+IF(Tabla42[[#This Row],[Fecha de Respuesta]]&gt;0,"Cerrada","Pendiente")</f>
        <v>Cerrada</v>
      </c>
      <c r="J228" s="348" t="s">
        <v>571</v>
      </c>
    </row>
    <row r="229" customFormat="false" ht="93" hidden="true" customHeight="true" outlineLevel="0" collapsed="false">
      <c r="B229" s="349" t="n">
        <v>166</v>
      </c>
      <c r="C229" s="344" t="s">
        <v>222</v>
      </c>
      <c r="D229" s="344" t="s">
        <v>127</v>
      </c>
      <c r="E229" s="345" t="s">
        <v>572</v>
      </c>
      <c r="F229" s="346" t="n">
        <v>45859</v>
      </c>
      <c r="G229" s="346" t="n">
        <v>45880</v>
      </c>
      <c r="H229" s="324" t="n">
        <f aca="false">+Tabla42[[#This Row],[Fecha de Respuesta]]-Tabla42[[#This Row],[Fecha de Envio]]</f>
        <v>21</v>
      </c>
      <c r="I229" s="346" t="str">
        <f aca="false">+IF(Tabla42[[#This Row],[Fecha de Respuesta]]&gt;0,"Cerrada","Pendiente")</f>
        <v>Cerrada</v>
      </c>
      <c r="J229" s="348" t="s">
        <v>573</v>
      </c>
    </row>
    <row r="230" customFormat="false" ht="93" hidden="true" customHeight="true" outlineLevel="0" collapsed="false">
      <c r="B230" s="332" t="n">
        <v>167</v>
      </c>
      <c r="C230" s="344" t="s">
        <v>222</v>
      </c>
      <c r="D230" s="344" t="s">
        <v>127</v>
      </c>
      <c r="E230" s="323" t="s">
        <v>574</v>
      </c>
      <c r="F230" s="319" t="n">
        <v>45862</v>
      </c>
      <c r="G230" s="319" t="n">
        <v>45924</v>
      </c>
      <c r="H230" s="324" t="n">
        <f aca="false">+Tabla42[[#This Row],[Fecha de Respuesta]]-Tabla42[[#This Row],[Fecha de Envio]]</f>
        <v>62</v>
      </c>
      <c r="I230" s="319" t="str">
        <f aca="false">+IF(Tabla42[[#This Row],[Fecha de Respuesta]]&gt;0,"Cerrada","Pendiente")</f>
        <v>Cerrada</v>
      </c>
      <c r="J230" s="331" t="s">
        <v>575</v>
      </c>
    </row>
    <row r="231" customFormat="false" ht="123" hidden="true" customHeight="true" outlineLevel="0" collapsed="false">
      <c r="B231" s="349" t="n">
        <v>168</v>
      </c>
      <c r="C231" s="322" t="s">
        <v>222</v>
      </c>
      <c r="D231" s="322" t="s">
        <v>183</v>
      </c>
      <c r="E231" s="345" t="s">
        <v>576</v>
      </c>
      <c r="F231" s="346" t="n">
        <v>45866</v>
      </c>
      <c r="G231" s="346" t="n">
        <v>45870</v>
      </c>
      <c r="H231" s="324" t="n">
        <f aca="false">+Tabla42[[#This Row],[Fecha de Respuesta]]-Tabla42[[#This Row],[Fecha de Envio]]</f>
        <v>4</v>
      </c>
      <c r="I231" s="346" t="str">
        <f aca="false">+IF(Tabla42[[#This Row],[Fecha de Respuesta]]&gt;0,"Cerrada","Pendiente")</f>
        <v>Cerrada</v>
      </c>
      <c r="J231" s="348" t="s">
        <v>577</v>
      </c>
    </row>
    <row r="232" customFormat="false" ht="123" hidden="true" customHeight="true" outlineLevel="0" collapsed="false">
      <c r="B232" s="349" t="s">
        <v>578</v>
      </c>
      <c r="C232" s="322" t="s">
        <v>222</v>
      </c>
      <c r="D232" s="322" t="s">
        <v>183</v>
      </c>
      <c r="E232" s="345" t="s">
        <v>576</v>
      </c>
      <c r="F232" s="346" t="n">
        <v>45873</v>
      </c>
      <c r="G232" s="346" t="n">
        <v>45875</v>
      </c>
      <c r="H232" s="324" t="n">
        <f aca="false">+Tabla42[[#This Row],[Fecha de Respuesta]]-Tabla42[[#This Row],[Fecha de Envio]]</f>
        <v>2</v>
      </c>
      <c r="I232" s="346" t="str">
        <f aca="false">+IF(Tabla42[[#This Row],[Fecha de Respuesta]]&gt;0,"Cerrada","Pendiente")</f>
        <v>Cerrada</v>
      </c>
      <c r="J232" s="348" t="s">
        <v>579</v>
      </c>
    </row>
    <row r="233" customFormat="false" ht="93" hidden="true" customHeight="true" outlineLevel="0" collapsed="false">
      <c r="B233" s="349" t="n">
        <v>169</v>
      </c>
      <c r="C233" s="322" t="s">
        <v>222</v>
      </c>
      <c r="D233" s="344" t="s">
        <v>127</v>
      </c>
      <c r="E233" s="323" t="s">
        <v>580</v>
      </c>
      <c r="F233" s="319" t="n">
        <v>45869</v>
      </c>
      <c r="G233" s="319" t="n">
        <v>45887</v>
      </c>
      <c r="H233" s="324" t="n">
        <f aca="false">+Tabla42[[#This Row],[Fecha de Respuesta]]-Tabla42[[#This Row],[Fecha de Envio]]</f>
        <v>18</v>
      </c>
      <c r="I233" s="319" t="str">
        <f aca="false">+IF(Tabla42[[#This Row],[Fecha de Respuesta]]&gt;0,"Cerrada","Pendiente")</f>
        <v>Cerrada</v>
      </c>
      <c r="J233" s="331" t="s">
        <v>581</v>
      </c>
    </row>
    <row r="234" customFormat="false" ht="93" hidden="false" customHeight="true" outlineLevel="0" collapsed="false">
      <c r="B234" s="349" t="s">
        <v>582</v>
      </c>
      <c r="C234" s="322" t="s">
        <v>222</v>
      </c>
      <c r="D234" s="344" t="s">
        <v>127</v>
      </c>
      <c r="E234" s="323" t="s">
        <v>580</v>
      </c>
      <c r="F234" s="319" t="n">
        <v>45911</v>
      </c>
      <c r="G234" s="319" t="n">
        <v>46077</v>
      </c>
      <c r="H234" s="324" t="n">
        <f aca="false">Tabla42[[#This Row],[Fecha de Respuesta]]-Tabla42[[#This Row],[Fecha de Envio]]</f>
        <v>166</v>
      </c>
      <c r="I234" s="319" t="str">
        <f aca="false">+IF(Tabla42[[#This Row],[Fecha de Respuesta]]&gt;0,"Cerrada","Pendiente")</f>
        <v>Cerrada</v>
      </c>
      <c r="J234" s="331" t="s">
        <v>558</v>
      </c>
    </row>
    <row r="235" customFormat="false" ht="93" hidden="true" customHeight="true" outlineLevel="0" collapsed="false">
      <c r="B235" s="349" t="n">
        <v>170</v>
      </c>
      <c r="C235" s="322" t="s">
        <v>222</v>
      </c>
      <c r="D235" s="344" t="s">
        <v>5</v>
      </c>
      <c r="E235" s="345" t="s">
        <v>583</v>
      </c>
      <c r="F235" s="346" t="n">
        <v>45870</v>
      </c>
      <c r="G235" s="319" t="n">
        <v>45887</v>
      </c>
      <c r="H235" s="324" t="n">
        <f aca="false">+Tabla42[[#This Row],[Fecha de Respuesta]]-Tabla42[[#This Row],[Fecha de Envio]]</f>
        <v>17</v>
      </c>
      <c r="I235" s="346" t="str">
        <f aca="false">+IF(Tabla42[[#This Row],[Fecha de Respuesta]]&gt;0,"Cerrada","Pendiente")</f>
        <v>Cerrada</v>
      </c>
      <c r="J235" s="348" t="s">
        <v>584</v>
      </c>
    </row>
    <row r="236" customFormat="false" ht="93" hidden="true" customHeight="true" outlineLevel="0" collapsed="false">
      <c r="B236" s="349" t="n">
        <v>171</v>
      </c>
      <c r="C236" s="322" t="s">
        <v>222</v>
      </c>
      <c r="D236" s="344" t="s">
        <v>585</v>
      </c>
      <c r="E236" s="345" t="s">
        <v>586</v>
      </c>
      <c r="F236" s="346" t="n">
        <v>45874</v>
      </c>
      <c r="G236" s="319" t="n">
        <v>45887</v>
      </c>
      <c r="H236" s="324" t="n">
        <f aca="false">+Tabla42[[#This Row],[Fecha de Respuesta]]-Tabla42[[#This Row],[Fecha de Envio]]</f>
        <v>13</v>
      </c>
      <c r="I236" s="346" t="str">
        <f aca="false">+IF(Tabla42[[#This Row],[Fecha de Respuesta]]&gt;0,"Cerrada","Pendiente")</f>
        <v>Cerrada</v>
      </c>
      <c r="J236" s="348" t="s">
        <v>587</v>
      </c>
    </row>
    <row r="237" customFormat="false" ht="92.25" hidden="true" customHeight="true" outlineLevel="0" collapsed="false">
      <c r="B237" s="332" t="n">
        <v>172</v>
      </c>
      <c r="C237" s="322" t="s">
        <v>222</v>
      </c>
      <c r="D237" s="322" t="s">
        <v>585</v>
      </c>
      <c r="E237" s="323" t="s">
        <v>588</v>
      </c>
      <c r="F237" s="319" t="n">
        <v>45883</v>
      </c>
      <c r="G237" s="319" t="n">
        <v>45888</v>
      </c>
      <c r="H237" s="324" t="n">
        <f aca="false">+Tabla42[[#This Row],[Fecha de Respuesta]]-Tabla42[[#This Row],[Fecha de Envio]]</f>
        <v>5</v>
      </c>
      <c r="I237" s="319" t="str">
        <f aca="false">+IF(Tabla42[[#This Row],[Fecha de Respuesta]]&gt;0,"Cerrada","Pendiente")</f>
        <v>Cerrada</v>
      </c>
      <c r="J237" s="331" t="s">
        <v>589</v>
      </c>
    </row>
    <row r="238" customFormat="false" ht="92.25" hidden="true" customHeight="true" outlineLevel="0" collapsed="false">
      <c r="B238" s="332" t="s">
        <v>590</v>
      </c>
      <c r="C238" s="322" t="s">
        <v>222</v>
      </c>
      <c r="D238" s="322" t="s">
        <v>585</v>
      </c>
      <c r="E238" s="323" t="s">
        <v>588</v>
      </c>
      <c r="F238" s="319" t="n">
        <v>45883</v>
      </c>
      <c r="G238" s="319" t="n">
        <v>45916</v>
      </c>
      <c r="H238" s="324" t="n">
        <f aca="false">+Tabla42[[#This Row],[Fecha de Respuesta]]-Tabla42[[#This Row],[Fecha de Envio]]</f>
        <v>33</v>
      </c>
      <c r="I238" s="319" t="str">
        <f aca="false">+IF(Tabla42[[#This Row],[Fecha de Respuesta]]&gt;0,"Cerrada","Pendiente")</f>
        <v>Cerrada</v>
      </c>
      <c r="J238" s="331" t="s">
        <v>591</v>
      </c>
    </row>
    <row r="239" customFormat="false" ht="92.25" hidden="true" customHeight="true" outlineLevel="0" collapsed="false">
      <c r="B239" s="332" t="n">
        <v>173</v>
      </c>
      <c r="C239" s="322" t="s">
        <v>222</v>
      </c>
      <c r="D239" s="322" t="s">
        <v>5</v>
      </c>
      <c r="E239" s="323" t="s">
        <v>592</v>
      </c>
      <c r="F239" s="319" t="n">
        <v>45887</v>
      </c>
      <c r="G239" s="319" t="n">
        <v>45904</v>
      </c>
      <c r="H239" s="324" t="n">
        <f aca="false">+Tabla42[[#This Row],[Fecha de Respuesta]]-Tabla42[[#This Row],[Fecha de Envio]]</f>
        <v>17</v>
      </c>
      <c r="I239" s="319" t="str">
        <f aca="false">+IF(Tabla42[[#This Row],[Fecha de Respuesta]]&gt;0,"Cerrada","Pendiente")</f>
        <v>Cerrada</v>
      </c>
      <c r="J239" s="331" t="s">
        <v>593</v>
      </c>
    </row>
    <row r="240" customFormat="false" ht="92.25" hidden="true" customHeight="true" outlineLevel="0" collapsed="false">
      <c r="B240" s="349" t="n">
        <v>174</v>
      </c>
      <c r="C240" s="322" t="s">
        <v>222</v>
      </c>
      <c r="D240" s="322" t="s">
        <v>5</v>
      </c>
      <c r="E240" s="345" t="s">
        <v>594</v>
      </c>
      <c r="F240" s="346" t="n">
        <v>45888</v>
      </c>
      <c r="G240" s="346" t="n">
        <v>45908</v>
      </c>
      <c r="H240" s="324" t="n">
        <f aca="false">+Tabla42[[#This Row],[Fecha de Respuesta]]-Tabla42[[#This Row],[Fecha de Envio]]</f>
        <v>20</v>
      </c>
      <c r="I240" s="346" t="str">
        <f aca="false">+IF(Tabla42[[#This Row],[Fecha de Respuesta]]&gt;0,"Cerrada","Pendiente")</f>
        <v>Cerrada</v>
      </c>
      <c r="J240" s="348" t="s">
        <v>595</v>
      </c>
    </row>
    <row r="241" customFormat="false" ht="92.25" hidden="true" customHeight="true" outlineLevel="0" collapsed="false">
      <c r="B241" s="349" t="n">
        <v>175</v>
      </c>
      <c r="C241" s="322" t="s">
        <v>222</v>
      </c>
      <c r="D241" s="322" t="s">
        <v>585</v>
      </c>
      <c r="E241" s="345" t="s">
        <v>596</v>
      </c>
      <c r="F241" s="346" t="n">
        <v>45901</v>
      </c>
      <c r="G241" s="346" t="n">
        <v>45930</v>
      </c>
      <c r="H241" s="324" t="n">
        <f aca="false">+Tabla42[[#This Row],[Fecha de Respuesta]]-Tabla42[[#This Row],[Fecha de Envio]]</f>
        <v>29</v>
      </c>
      <c r="I241" s="346" t="str">
        <f aca="false">+IF(Tabla42[[#This Row],[Fecha de Respuesta]]&gt;0,"Cerrada","Pendiente")</f>
        <v>Cerrada</v>
      </c>
      <c r="J241" s="348" t="s">
        <v>597</v>
      </c>
    </row>
    <row r="242" customFormat="false" ht="92.25" hidden="true" customHeight="true" outlineLevel="0" collapsed="false">
      <c r="B242" s="349" t="n">
        <v>176</v>
      </c>
      <c r="C242" s="322" t="s">
        <v>222</v>
      </c>
      <c r="D242" s="322" t="s">
        <v>585</v>
      </c>
      <c r="E242" s="345" t="s">
        <v>598</v>
      </c>
      <c r="F242" s="346" t="n">
        <v>45908</v>
      </c>
      <c r="G242" s="346" t="n">
        <v>45922</v>
      </c>
      <c r="H242" s="324" t="n">
        <f aca="false">+Tabla42[[#This Row],[Fecha de Respuesta]]-Tabla42[[#This Row],[Fecha de Envio]]</f>
        <v>14</v>
      </c>
      <c r="I242" s="346" t="str">
        <f aca="false">+IF(Tabla42[[#This Row],[Fecha de Respuesta]]&gt;0,"Cerrada","Pendiente")</f>
        <v>Cerrada</v>
      </c>
      <c r="J242" s="348" t="s">
        <v>599</v>
      </c>
    </row>
    <row r="243" customFormat="false" ht="92.25" hidden="true" customHeight="true" outlineLevel="0" collapsed="false">
      <c r="B243" s="349" t="s">
        <v>600</v>
      </c>
      <c r="C243" s="322" t="s">
        <v>222</v>
      </c>
      <c r="D243" s="322" t="s">
        <v>585</v>
      </c>
      <c r="E243" s="345" t="s">
        <v>598</v>
      </c>
      <c r="F243" s="346" t="n">
        <v>45922</v>
      </c>
      <c r="G243" s="346" t="n">
        <v>45924</v>
      </c>
      <c r="H243" s="324" t="n">
        <f aca="false">+Tabla42[[#This Row],[Fecha de Respuesta]]-Tabla42[[#This Row],[Fecha de Envio]]</f>
        <v>2</v>
      </c>
      <c r="I243" s="346" t="str">
        <f aca="false">+IF(Tabla42[[#This Row],[Fecha de Respuesta]]&gt;0,"Cerrada","Pendiente")</f>
        <v>Cerrada</v>
      </c>
      <c r="J243" s="348" t="s">
        <v>601</v>
      </c>
    </row>
    <row r="244" customFormat="false" ht="92.25" hidden="true" customHeight="true" outlineLevel="0" collapsed="false">
      <c r="B244" s="349" t="n">
        <v>177</v>
      </c>
      <c r="C244" s="322" t="s">
        <v>222</v>
      </c>
      <c r="D244" s="344" t="s">
        <v>127</v>
      </c>
      <c r="E244" s="323" t="s">
        <v>602</v>
      </c>
      <c r="F244" s="319" t="n">
        <v>45910</v>
      </c>
      <c r="G244" s="319" t="n">
        <v>45922</v>
      </c>
      <c r="H244" s="324" t="n">
        <f aca="false">+Tabla42[[#This Row],[Fecha de Respuesta]]-Tabla42[[#This Row],[Fecha de Envio]]</f>
        <v>12</v>
      </c>
      <c r="I244" s="319" t="str">
        <f aca="false">+IF(Tabla42[[#This Row],[Fecha de Respuesta]]&gt;0,"Cerrada","Pendiente")</f>
        <v>Cerrada</v>
      </c>
      <c r="J244" s="331" t="s">
        <v>603</v>
      </c>
    </row>
    <row r="245" customFormat="false" ht="92.25" hidden="true" customHeight="true" outlineLevel="0" collapsed="false">
      <c r="B245" s="349" t="s">
        <v>604</v>
      </c>
      <c r="C245" s="322" t="s">
        <v>222</v>
      </c>
      <c r="D245" s="344" t="s">
        <v>127</v>
      </c>
      <c r="E245" s="323" t="s">
        <v>602</v>
      </c>
      <c r="F245" s="319" t="n">
        <v>45923</v>
      </c>
      <c r="G245" s="319" t="n">
        <v>45930</v>
      </c>
      <c r="H245" s="324" t="n">
        <f aca="false">+Tabla42[[#This Row],[Fecha de Respuesta]]-Tabla42[[#This Row],[Fecha de Envio]]</f>
        <v>7</v>
      </c>
      <c r="I245" s="319" t="str">
        <f aca="false">+IF(Tabla42[[#This Row],[Fecha de Respuesta]]&gt;0,"Cerrada","Pendiente")</f>
        <v>Cerrada</v>
      </c>
      <c r="J245" s="331" t="s">
        <v>605</v>
      </c>
    </row>
    <row r="246" customFormat="false" ht="92.25" hidden="true" customHeight="true" outlineLevel="0" collapsed="false">
      <c r="B246" s="349" t="s">
        <v>606</v>
      </c>
      <c r="C246" s="322" t="s">
        <v>222</v>
      </c>
      <c r="D246" s="344" t="s">
        <v>127</v>
      </c>
      <c r="E246" s="323" t="s">
        <v>602</v>
      </c>
      <c r="F246" s="319" t="n">
        <v>45936</v>
      </c>
      <c r="G246" s="319" t="n">
        <v>45940</v>
      </c>
      <c r="H246" s="324" t="n">
        <f aca="false">+TODAY()-Tabla42[[#This Row],[Fecha de Envio]]</f>
        <v>144</v>
      </c>
      <c r="I246" s="319" t="str">
        <f aca="false">+IF(Tabla42[[#This Row],[Fecha de Respuesta]]&gt;0,"Cerrada","Pendiente")</f>
        <v>Cerrada</v>
      </c>
      <c r="J246" s="331" t="s">
        <v>607</v>
      </c>
    </row>
    <row r="247" customFormat="false" ht="92.25" hidden="true" customHeight="true" outlineLevel="0" collapsed="false">
      <c r="B247" s="349" t="s">
        <v>608</v>
      </c>
      <c r="C247" s="322" t="s">
        <v>222</v>
      </c>
      <c r="D247" s="344" t="s">
        <v>127</v>
      </c>
      <c r="E247" s="323" t="s">
        <v>602</v>
      </c>
      <c r="F247" s="319" t="n">
        <v>45947</v>
      </c>
      <c r="G247" s="319" t="n">
        <v>45975</v>
      </c>
      <c r="H247" s="324" t="n">
        <f aca="false">+TODAY()-Tabla42[[#This Row],[Fecha de Envio]]</f>
        <v>133</v>
      </c>
      <c r="I247" s="319" t="str">
        <f aca="false">+IF(Tabla42[[#This Row],[Fecha de Respuesta]]&gt;0,"Cerrada","Pendiente")</f>
        <v>Cerrada</v>
      </c>
      <c r="J247" s="331" t="s">
        <v>609</v>
      </c>
    </row>
    <row r="248" customFormat="false" ht="92.25" hidden="false" customHeight="true" outlineLevel="0" collapsed="false">
      <c r="B248" s="349" t="n">
        <v>178</v>
      </c>
      <c r="C248" s="322" t="s">
        <v>222</v>
      </c>
      <c r="D248" s="344" t="s">
        <v>127</v>
      </c>
      <c r="E248" s="323" t="s">
        <v>610</v>
      </c>
      <c r="F248" s="319" t="n">
        <v>45910</v>
      </c>
      <c r="G248" s="319"/>
      <c r="H248" s="324" t="n">
        <f aca="false">+TODAY()-Tabla42[[#This Row],[Fecha de Envio]]</f>
        <v>170</v>
      </c>
      <c r="I248" s="319" t="str">
        <f aca="false">+IF(Tabla42[[#This Row],[Fecha de Respuesta]]&gt;0,"Cerrada","Pendiente")</f>
        <v>Pendiente</v>
      </c>
      <c r="J248" s="331"/>
    </row>
    <row r="249" customFormat="false" ht="92.25" hidden="true" customHeight="true" outlineLevel="0" collapsed="false">
      <c r="B249" s="349" t="n">
        <v>179</v>
      </c>
      <c r="C249" s="322" t="s">
        <v>222</v>
      </c>
      <c r="D249" s="344" t="s">
        <v>127</v>
      </c>
      <c r="E249" s="323" t="s">
        <v>611</v>
      </c>
      <c r="F249" s="319" t="n">
        <v>45910</v>
      </c>
      <c r="G249" s="319" t="n">
        <v>45929</v>
      </c>
      <c r="H249" s="324" t="n">
        <f aca="false">+Tabla42[[#This Row],[Fecha de Respuesta]]-Tabla42[[#This Row],[Fecha de Envio]]</f>
        <v>19</v>
      </c>
      <c r="I249" s="319" t="str">
        <f aca="false">+IF(Tabla42[[#This Row],[Fecha de Respuesta]]&gt;0,"Cerrada","Pendiente")</f>
        <v>Cerrada</v>
      </c>
      <c r="J249" s="331" t="s">
        <v>612</v>
      </c>
    </row>
    <row r="250" customFormat="false" ht="92.25" hidden="false" customHeight="true" outlineLevel="0" collapsed="false">
      <c r="B250" s="349" t="s">
        <v>613</v>
      </c>
      <c r="C250" s="322" t="s">
        <v>222</v>
      </c>
      <c r="D250" s="344" t="s">
        <v>127</v>
      </c>
      <c r="E250" s="323" t="s">
        <v>611</v>
      </c>
      <c r="F250" s="319" t="n">
        <v>45960</v>
      </c>
      <c r="G250" s="319"/>
      <c r="H250" s="324" t="n">
        <f aca="false">+TODAY()-Tabla42[[#This Row],[Fecha de Envio]]</f>
        <v>120</v>
      </c>
      <c r="I250" s="319" t="str">
        <f aca="false">+IF(Tabla42[[#This Row],[Fecha de Respuesta]]&gt;0,"Cerrada","Pendiente")</f>
        <v>Pendiente</v>
      </c>
      <c r="J250" s="331"/>
    </row>
    <row r="251" customFormat="false" ht="92.25" hidden="false" customHeight="true" outlineLevel="0" collapsed="false">
      <c r="B251" s="349" t="n">
        <v>180</v>
      </c>
      <c r="C251" s="322" t="s">
        <v>222</v>
      </c>
      <c r="D251" s="344" t="s">
        <v>127</v>
      </c>
      <c r="E251" s="345" t="s">
        <v>614</v>
      </c>
      <c r="F251" s="319" t="n">
        <v>45910</v>
      </c>
      <c r="G251" s="346"/>
      <c r="H251" s="324" t="n">
        <f aca="false">+TODAY()-Tabla42[[#This Row],[Fecha de Envio]]</f>
        <v>170</v>
      </c>
      <c r="I251" s="346" t="str">
        <f aca="false">+IF(Tabla42[[#This Row],[Fecha de Respuesta]]&gt;0,"Cerrada","Pendiente")</f>
        <v>Pendiente</v>
      </c>
      <c r="J251" s="348"/>
    </row>
    <row r="252" customFormat="false" ht="92.25" hidden="true" customHeight="true" outlineLevel="0" collapsed="false">
      <c r="B252" s="349" t="n">
        <v>181</v>
      </c>
      <c r="C252" s="322" t="s">
        <v>222</v>
      </c>
      <c r="D252" s="344" t="s">
        <v>127</v>
      </c>
      <c r="E252" s="345" t="s">
        <v>615</v>
      </c>
      <c r="F252" s="319" t="n">
        <v>45922</v>
      </c>
      <c r="G252" s="319" t="n">
        <v>45923</v>
      </c>
      <c r="H252" s="324" t="n">
        <f aca="false">+Tabla42[[#This Row],[Fecha de Respuesta]]-Tabla42[[#This Row],[Fecha de Envio]]</f>
        <v>1</v>
      </c>
      <c r="I252" s="346" t="str">
        <f aca="false">+IF(Tabla42[[#This Row],[Fecha de Respuesta]]&gt;0,"Cerrada","Pendiente")</f>
        <v>Cerrada</v>
      </c>
      <c r="J252" s="348" t="s">
        <v>616</v>
      </c>
    </row>
    <row r="253" customFormat="false" ht="92.25" hidden="true" customHeight="true" outlineLevel="0" collapsed="false">
      <c r="B253" s="349" t="s">
        <v>617</v>
      </c>
      <c r="C253" s="322" t="s">
        <v>222</v>
      </c>
      <c r="D253" s="344" t="s">
        <v>127</v>
      </c>
      <c r="E253" s="345" t="s">
        <v>615</v>
      </c>
      <c r="F253" s="319" t="n">
        <v>45926</v>
      </c>
      <c r="G253" s="319" t="n">
        <v>45930</v>
      </c>
      <c r="H253" s="324" t="n">
        <f aca="false">+Tabla42[[#This Row],[Fecha de Respuesta]]-Tabla42[[#This Row],[Fecha de Envio]]</f>
        <v>4</v>
      </c>
      <c r="I253" s="319" t="str">
        <f aca="false">+IF(Tabla42[[#This Row],[Fecha de Respuesta]]&gt;0,"Cerrada","Pendiente")</f>
        <v>Cerrada</v>
      </c>
      <c r="J253" s="331" t="s">
        <v>618</v>
      </c>
    </row>
    <row r="254" customFormat="false" ht="92.25" hidden="true" customHeight="true" outlineLevel="0" collapsed="false">
      <c r="B254" s="349" t="n">
        <v>182</v>
      </c>
      <c r="C254" s="322" t="s">
        <v>222</v>
      </c>
      <c r="D254" s="322" t="s">
        <v>183</v>
      </c>
      <c r="E254" s="345" t="s">
        <v>619</v>
      </c>
      <c r="F254" s="319" t="n">
        <v>45929</v>
      </c>
      <c r="G254" s="319" t="n">
        <v>45931</v>
      </c>
      <c r="H254" s="324" t="n">
        <f aca="false">+Tabla42[[#This Row],[Fecha de Respuesta]]-Tabla42[[#This Row],[Fecha de Envio]]</f>
        <v>2</v>
      </c>
      <c r="I254" s="346" t="str">
        <f aca="false">+IF(Tabla42[[#This Row],[Fecha de Respuesta]]&gt;0,"Cerrada","Pendiente")</f>
        <v>Cerrada</v>
      </c>
      <c r="J254" s="348" t="s">
        <v>620</v>
      </c>
    </row>
    <row r="255" customFormat="false" ht="92.25" hidden="true" customHeight="true" outlineLevel="0" collapsed="false">
      <c r="B255" s="349" t="s">
        <v>621</v>
      </c>
      <c r="C255" s="322" t="s">
        <v>222</v>
      </c>
      <c r="D255" s="322" t="s">
        <v>183</v>
      </c>
      <c r="E255" s="345" t="s">
        <v>619</v>
      </c>
      <c r="F255" s="346" t="n">
        <v>45937</v>
      </c>
      <c r="G255" s="346" t="n">
        <v>45992</v>
      </c>
      <c r="H255" s="324" t="n">
        <f aca="false">+TODAY()-Tabla42[[#This Row],[Fecha de Envio]]</f>
        <v>143</v>
      </c>
      <c r="I255" s="346" t="str">
        <f aca="false">+IF(Tabla42[[#This Row],[Fecha de Respuesta]]&gt;0,"Cerrada","Pendiente")</f>
        <v>Cerrada</v>
      </c>
      <c r="J255" s="348" t="s">
        <v>622</v>
      </c>
    </row>
    <row r="256" customFormat="false" ht="92.25" hidden="true" customHeight="true" outlineLevel="0" collapsed="false">
      <c r="B256" s="349" t="n">
        <v>183</v>
      </c>
      <c r="C256" s="322" t="s">
        <v>222</v>
      </c>
      <c r="D256" s="322" t="s">
        <v>183</v>
      </c>
      <c r="E256" s="345" t="s">
        <v>623</v>
      </c>
      <c r="F256" s="346" t="n">
        <v>45943</v>
      </c>
      <c r="G256" s="346" t="n">
        <v>45972</v>
      </c>
      <c r="H256" s="324" t="n">
        <f aca="false">+TODAY()-Tabla42[[#This Row],[Fecha de Envio]]</f>
        <v>137</v>
      </c>
      <c r="I256" s="346" t="str">
        <f aca="false">+IF(Tabla42[[#This Row],[Fecha de Respuesta]]&gt;0,"Cerrada","Pendiente")</f>
        <v>Cerrada</v>
      </c>
      <c r="J256" s="348" t="s">
        <v>624</v>
      </c>
    </row>
    <row r="257" customFormat="false" ht="92.25" hidden="true" customHeight="true" outlineLevel="0" collapsed="false">
      <c r="B257" s="332" t="n">
        <v>184</v>
      </c>
      <c r="C257" s="322" t="s">
        <v>222</v>
      </c>
      <c r="D257" s="322" t="s">
        <v>116</v>
      </c>
      <c r="E257" s="323" t="s">
        <v>625</v>
      </c>
      <c r="F257" s="319" t="n">
        <v>45945</v>
      </c>
      <c r="G257" s="319" t="n">
        <v>46070</v>
      </c>
      <c r="H257" s="324" t="n">
        <f aca="false">Tabla42[[#This Row],[Fecha de Respuesta]]-Tabla42[[#This Row],[Fecha de Envio]]</f>
        <v>125</v>
      </c>
      <c r="I257" s="319" t="str">
        <f aca="false">+IF(Tabla42[[#This Row],[Fecha de Respuesta]]&gt;0,"Cerrada","Pendiente")</f>
        <v>Cerrada</v>
      </c>
      <c r="J257" s="331" t="s">
        <v>626</v>
      </c>
    </row>
    <row r="258" customFormat="false" ht="92.25" hidden="true" customHeight="true" outlineLevel="0" collapsed="false">
      <c r="B258" s="332" t="n">
        <v>185</v>
      </c>
      <c r="C258" s="322" t="s">
        <v>222</v>
      </c>
      <c r="D258" s="322" t="s">
        <v>183</v>
      </c>
      <c r="E258" s="323" t="s">
        <v>627</v>
      </c>
      <c r="F258" s="319" t="n">
        <v>45947</v>
      </c>
      <c r="G258" s="319" t="n">
        <v>45951</v>
      </c>
      <c r="H258" s="324" t="n">
        <f aca="false">+TODAY()-Tabla42[[#This Row],[Fecha de Envio]]</f>
        <v>133</v>
      </c>
      <c r="I258" s="319" t="str">
        <f aca="false">+IF(Tabla42[[#This Row],[Fecha de Respuesta]]&gt;0,"Cerrada","Pendiente")</f>
        <v>Cerrada</v>
      </c>
      <c r="J258" s="331" t="s">
        <v>628</v>
      </c>
    </row>
    <row r="259" customFormat="false" ht="92.25" hidden="false" customHeight="true" outlineLevel="0" collapsed="false">
      <c r="B259" s="332" t="n">
        <v>186</v>
      </c>
      <c r="C259" s="322" t="s">
        <v>222</v>
      </c>
      <c r="D259" s="344" t="s">
        <v>127</v>
      </c>
      <c r="E259" s="345" t="s">
        <v>629</v>
      </c>
      <c r="F259" s="346" t="n">
        <v>45954</v>
      </c>
      <c r="G259" s="346"/>
      <c r="H259" s="324" t="n">
        <f aca="false">+TODAY()-Tabla42[[#This Row],[Fecha de Envio]]</f>
        <v>126</v>
      </c>
      <c r="I259" s="346" t="str">
        <f aca="false">+IF(Tabla42[[#This Row],[Fecha de Respuesta]]&gt;0,"Cerrada","Pendiente")</f>
        <v>Pendiente</v>
      </c>
      <c r="J259" s="348"/>
    </row>
    <row r="260" customFormat="false" ht="92.25" hidden="true" customHeight="true" outlineLevel="0" collapsed="false">
      <c r="B260" s="349" t="n">
        <v>187</v>
      </c>
      <c r="C260" s="322" t="s">
        <v>222</v>
      </c>
      <c r="D260" s="344" t="s">
        <v>5</v>
      </c>
      <c r="E260" s="345" t="s">
        <v>630</v>
      </c>
      <c r="F260" s="346" t="n">
        <v>46002</v>
      </c>
      <c r="G260" s="346" t="n">
        <v>46044</v>
      </c>
      <c r="H260" s="324" t="n">
        <f aca="false">+TODAY()-Tabla42[[#This Row],[Fecha de Envio]]</f>
        <v>78</v>
      </c>
      <c r="I260" s="346" t="str">
        <f aca="false">+IF(Tabla42[[#This Row],[Fecha de Respuesta]]&gt;0,"Cerrada","Pendiente")</f>
        <v>Cerrada</v>
      </c>
      <c r="J260" s="348" t="s">
        <v>631</v>
      </c>
    </row>
    <row r="261" customFormat="false" ht="92.25" hidden="true" customHeight="true" outlineLevel="0" collapsed="false">
      <c r="B261" s="349" t="n">
        <v>188</v>
      </c>
      <c r="C261" s="344" t="s">
        <v>115</v>
      </c>
      <c r="D261" s="344" t="s">
        <v>585</v>
      </c>
      <c r="E261" s="345" t="s">
        <v>632</v>
      </c>
      <c r="F261" s="346" t="n">
        <v>46008</v>
      </c>
      <c r="G261" s="346" t="n">
        <v>46013</v>
      </c>
      <c r="H261" s="324" t="n">
        <f aca="false">+TODAY()-Tabla42[[#This Row],[Fecha de Envio]]</f>
        <v>72</v>
      </c>
      <c r="I261" s="346" t="str">
        <f aca="false">+IF(Tabla42[[#This Row],[Fecha de Respuesta]]&gt;0,"Cerrada","Pendiente")</f>
        <v>Cerrada</v>
      </c>
      <c r="J261" s="348" t="s">
        <v>633</v>
      </c>
    </row>
    <row r="262" customFormat="false" ht="92.25" hidden="true" customHeight="true" outlineLevel="0" collapsed="false">
      <c r="B262" s="349" t="s">
        <v>634</v>
      </c>
      <c r="C262" s="344" t="s">
        <v>115</v>
      </c>
      <c r="D262" s="344" t="s">
        <v>585</v>
      </c>
      <c r="E262" s="345" t="s">
        <v>635</v>
      </c>
      <c r="F262" s="346" t="n">
        <v>46030</v>
      </c>
      <c r="G262" s="346" t="n">
        <v>46070</v>
      </c>
      <c r="H262" s="324" t="n">
        <f aca="false">Tabla42[[#This Row],[Fecha de Respuesta]]-Tabla42[[#This Row],[Fecha de Envio]]</f>
        <v>40</v>
      </c>
      <c r="I262" s="346" t="str">
        <f aca="false">+IF(Tabla42[[#This Row],[Fecha de Respuesta]]&gt;0,"Cerrada","Pendiente")</f>
        <v>Cerrada</v>
      </c>
      <c r="J262" s="348" t="s">
        <v>636</v>
      </c>
    </row>
    <row r="263" customFormat="false" ht="92.25" hidden="false" customHeight="true" outlineLevel="0" collapsed="false">
      <c r="B263" s="332" t="n">
        <v>189</v>
      </c>
      <c r="C263" s="344" t="s">
        <v>115</v>
      </c>
      <c r="D263" s="344" t="s">
        <v>5</v>
      </c>
      <c r="E263" s="323" t="s">
        <v>637</v>
      </c>
      <c r="F263" s="319" t="n">
        <v>46014</v>
      </c>
      <c r="G263" s="319" t="n">
        <v>46077</v>
      </c>
      <c r="H263" s="324" t="n">
        <f aca="false">Tabla42[[#This Row],[Fecha de Respuesta]]-Tabla42[[#This Row],[Fecha de Envio]]</f>
        <v>63</v>
      </c>
      <c r="I263" s="319" t="str">
        <f aca="false">+IF(Tabla42[[#This Row],[Fecha de Respuesta]]&gt;0,"Cerrada","Pendiente")</f>
        <v>Cerrada</v>
      </c>
      <c r="J263" s="331" t="s">
        <v>638</v>
      </c>
    </row>
    <row r="264" customFormat="false" ht="92.25" hidden="true" customHeight="true" outlineLevel="0" collapsed="false">
      <c r="B264" s="349" t="n">
        <v>190</v>
      </c>
      <c r="C264" s="344" t="s">
        <v>115</v>
      </c>
      <c r="D264" s="328" t="s">
        <v>171</v>
      </c>
      <c r="E264" s="345" t="s">
        <v>639</v>
      </c>
      <c r="F264" s="346" t="n">
        <v>46022</v>
      </c>
      <c r="G264" s="346" t="n">
        <v>46071</v>
      </c>
      <c r="H264" s="324" t="n">
        <f aca="false">Tabla42[[#This Row],[Fecha de Respuesta]]-Tabla42[[#This Row],[Fecha de Envio]]</f>
        <v>49</v>
      </c>
      <c r="I264" s="346" t="str">
        <f aca="false">+IF(Tabla42[[#This Row],[Fecha de Respuesta]]&gt;0,"Cerrada","Pendiente")</f>
        <v>Cerrada</v>
      </c>
      <c r="J264" s="348" t="s">
        <v>640</v>
      </c>
    </row>
    <row r="265" customFormat="false" ht="92.25" hidden="true" customHeight="true" outlineLevel="0" collapsed="false">
      <c r="B265" s="349" t="n">
        <v>191</v>
      </c>
      <c r="C265" s="344" t="s">
        <v>115</v>
      </c>
      <c r="D265" s="344" t="s">
        <v>585</v>
      </c>
      <c r="E265" s="345" t="s">
        <v>641</v>
      </c>
      <c r="F265" s="346" t="n">
        <v>46036</v>
      </c>
      <c r="G265" s="346" t="n">
        <v>46063</v>
      </c>
      <c r="H265" s="324" t="n">
        <f aca="false">+TODAY()-Tabla42[[#This Row],[Fecha de Envio]]</f>
        <v>44</v>
      </c>
      <c r="I265" s="346" t="str">
        <f aca="false">+IF(Tabla42[[#This Row],[Fecha de Respuesta]]&gt;0,"Cerrada","Pendiente")</f>
        <v>Cerrada</v>
      </c>
      <c r="J265" s="348" t="s">
        <v>642</v>
      </c>
    </row>
    <row r="266" customFormat="false" ht="92.25" hidden="false" customHeight="true" outlineLevel="0" collapsed="false">
      <c r="B266" s="349" t="n">
        <v>192</v>
      </c>
      <c r="C266" s="344" t="s">
        <v>115</v>
      </c>
      <c r="D266" s="344" t="s">
        <v>127</v>
      </c>
      <c r="E266" s="345" t="s">
        <v>643</v>
      </c>
      <c r="F266" s="346" t="n">
        <v>46051</v>
      </c>
      <c r="G266" s="346"/>
      <c r="H266" s="324" t="n">
        <f aca="false">+TODAY()-Tabla42[[#This Row],[Fecha de Envio]]</f>
        <v>29</v>
      </c>
      <c r="I266" s="346" t="str">
        <f aca="false">+IF(Tabla42[[#This Row],[Fecha de Respuesta]]&gt;0,"Cerrada","Pendiente")</f>
        <v>Pendiente</v>
      </c>
      <c r="J266" s="348"/>
    </row>
    <row r="267" customFormat="false" ht="92.25" hidden="false" customHeight="true" outlineLevel="0" collapsed="false">
      <c r="B267" s="349" t="n">
        <v>193</v>
      </c>
      <c r="C267" s="344" t="s">
        <v>115</v>
      </c>
      <c r="D267" s="344" t="s">
        <v>585</v>
      </c>
      <c r="E267" s="345" t="s">
        <v>644</v>
      </c>
      <c r="F267" s="346" t="n">
        <v>46076</v>
      </c>
      <c r="G267" s="346" t="n">
        <v>46079</v>
      </c>
      <c r="H267" s="324" t="n">
        <f aca="false">+TODAY()-Tabla42[[#This Row],[Fecha de Envio]]</f>
        <v>4</v>
      </c>
      <c r="I267" s="346" t="str">
        <f aca="false">+IF(Tabla42[[#This Row],[Fecha de Respuesta]]&gt;0,"Cerrada","Pendiente")</f>
        <v>Cerrada</v>
      </c>
      <c r="J267" s="348" t="s">
        <v>645</v>
      </c>
    </row>
    <row r="268" customFormat="false" ht="92.25" hidden="false" customHeight="true" outlineLevel="0" collapsed="false"/>
    <row r="269" customFormat="false" ht="92.25" hidden="false" customHeight="true" outlineLevel="0" collapsed="false"/>
    <row r="270" customFormat="false" ht="92.25" hidden="false" customHeight="true" outlineLevel="0" collapsed="false"/>
    <row r="271" customFormat="false" ht="92.25" hidden="false" customHeight="true" outlineLevel="0" collapsed="false"/>
    <row r="272" customFormat="false" ht="92.25" hidden="false" customHeight="true" outlineLevel="0" collapsed="false"/>
    <row r="273" customFormat="false" ht="92.25" hidden="false" customHeight="true" outlineLevel="0" collapsed="false"/>
    <row r="274" customFormat="false" ht="92.25" hidden="false" customHeight="true" outlineLevel="0" collapsed="false"/>
    <row r="275" customFormat="false" ht="92.25" hidden="false" customHeight="true" outlineLevel="0" collapsed="false"/>
    <row r="276" customFormat="false" ht="92.25" hidden="false" customHeight="true" outlineLevel="0" collapsed="false"/>
    <row r="277" customFormat="false" ht="92.25" hidden="false" customHeight="true" outlineLevel="0" collapsed="false"/>
    <row r="278" customFormat="false" ht="92.25" hidden="false" customHeight="true" outlineLevel="0" collapsed="false"/>
    <row r="279" customFormat="false" ht="92.25" hidden="false" customHeight="true" outlineLevel="0" collapsed="false"/>
    <row r="280" customFormat="false" ht="92.25" hidden="false" customHeight="true" outlineLevel="0" collapsed="false"/>
    <row r="281" customFormat="false" ht="92.25" hidden="false" customHeight="true" outlineLevel="0" collapsed="false"/>
    <row r="282" customFormat="false" ht="92.25" hidden="false" customHeight="true" outlineLevel="0" collapsed="false"/>
    <row r="283" customFormat="false" ht="92.25" hidden="false" customHeight="true" outlineLevel="0" collapsed="false"/>
    <row r="284" customFormat="false" ht="92.25" hidden="false" customHeight="true" outlineLevel="0" collapsed="false"/>
  </sheetData>
  <mergeCells count="1">
    <mergeCell ref="B7:C7"/>
  </mergeCells>
  <conditionalFormatting sqref="I9">
    <cfRule type="containsText" priority="2" operator="containsText" aboveAverage="0" equalAverage="0" bottom="0" percent="0" rank="0" text="Entregada" dxfId="52">
      <formula>NOT(ISERROR(SEARCH("Entregada",I9)))</formula>
    </cfRule>
  </conditionalFormatting>
  <conditionalFormatting sqref="I10:I267">
    <cfRule type="cellIs" priority="3" operator="equal" aboveAverage="0" equalAverage="0" bottom="0" percent="0" rank="0" text="" dxfId="53">
      <formula>"Cerrada"</formula>
    </cfRule>
    <cfRule type="cellIs" priority="4" operator="equal" aboveAverage="0" equalAverage="0" bottom="0" percent="0" rank="0" text="" dxfId="54">
      <formula>"Pendiente"</formula>
    </cfRule>
  </conditionalFormatting>
  <conditionalFormatting sqref="N9:N12">
    <cfRule type="cellIs" priority="5" operator="equal" aboveAverage="0" equalAverage="0" bottom="0" percent="0" rank="0" text="" dxfId="55">
      <formula>"Cerrada"</formula>
    </cfRule>
    <cfRule type="cellIs" priority="6" operator="equal" aboveAverage="0" equalAverage="0" bottom="0" percent="0" rank="0" text="" dxfId="56">
      <formula>"Pendiente"</formula>
    </cfRule>
  </conditionalFormatting>
  <printOptions headings="false" gridLines="false" gridLinesSet="true" horizontalCentered="true" verticalCentered="false"/>
  <pageMargins left="0.236111111111111" right="0.236111111111111" top="0.747916666666667" bottom="0.748611111111111" header="0.511811023622047" footer="0.315277777777778"/>
  <pageSetup paperSize="1" scale="14" fitToWidth="1" fitToHeight="1" pageOrder="downThenOver" orientation="portrait" blackAndWhite="false" draft="false" cellComments="none" horizontalDpi="300" verticalDpi="300" copies="1"/>
  <headerFooter differentFirst="false" differentOddEven="false">
    <oddHeader/>
    <oddFooter>&amp;CPágina &amp;P&amp;R&amp;F</oddFooter>
  </headerFooter>
  <rowBreaks count="1" manualBreakCount="1">
    <brk id="22" man="true" max="16383" min="0"/>
  </rowBreaks>
  <colBreaks count="1" manualBreakCount="1">
    <brk id="10" man="true" max="65535" min="0"/>
  </colBreaks>
  <tableParts>
    <tablePart r:id="rId1"/>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3:AJ2394"/>
  <sheetViews>
    <sheetView showFormulas="false" showGridLines="false" showRowColHeaders="true" showZeros="true" rightToLeft="false" tabSelected="false" showOutlineSymbols="true" defaultGridColor="true" view="normal" topLeftCell="F1" colorId="64" zoomScale="70" zoomScaleNormal="70" zoomScalePageLayoutView="100" workbookViewId="0">
      <selection pane="topLeft" activeCell="F12" activeCellId="0" sqref="F12"/>
    </sheetView>
  </sheetViews>
  <sheetFormatPr defaultColWidth="10.859375" defaultRowHeight="12.75" zeroHeight="false" outlineLevelRow="0" outlineLevelCol="1"/>
  <cols>
    <col collapsed="false" customWidth="true" hidden="false" outlineLevel="0" max="1" min="1" style="350" width="4.43"/>
    <col collapsed="false" customWidth="true" hidden="false" outlineLevel="0" max="2" min="2" style="350" width="15"/>
    <col collapsed="false" customWidth="true" hidden="false" outlineLevel="0" max="3" min="3" style="350" width="22.71"/>
    <col collapsed="false" customWidth="true" hidden="false" outlineLevel="0" max="4" min="4" style="351" width="16.29"/>
    <col collapsed="false" customWidth="true" hidden="false" outlineLevel="0" max="5" min="5" style="350" width="21.86"/>
    <col collapsed="false" customWidth="true" hidden="false" outlineLevel="0" max="6" min="6" style="351" width="26.57"/>
    <col collapsed="false" customWidth="true" hidden="false" outlineLevel="0" max="7" min="7" style="350" width="79.57"/>
    <col collapsed="false" customWidth="true" hidden="false" outlineLevel="0" max="8" min="8" style="350" width="27.43"/>
    <col collapsed="false" customWidth="true" hidden="false" outlineLevel="0" max="9" min="9" style="350" width="21.71"/>
    <col collapsed="false" customWidth="true" hidden="false" outlineLevel="0" max="10" min="10" style="350" width="24.14"/>
    <col collapsed="false" customWidth="true" hidden="true" outlineLevel="1" max="11" min="11" style="350" width="255.43"/>
    <col collapsed="false" customWidth="true" hidden="false" outlineLevel="0" max="12" min="12" style="350" width="255.57"/>
    <col collapsed="false" customWidth="false" hidden="false" outlineLevel="0" max="16384" min="13" style="350" width="10.86"/>
  </cols>
  <sheetData>
    <row r="3" customFormat="false" ht="19.5" hidden="false" customHeight="true" outlineLevel="0" collapsed="false">
      <c r="F3" s="352"/>
      <c r="G3" s="352"/>
      <c r="H3" s="352"/>
      <c r="I3" s="352"/>
      <c r="J3" s="352"/>
      <c r="K3" s="352"/>
    </row>
    <row r="4" customFormat="false" ht="19.5" hidden="false" customHeight="true" outlineLevel="0" collapsed="false">
      <c r="F4" s="352"/>
      <c r="G4" s="352"/>
      <c r="H4" s="352"/>
      <c r="I4" s="352"/>
      <c r="J4" s="352"/>
      <c r="K4" s="352"/>
    </row>
    <row r="5" customFormat="false" ht="19.5" hidden="false" customHeight="true" outlineLevel="0" collapsed="false">
      <c r="F5" s="352"/>
      <c r="G5" s="352"/>
      <c r="H5" s="352"/>
      <c r="I5" s="352"/>
      <c r="J5" s="352"/>
      <c r="K5" s="352"/>
    </row>
    <row r="6" customFormat="false" ht="19.5" hidden="false" customHeight="true" outlineLevel="0" collapsed="false">
      <c r="F6" s="352"/>
      <c r="G6" s="352"/>
      <c r="H6" s="352"/>
      <c r="I6" s="352"/>
      <c r="J6" s="352"/>
      <c r="K6" s="352"/>
    </row>
    <row r="7" customFormat="false" ht="12.75" hidden="false" customHeight="false" outlineLevel="0" collapsed="false">
      <c r="F7" s="353"/>
      <c r="G7" s="353"/>
      <c r="H7" s="353"/>
      <c r="I7" s="353"/>
      <c r="J7" s="353"/>
    </row>
    <row r="11" customFormat="false" ht="25.5" hidden="false" customHeight="false" outlineLevel="0" collapsed="false">
      <c r="B11" s="354" t="s">
        <v>646</v>
      </c>
      <c r="C11" s="355" t="s">
        <v>647</v>
      </c>
      <c r="D11" s="356" t="s">
        <v>0</v>
      </c>
      <c r="E11" s="357" t="s">
        <v>112</v>
      </c>
      <c r="F11" s="358" t="s">
        <v>648</v>
      </c>
      <c r="G11" s="359" t="s">
        <v>649</v>
      </c>
      <c r="H11" s="359" t="s">
        <v>650</v>
      </c>
      <c r="I11" s="358" t="s">
        <v>651</v>
      </c>
      <c r="J11" s="358" t="s">
        <v>652</v>
      </c>
      <c r="K11" s="359" t="s">
        <v>653</v>
      </c>
      <c r="L11" s="359" t="s">
        <v>654</v>
      </c>
      <c r="M11" s="360" t="s">
        <v>655</v>
      </c>
    </row>
    <row r="12" customFormat="false" ht="12.75" hidden="false" customHeight="false" outlineLevel="0" collapsed="false">
      <c r="B12" s="361" t="n">
        <f aca="false">ROW() - ROW(Tabla8[[#Headers],[Correlativo ]])</f>
        <v>1</v>
      </c>
      <c r="C12" s="362" t="s">
        <v>656</v>
      </c>
      <c r="D12" s="362" t="s">
        <v>657</v>
      </c>
      <c r="E12" s="363" t="s">
        <v>658</v>
      </c>
      <c r="F12" s="364" t="s">
        <v>659</v>
      </c>
      <c r="G12" s="363" t="s">
        <v>660</v>
      </c>
      <c r="H12" s="363" t="s">
        <v>661</v>
      </c>
      <c r="I12" s="363" t="s">
        <v>115</v>
      </c>
      <c r="J12" s="363" t="s">
        <v>662</v>
      </c>
      <c r="K12" s="363" t="s">
        <v>663</v>
      </c>
      <c r="L12" s="365" t="s">
        <v>664</v>
      </c>
      <c r="M12" s="366"/>
    </row>
    <row r="13" customFormat="false" ht="12.75" hidden="false" customHeight="false" outlineLevel="0" collapsed="false">
      <c r="B13" s="361"/>
      <c r="C13" s="362"/>
      <c r="D13" s="362"/>
      <c r="E13" s="363"/>
      <c r="F13" s="364"/>
      <c r="G13" s="363"/>
      <c r="H13" s="363"/>
      <c r="I13" s="363"/>
      <c r="J13" s="363"/>
      <c r="K13" s="363"/>
      <c r="L13" s="363"/>
      <c r="M13" s="367"/>
    </row>
    <row r="14" customFormat="false" ht="12.75" hidden="false" customHeight="false" outlineLevel="0" collapsed="false">
      <c r="B14" s="361"/>
      <c r="C14" s="362"/>
      <c r="D14" s="362"/>
      <c r="E14" s="363"/>
      <c r="F14" s="364"/>
      <c r="G14" s="363"/>
      <c r="H14" s="363"/>
      <c r="I14" s="363"/>
      <c r="J14" s="363"/>
      <c r="K14" s="363"/>
      <c r="L14" s="363"/>
      <c r="M14" s="367"/>
    </row>
    <row r="15" customFormat="false" ht="12.75" hidden="false" customHeight="false" outlineLevel="0" collapsed="false">
      <c r="B15" s="361"/>
      <c r="C15" s="362"/>
      <c r="D15" s="362"/>
      <c r="E15" s="363"/>
      <c r="F15" s="364"/>
      <c r="G15" s="363"/>
      <c r="H15" s="363"/>
      <c r="I15" s="363"/>
      <c r="J15" s="363"/>
      <c r="K15" s="363"/>
      <c r="L15" s="363"/>
      <c r="M15" s="367"/>
    </row>
    <row r="16" customFormat="false" ht="12.75" hidden="false" customHeight="false" outlineLevel="0" collapsed="false">
      <c r="B16" s="361"/>
      <c r="C16" s="362"/>
      <c r="D16" s="362"/>
      <c r="E16" s="363"/>
      <c r="F16" s="364"/>
      <c r="G16" s="363"/>
      <c r="H16" s="363"/>
      <c r="I16" s="363"/>
      <c r="J16" s="363"/>
      <c r="K16" s="363"/>
      <c r="L16" s="365"/>
      <c r="M16" s="367"/>
    </row>
    <row r="17" customFormat="false" ht="12.75" hidden="false" customHeight="false" outlineLevel="0" collapsed="false">
      <c r="B17" s="361"/>
      <c r="C17" s="362"/>
      <c r="D17" s="362"/>
      <c r="E17" s="363"/>
      <c r="F17" s="364"/>
      <c r="G17" s="363"/>
      <c r="H17" s="363"/>
      <c r="I17" s="363"/>
      <c r="J17" s="363"/>
      <c r="K17" s="363"/>
      <c r="L17" s="363"/>
      <c r="M17" s="367"/>
    </row>
    <row r="18" customFormat="false" ht="12.75" hidden="false" customHeight="false" outlineLevel="0" collapsed="false">
      <c r="B18" s="361"/>
      <c r="C18" s="362"/>
      <c r="D18" s="362"/>
      <c r="E18" s="363"/>
      <c r="F18" s="364"/>
      <c r="G18" s="363"/>
      <c r="H18" s="363"/>
      <c r="I18" s="363"/>
      <c r="J18" s="363"/>
      <c r="K18" s="363"/>
      <c r="L18" s="363"/>
      <c r="M18" s="367"/>
    </row>
    <row r="19" customFormat="false" ht="12.75" hidden="false" customHeight="false" outlineLevel="0" collapsed="false">
      <c r="B19" s="361"/>
      <c r="C19" s="362"/>
      <c r="D19" s="362"/>
      <c r="E19" s="363"/>
      <c r="F19" s="364"/>
      <c r="G19" s="363"/>
      <c r="H19" s="363"/>
      <c r="I19" s="363"/>
      <c r="J19" s="363"/>
      <c r="K19" s="363"/>
      <c r="L19" s="363"/>
      <c r="M19" s="367"/>
    </row>
    <row r="20" customFormat="false" ht="12.75" hidden="false" customHeight="false" outlineLevel="0" collapsed="false">
      <c r="B20" s="361"/>
      <c r="C20" s="362"/>
      <c r="D20" s="362"/>
      <c r="E20" s="363"/>
      <c r="F20" s="364"/>
      <c r="G20" s="363"/>
      <c r="H20" s="363"/>
      <c r="I20" s="363"/>
      <c r="J20" s="363"/>
      <c r="K20" s="363"/>
      <c r="L20" s="363"/>
      <c r="M20" s="367"/>
    </row>
    <row r="21" customFormat="false" ht="12.75" hidden="false" customHeight="false" outlineLevel="0" collapsed="false">
      <c r="B21" s="361"/>
      <c r="C21" s="362"/>
      <c r="D21" s="362"/>
      <c r="E21" s="363"/>
      <c r="F21" s="364"/>
      <c r="G21" s="363"/>
      <c r="H21" s="363"/>
      <c r="I21" s="363"/>
      <c r="J21" s="363"/>
      <c r="K21" s="363"/>
      <c r="L21" s="363"/>
      <c r="M21" s="367"/>
    </row>
    <row r="22" customFormat="false" ht="12.75" hidden="false" customHeight="false" outlineLevel="0" collapsed="false">
      <c r="B22" s="361"/>
      <c r="C22" s="362"/>
      <c r="D22" s="362"/>
      <c r="E22" s="363"/>
      <c r="F22" s="364"/>
      <c r="G22" s="363"/>
      <c r="H22" s="363"/>
      <c r="I22" s="363"/>
      <c r="J22" s="363"/>
      <c r="K22" s="363"/>
      <c r="L22" s="363"/>
      <c r="M22" s="367"/>
    </row>
    <row r="23" customFormat="false" ht="12.75" hidden="false" customHeight="false" outlineLevel="0" collapsed="false">
      <c r="B23" s="361"/>
      <c r="C23" s="362"/>
      <c r="D23" s="362"/>
      <c r="E23" s="363"/>
      <c r="F23" s="364"/>
      <c r="G23" s="363"/>
      <c r="H23" s="363"/>
      <c r="I23" s="363"/>
      <c r="J23" s="363"/>
      <c r="K23" s="363"/>
      <c r="L23" s="363"/>
      <c r="M23" s="367"/>
    </row>
    <row r="24" customFormat="false" ht="12.75" hidden="false" customHeight="false" outlineLevel="0" collapsed="false">
      <c r="B24" s="361"/>
      <c r="C24" s="362"/>
      <c r="D24" s="362"/>
      <c r="E24" s="363"/>
      <c r="F24" s="364"/>
      <c r="G24" s="363"/>
      <c r="H24" s="363"/>
      <c r="I24" s="363"/>
      <c r="J24" s="363"/>
      <c r="K24" s="363"/>
      <c r="L24" s="363"/>
      <c r="M24" s="367"/>
    </row>
    <row r="25" customFormat="false" ht="12.75" hidden="false" customHeight="false" outlineLevel="0" collapsed="false">
      <c r="B25" s="361"/>
      <c r="C25" s="362"/>
      <c r="D25" s="362"/>
      <c r="E25" s="363"/>
      <c r="F25" s="364"/>
      <c r="G25" s="363"/>
      <c r="H25" s="363"/>
      <c r="I25" s="363"/>
      <c r="J25" s="363"/>
      <c r="K25" s="363"/>
      <c r="L25" s="363"/>
      <c r="M25" s="367"/>
    </row>
    <row r="26" customFormat="false" ht="12.75" hidden="false" customHeight="false" outlineLevel="0" collapsed="false">
      <c r="B26" s="361"/>
      <c r="C26" s="362"/>
      <c r="D26" s="362"/>
      <c r="E26" s="363"/>
      <c r="F26" s="364"/>
      <c r="G26" s="363"/>
      <c r="H26" s="363"/>
      <c r="I26" s="363"/>
      <c r="J26" s="363"/>
      <c r="K26" s="363"/>
      <c r="L26" s="363"/>
      <c r="M26" s="367"/>
    </row>
    <row r="27" customFormat="false" ht="12.75" hidden="false" customHeight="false" outlineLevel="0" collapsed="false">
      <c r="B27" s="361"/>
      <c r="C27" s="362"/>
      <c r="D27" s="362"/>
      <c r="E27" s="363"/>
      <c r="F27" s="364"/>
      <c r="G27" s="363"/>
      <c r="H27" s="363"/>
      <c r="I27" s="363"/>
      <c r="J27" s="363"/>
      <c r="K27" s="363"/>
      <c r="L27" s="363"/>
      <c r="M27" s="367"/>
    </row>
    <row r="28" customFormat="false" ht="12.75" hidden="false" customHeight="false" outlineLevel="0" collapsed="false">
      <c r="B28" s="361"/>
      <c r="C28" s="362"/>
      <c r="D28" s="362"/>
      <c r="E28" s="363"/>
      <c r="F28" s="364"/>
      <c r="G28" s="363"/>
      <c r="H28" s="363"/>
      <c r="I28" s="363"/>
      <c r="J28" s="363"/>
      <c r="K28" s="363"/>
      <c r="L28" s="363"/>
      <c r="M28" s="367"/>
    </row>
    <row r="29" customFormat="false" ht="12.75" hidden="false" customHeight="false" outlineLevel="0" collapsed="false">
      <c r="B29" s="361"/>
      <c r="C29" s="362"/>
      <c r="D29" s="362"/>
      <c r="E29" s="363"/>
      <c r="F29" s="364"/>
      <c r="G29" s="363"/>
      <c r="H29" s="363"/>
      <c r="I29" s="363"/>
      <c r="J29" s="363"/>
      <c r="K29" s="363"/>
      <c r="L29" s="363"/>
      <c r="M29" s="367"/>
    </row>
    <row r="30" customFormat="false" ht="12.75" hidden="false" customHeight="false" outlineLevel="0" collapsed="false">
      <c r="B30" s="361"/>
      <c r="C30" s="362"/>
      <c r="D30" s="362"/>
      <c r="E30" s="363"/>
      <c r="F30" s="364"/>
      <c r="G30" s="363"/>
      <c r="H30" s="363"/>
      <c r="I30" s="363"/>
      <c r="J30" s="363"/>
      <c r="K30" s="363"/>
      <c r="L30" s="363"/>
      <c r="M30" s="367"/>
    </row>
    <row r="31" customFormat="false" ht="12.75" hidden="false" customHeight="false" outlineLevel="0" collapsed="false">
      <c r="B31" s="361"/>
      <c r="C31" s="362"/>
      <c r="D31" s="362"/>
      <c r="E31" s="363"/>
      <c r="F31" s="364"/>
      <c r="G31" s="363"/>
      <c r="H31" s="363"/>
      <c r="I31" s="363"/>
      <c r="J31" s="363"/>
      <c r="K31" s="363"/>
      <c r="L31" s="363"/>
      <c r="M31" s="367"/>
    </row>
    <row r="32" customFormat="false" ht="12.75" hidden="false" customHeight="false" outlineLevel="0" collapsed="false">
      <c r="B32" s="361"/>
      <c r="C32" s="362"/>
      <c r="D32" s="362"/>
      <c r="E32" s="363"/>
      <c r="F32" s="364"/>
      <c r="G32" s="363"/>
      <c r="H32" s="363"/>
      <c r="I32" s="363"/>
      <c r="J32" s="363"/>
      <c r="K32" s="363"/>
      <c r="L32" s="363"/>
      <c r="M32" s="367"/>
    </row>
    <row r="33" customFormat="false" ht="12.75" hidden="false" customHeight="false" outlineLevel="0" collapsed="false">
      <c r="B33" s="361"/>
      <c r="C33" s="362"/>
      <c r="D33" s="362"/>
      <c r="E33" s="363"/>
      <c r="F33" s="364"/>
      <c r="G33" s="363"/>
      <c r="H33" s="363"/>
      <c r="I33" s="363"/>
      <c r="J33" s="363"/>
      <c r="K33" s="363"/>
      <c r="L33" s="363"/>
      <c r="M33" s="367"/>
    </row>
    <row r="34" customFormat="false" ht="12.75" hidden="false" customHeight="false" outlineLevel="0" collapsed="false">
      <c r="B34" s="361"/>
      <c r="C34" s="362"/>
      <c r="D34" s="362"/>
      <c r="E34" s="363"/>
      <c r="F34" s="364"/>
      <c r="G34" s="363"/>
      <c r="H34" s="363"/>
      <c r="I34" s="363"/>
      <c r="J34" s="363"/>
      <c r="K34" s="363"/>
      <c r="L34" s="363"/>
      <c r="M34" s="367"/>
    </row>
    <row r="35" customFormat="false" ht="12.75" hidden="false" customHeight="false" outlineLevel="0" collapsed="false">
      <c r="B35" s="361"/>
      <c r="C35" s="362"/>
      <c r="D35" s="362"/>
      <c r="E35" s="363"/>
      <c r="F35" s="364"/>
      <c r="G35" s="363"/>
      <c r="H35" s="363"/>
      <c r="I35" s="363"/>
      <c r="J35" s="363"/>
      <c r="K35" s="363"/>
      <c r="L35" s="363"/>
      <c r="M35" s="367"/>
    </row>
    <row r="36" customFormat="false" ht="12.75" hidden="false" customHeight="false" outlineLevel="0" collapsed="false">
      <c r="B36" s="361"/>
      <c r="C36" s="362"/>
      <c r="D36" s="362"/>
      <c r="E36" s="363"/>
      <c r="F36" s="364"/>
      <c r="G36" s="363"/>
      <c r="H36" s="363"/>
      <c r="I36" s="363"/>
      <c r="J36" s="363"/>
      <c r="K36" s="363"/>
      <c r="L36" s="363"/>
      <c r="M36" s="367"/>
    </row>
    <row r="37" customFormat="false" ht="12.75" hidden="false" customHeight="false" outlineLevel="0" collapsed="false">
      <c r="B37" s="361"/>
      <c r="C37" s="362"/>
      <c r="D37" s="362"/>
      <c r="E37" s="363"/>
      <c r="F37" s="364"/>
      <c r="G37" s="363"/>
      <c r="H37" s="363"/>
      <c r="I37" s="363"/>
      <c r="J37" s="363"/>
      <c r="K37" s="363"/>
      <c r="L37" s="363"/>
      <c r="M37" s="367"/>
    </row>
    <row r="38" customFormat="false" ht="12.75" hidden="false" customHeight="false" outlineLevel="0" collapsed="false">
      <c r="B38" s="361"/>
      <c r="C38" s="362"/>
      <c r="D38" s="362"/>
      <c r="E38" s="363"/>
      <c r="F38" s="364"/>
      <c r="G38" s="363"/>
      <c r="H38" s="363"/>
      <c r="I38" s="363"/>
      <c r="J38" s="363"/>
      <c r="K38" s="363"/>
      <c r="L38" s="363"/>
      <c r="M38" s="367"/>
    </row>
    <row r="39" customFormat="false" ht="12.75" hidden="false" customHeight="false" outlineLevel="0" collapsed="false">
      <c r="B39" s="361"/>
      <c r="C39" s="362"/>
      <c r="D39" s="362"/>
      <c r="E39" s="363"/>
      <c r="F39" s="364"/>
      <c r="G39" s="363"/>
      <c r="H39" s="363"/>
      <c r="I39" s="363"/>
      <c r="J39" s="363"/>
      <c r="K39" s="363"/>
      <c r="L39" s="363"/>
      <c r="M39" s="367"/>
    </row>
    <row r="40" customFormat="false" ht="12.75" hidden="false" customHeight="false" outlineLevel="0" collapsed="false">
      <c r="B40" s="361"/>
      <c r="C40" s="362"/>
      <c r="D40" s="362"/>
      <c r="E40" s="363"/>
      <c r="F40" s="364"/>
      <c r="G40" s="363"/>
      <c r="H40" s="363"/>
      <c r="I40" s="363"/>
      <c r="J40" s="363"/>
      <c r="K40" s="363"/>
      <c r="L40" s="363"/>
      <c r="M40" s="367"/>
    </row>
    <row r="41" customFormat="false" ht="12.75" hidden="false" customHeight="false" outlineLevel="0" collapsed="false">
      <c r="B41" s="361"/>
      <c r="C41" s="362"/>
      <c r="D41" s="362"/>
      <c r="E41" s="363"/>
      <c r="F41" s="364"/>
      <c r="G41" s="363"/>
      <c r="H41" s="363"/>
      <c r="I41" s="363"/>
      <c r="J41" s="363"/>
      <c r="K41" s="363"/>
      <c r="L41" s="363"/>
      <c r="M41" s="367"/>
    </row>
    <row r="42" customFormat="false" ht="12.75" hidden="false" customHeight="false" outlineLevel="0" collapsed="false">
      <c r="B42" s="361"/>
      <c r="C42" s="362"/>
      <c r="D42" s="362"/>
      <c r="E42" s="363"/>
      <c r="F42" s="364"/>
      <c r="G42" s="363"/>
      <c r="H42" s="363"/>
      <c r="I42" s="363"/>
      <c r="J42" s="363"/>
      <c r="K42" s="363"/>
      <c r="L42" s="363"/>
      <c r="M42" s="367"/>
    </row>
    <row r="43" customFormat="false" ht="12.75" hidden="false" customHeight="false" outlineLevel="0" collapsed="false">
      <c r="B43" s="361"/>
      <c r="C43" s="362"/>
      <c r="D43" s="362"/>
      <c r="E43" s="363"/>
      <c r="F43" s="364"/>
      <c r="G43" s="363"/>
      <c r="H43" s="363"/>
      <c r="I43" s="363"/>
      <c r="J43" s="363"/>
      <c r="K43" s="363"/>
      <c r="L43" s="363"/>
      <c r="M43" s="367"/>
    </row>
    <row r="44" customFormat="false" ht="12.75" hidden="false" customHeight="false" outlineLevel="0" collapsed="false">
      <c r="B44" s="361"/>
      <c r="C44" s="362"/>
      <c r="D44" s="362"/>
      <c r="E44" s="363"/>
      <c r="F44" s="364"/>
      <c r="G44" s="363"/>
      <c r="H44" s="363"/>
      <c r="I44" s="363"/>
      <c r="J44" s="363"/>
      <c r="K44" s="363"/>
      <c r="L44" s="363"/>
      <c r="M44" s="367"/>
    </row>
    <row r="45" customFormat="false" ht="12.75" hidden="false" customHeight="false" outlineLevel="0" collapsed="false">
      <c r="B45" s="361"/>
      <c r="C45" s="362"/>
      <c r="D45" s="362"/>
      <c r="E45" s="363"/>
      <c r="F45" s="364"/>
      <c r="G45" s="363"/>
      <c r="H45" s="363"/>
      <c r="I45" s="363"/>
      <c r="J45" s="363"/>
      <c r="K45" s="363"/>
      <c r="L45" s="363"/>
      <c r="M45" s="367"/>
    </row>
    <row r="46" customFormat="false" ht="12.75" hidden="false" customHeight="false" outlineLevel="0" collapsed="false">
      <c r="B46" s="361"/>
      <c r="C46" s="362"/>
      <c r="D46" s="362"/>
      <c r="E46" s="363"/>
      <c r="F46" s="364"/>
      <c r="G46" s="363"/>
      <c r="H46" s="363"/>
      <c r="I46" s="363"/>
      <c r="J46" s="363"/>
      <c r="K46" s="363"/>
      <c r="L46" s="363"/>
      <c r="M46" s="367"/>
    </row>
    <row r="47" customFormat="false" ht="12.75" hidden="false" customHeight="false" outlineLevel="0" collapsed="false">
      <c r="B47" s="361"/>
      <c r="C47" s="362"/>
      <c r="D47" s="362"/>
      <c r="E47" s="363"/>
      <c r="F47" s="364"/>
      <c r="G47" s="363"/>
      <c r="H47" s="363"/>
      <c r="I47" s="363"/>
      <c r="J47" s="363"/>
      <c r="K47" s="363"/>
      <c r="L47" s="363"/>
      <c r="M47" s="367"/>
    </row>
    <row r="48" customFormat="false" ht="12.75" hidden="false" customHeight="false" outlineLevel="0" collapsed="false">
      <c r="B48" s="361"/>
      <c r="C48" s="362"/>
      <c r="D48" s="362"/>
      <c r="E48" s="363"/>
      <c r="F48" s="364"/>
      <c r="G48" s="363"/>
      <c r="H48" s="363"/>
      <c r="I48" s="363"/>
      <c r="J48" s="363"/>
      <c r="K48" s="363"/>
      <c r="L48" s="363"/>
      <c r="M48" s="367"/>
    </row>
    <row r="49" customFormat="false" ht="12.75" hidden="false" customHeight="false" outlineLevel="0" collapsed="false">
      <c r="B49" s="361"/>
      <c r="C49" s="362"/>
      <c r="D49" s="362"/>
      <c r="E49" s="363"/>
      <c r="F49" s="364"/>
      <c r="G49" s="363"/>
      <c r="H49" s="363"/>
      <c r="I49" s="363"/>
      <c r="J49" s="363"/>
      <c r="K49" s="363"/>
      <c r="L49" s="363"/>
      <c r="M49" s="367"/>
    </row>
    <row r="50" customFormat="false" ht="12.75" hidden="false" customHeight="false" outlineLevel="0" collapsed="false">
      <c r="B50" s="361"/>
      <c r="C50" s="362"/>
      <c r="D50" s="362"/>
      <c r="E50" s="363"/>
      <c r="F50" s="364"/>
      <c r="G50" s="363"/>
      <c r="H50" s="363"/>
      <c r="I50" s="363"/>
      <c r="J50" s="363"/>
      <c r="K50" s="363"/>
      <c r="L50" s="363"/>
      <c r="M50" s="367"/>
    </row>
    <row r="51" customFormat="false" ht="12.75" hidden="false" customHeight="false" outlineLevel="0" collapsed="false">
      <c r="B51" s="361"/>
      <c r="C51" s="362"/>
      <c r="D51" s="362"/>
      <c r="E51" s="363"/>
      <c r="F51" s="364"/>
      <c r="G51" s="363"/>
      <c r="H51" s="363"/>
      <c r="I51" s="363"/>
      <c r="J51" s="363"/>
      <c r="K51" s="363"/>
      <c r="L51" s="363"/>
      <c r="M51" s="367"/>
    </row>
    <row r="52" customFormat="false" ht="12.75" hidden="false" customHeight="false" outlineLevel="0" collapsed="false">
      <c r="B52" s="368"/>
      <c r="C52" s="369"/>
      <c r="D52" s="369"/>
      <c r="E52" s="370"/>
      <c r="F52" s="371"/>
      <c r="G52" s="370"/>
      <c r="H52" s="363"/>
      <c r="I52" s="370"/>
      <c r="J52" s="370"/>
      <c r="K52" s="370"/>
      <c r="L52" s="370"/>
      <c r="M52" s="367"/>
    </row>
    <row r="53" customFormat="false" ht="12.75" hidden="false" customHeight="false" outlineLevel="0" collapsed="false">
      <c r="B53" s="361"/>
      <c r="C53" s="362"/>
      <c r="D53" s="362"/>
      <c r="E53" s="363"/>
      <c r="F53" s="364"/>
      <c r="G53" s="363"/>
      <c r="H53" s="363"/>
      <c r="I53" s="363"/>
      <c r="J53" s="363"/>
      <c r="K53" s="363"/>
      <c r="L53" s="363"/>
      <c r="M53" s="367"/>
    </row>
    <row r="54" customFormat="false" ht="12.75" hidden="false" customHeight="false" outlineLevel="0" collapsed="false">
      <c r="B54" s="361"/>
      <c r="C54" s="362"/>
      <c r="D54" s="362"/>
      <c r="E54" s="363"/>
      <c r="F54" s="364"/>
      <c r="G54" s="363"/>
      <c r="H54" s="363"/>
      <c r="I54" s="363"/>
      <c r="J54" s="363"/>
      <c r="K54" s="363"/>
      <c r="L54" s="363"/>
      <c r="M54" s="367"/>
    </row>
    <row r="55" customFormat="false" ht="12.75" hidden="false" customHeight="false" outlineLevel="0" collapsed="false">
      <c r="B55" s="361"/>
      <c r="C55" s="362"/>
      <c r="D55" s="362"/>
      <c r="E55" s="363"/>
      <c r="F55" s="364"/>
      <c r="G55" s="363"/>
      <c r="H55" s="363"/>
      <c r="I55" s="363"/>
      <c r="J55" s="363"/>
      <c r="K55" s="363"/>
      <c r="L55" s="363"/>
      <c r="M55" s="367"/>
    </row>
    <row r="56" customFormat="false" ht="12.75" hidden="false" customHeight="false" outlineLevel="0" collapsed="false">
      <c r="B56" s="361"/>
      <c r="C56" s="362"/>
      <c r="D56" s="362"/>
      <c r="E56" s="363"/>
      <c r="F56" s="364"/>
      <c r="G56" s="363"/>
      <c r="H56" s="363"/>
      <c r="I56" s="363"/>
      <c r="J56" s="363"/>
      <c r="K56" s="363"/>
      <c r="L56" s="363"/>
      <c r="M56" s="367"/>
    </row>
    <row r="57" customFormat="false" ht="12.75" hidden="false" customHeight="false" outlineLevel="0" collapsed="false">
      <c r="B57" s="361"/>
      <c r="C57" s="362"/>
      <c r="D57" s="362"/>
      <c r="E57" s="363"/>
      <c r="F57" s="364"/>
      <c r="G57" s="363"/>
      <c r="H57" s="363"/>
      <c r="I57" s="363"/>
      <c r="J57" s="363"/>
      <c r="K57" s="363"/>
      <c r="L57" s="363"/>
      <c r="M57" s="367"/>
    </row>
    <row r="58" customFormat="false" ht="12.75" hidden="false" customHeight="false" outlineLevel="0" collapsed="false">
      <c r="B58" s="361"/>
      <c r="C58" s="362"/>
      <c r="D58" s="362"/>
      <c r="E58" s="363"/>
      <c r="F58" s="364"/>
      <c r="G58" s="363"/>
      <c r="H58" s="363"/>
      <c r="I58" s="363"/>
      <c r="J58" s="363"/>
      <c r="K58" s="363"/>
      <c r="L58" s="363"/>
      <c r="M58" s="367"/>
    </row>
    <row r="59" customFormat="false" ht="12.75" hidden="false" customHeight="false" outlineLevel="0" collapsed="false">
      <c r="B59" s="361"/>
      <c r="C59" s="362"/>
      <c r="D59" s="362"/>
      <c r="E59" s="363"/>
      <c r="F59" s="364"/>
      <c r="G59" s="363"/>
      <c r="H59" s="363"/>
      <c r="I59" s="363"/>
      <c r="J59" s="363"/>
      <c r="K59" s="363"/>
      <c r="L59" s="363"/>
      <c r="M59" s="367"/>
    </row>
    <row r="60" customFormat="false" ht="12.75" hidden="false" customHeight="false" outlineLevel="0" collapsed="false">
      <c r="B60" s="361"/>
      <c r="C60" s="362"/>
      <c r="D60" s="362"/>
      <c r="E60" s="363"/>
      <c r="F60" s="364"/>
      <c r="G60" s="363"/>
      <c r="H60" s="363"/>
      <c r="I60" s="363"/>
      <c r="J60" s="363"/>
      <c r="K60" s="363"/>
      <c r="L60" s="363"/>
      <c r="M60" s="367"/>
    </row>
    <row r="61" customFormat="false" ht="12.75" hidden="false" customHeight="false" outlineLevel="0" collapsed="false">
      <c r="B61" s="361"/>
      <c r="C61" s="362"/>
      <c r="D61" s="362"/>
      <c r="E61" s="363"/>
      <c r="F61" s="364"/>
      <c r="G61" s="363"/>
      <c r="H61" s="363"/>
      <c r="I61" s="363"/>
      <c r="J61" s="363"/>
      <c r="K61" s="363"/>
      <c r="L61" s="363"/>
      <c r="M61" s="367"/>
    </row>
    <row r="62" customFormat="false" ht="12.75" hidden="false" customHeight="false" outlineLevel="0" collapsed="false">
      <c r="B62" s="361"/>
      <c r="C62" s="362"/>
      <c r="D62" s="362"/>
      <c r="E62" s="363"/>
      <c r="F62" s="364"/>
      <c r="G62" s="363"/>
      <c r="H62" s="363"/>
      <c r="I62" s="363"/>
      <c r="J62" s="363"/>
      <c r="K62" s="363"/>
      <c r="L62" s="363"/>
      <c r="M62" s="367"/>
    </row>
    <row r="63" customFormat="false" ht="12.75" hidden="false" customHeight="false" outlineLevel="0" collapsed="false">
      <c r="B63" s="361"/>
      <c r="C63" s="362"/>
      <c r="D63" s="362"/>
      <c r="E63" s="363"/>
      <c r="F63" s="364"/>
      <c r="G63" s="363"/>
      <c r="H63" s="363"/>
      <c r="I63" s="363"/>
      <c r="J63" s="363"/>
      <c r="K63" s="363"/>
      <c r="L63" s="363"/>
      <c r="M63" s="367"/>
    </row>
    <row r="64" customFormat="false" ht="12.75" hidden="false" customHeight="false" outlineLevel="0" collapsed="false">
      <c r="B64" s="361"/>
      <c r="C64" s="362"/>
      <c r="D64" s="362"/>
      <c r="E64" s="363"/>
      <c r="F64" s="364"/>
      <c r="G64" s="363"/>
      <c r="H64" s="363"/>
      <c r="I64" s="363"/>
      <c r="J64" s="363"/>
      <c r="K64" s="363"/>
      <c r="L64" s="363"/>
      <c r="M64" s="367"/>
    </row>
    <row r="65" customFormat="false" ht="12.75" hidden="false" customHeight="false" outlineLevel="0" collapsed="false">
      <c r="B65" s="361"/>
      <c r="C65" s="362"/>
      <c r="D65" s="362"/>
      <c r="E65" s="363"/>
      <c r="F65" s="364"/>
      <c r="G65" s="363"/>
      <c r="H65" s="363"/>
      <c r="I65" s="363"/>
      <c r="J65" s="363"/>
      <c r="K65" s="363"/>
      <c r="L65" s="363"/>
      <c r="M65" s="367"/>
    </row>
    <row r="66" customFormat="false" ht="12.75" hidden="false" customHeight="false" outlineLevel="0" collapsed="false">
      <c r="B66" s="361"/>
      <c r="C66" s="362"/>
      <c r="D66" s="362"/>
      <c r="E66" s="363"/>
      <c r="F66" s="364"/>
      <c r="G66" s="363"/>
      <c r="H66" s="363"/>
      <c r="I66" s="363"/>
      <c r="J66" s="363"/>
      <c r="K66" s="363"/>
      <c r="L66" s="363"/>
      <c r="M66" s="367"/>
    </row>
    <row r="67" customFormat="false" ht="12.75" hidden="false" customHeight="false" outlineLevel="0" collapsed="false">
      <c r="B67" s="361"/>
      <c r="C67" s="362"/>
      <c r="D67" s="362"/>
      <c r="E67" s="363"/>
      <c r="F67" s="364"/>
      <c r="G67" s="363"/>
      <c r="H67" s="363"/>
      <c r="I67" s="363"/>
      <c r="J67" s="363"/>
      <c r="K67" s="363"/>
      <c r="L67" s="363"/>
      <c r="M67" s="367"/>
    </row>
    <row r="68" customFormat="false" ht="12.75" hidden="false" customHeight="false" outlineLevel="0" collapsed="false">
      <c r="B68" s="361"/>
      <c r="C68" s="362"/>
      <c r="D68" s="362"/>
      <c r="E68" s="363"/>
      <c r="F68" s="364"/>
      <c r="G68" s="363"/>
      <c r="H68" s="363"/>
      <c r="I68" s="363"/>
      <c r="J68" s="363"/>
      <c r="K68" s="363"/>
      <c r="L68" s="363"/>
      <c r="M68" s="367"/>
    </row>
    <row r="69" customFormat="false" ht="12.75" hidden="false" customHeight="false" outlineLevel="0" collapsed="false">
      <c r="B69" s="361"/>
      <c r="C69" s="362"/>
      <c r="D69" s="362"/>
      <c r="E69" s="363"/>
      <c r="F69" s="364"/>
      <c r="G69" s="363"/>
      <c r="H69" s="363"/>
      <c r="I69" s="363"/>
      <c r="J69" s="363"/>
      <c r="K69" s="363"/>
      <c r="L69" s="363"/>
      <c r="M69" s="367"/>
    </row>
    <row r="70" customFormat="false" ht="12.75" hidden="false" customHeight="false" outlineLevel="0" collapsed="false">
      <c r="B70" s="361"/>
      <c r="C70" s="362"/>
      <c r="D70" s="362"/>
      <c r="E70" s="363"/>
      <c r="F70" s="364"/>
      <c r="G70" s="363"/>
      <c r="H70" s="363"/>
      <c r="I70" s="363"/>
      <c r="J70" s="363"/>
      <c r="K70" s="363"/>
      <c r="L70" s="363"/>
      <c r="M70" s="367"/>
    </row>
    <row r="71" customFormat="false" ht="12.75" hidden="false" customHeight="false" outlineLevel="0" collapsed="false">
      <c r="B71" s="361"/>
      <c r="C71" s="362"/>
      <c r="D71" s="362"/>
      <c r="E71" s="363"/>
      <c r="F71" s="364"/>
      <c r="G71" s="363"/>
      <c r="H71" s="363"/>
      <c r="I71" s="363"/>
      <c r="J71" s="363"/>
      <c r="K71" s="363"/>
      <c r="L71" s="363"/>
      <c r="M71" s="367"/>
    </row>
    <row r="72" customFormat="false" ht="12.75" hidden="false" customHeight="false" outlineLevel="0" collapsed="false">
      <c r="B72" s="361"/>
      <c r="C72" s="362"/>
      <c r="D72" s="362"/>
      <c r="E72" s="363"/>
      <c r="F72" s="364"/>
      <c r="G72" s="363"/>
      <c r="H72" s="363"/>
      <c r="I72" s="363"/>
      <c r="J72" s="363"/>
      <c r="K72" s="363"/>
      <c r="L72" s="363"/>
      <c r="M72" s="367"/>
    </row>
    <row r="73" customFormat="false" ht="12.75" hidden="false" customHeight="false" outlineLevel="0" collapsed="false">
      <c r="B73" s="361"/>
      <c r="C73" s="362"/>
      <c r="D73" s="362"/>
      <c r="E73" s="363"/>
      <c r="F73" s="364"/>
      <c r="G73" s="363"/>
      <c r="H73" s="363"/>
      <c r="I73" s="363"/>
      <c r="J73" s="363"/>
      <c r="K73" s="363"/>
      <c r="L73" s="363"/>
      <c r="M73" s="367"/>
    </row>
    <row r="74" customFormat="false" ht="12" hidden="false" customHeight="true" outlineLevel="0" collapsed="false">
      <c r="B74" s="361"/>
      <c r="C74" s="362"/>
      <c r="D74" s="362"/>
      <c r="E74" s="363"/>
      <c r="F74" s="364"/>
      <c r="G74" s="363"/>
      <c r="H74" s="363"/>
      <c r="I74" s="363"/>
      <c r="J74" s="363"/>
      <c r="K74" s="363"/>
      <c r="L74" s="365"/>
      <c r="M74" s="367"/>
    </row>
    <row r="75" customFormat="false" ht="12.75" hidden="false" customHeight="false" outlineLevel="0" collapsed="false">
      <c r="B75" s="361"/>
      <c r="C75" s="362"/>
      <c r="D75" s="362"/>
      <c r="E75" s="363"/>
      <c r="F75" s="364"/>
      <c r="G75" s="363"/>
      <c r="H75" s="363"/>
      <c r="I75" s="363"/>
      <c r="J75" s="363"/>
      <c r="K75" s="363"/>
      <c r="L75" s="363"/>
      <c r="M75" s="367"/>
    </row>
    <row r="76" customFormat="false" ht="12.75" hidden="false" customHeight="false" outlineLevel="0" collapsed="false">
      <c r="B76" s="361"/>
      <c r="C76" s="362"/>
      <c r="D76" s="362"/>
      <c r="E76" s="363"/>
      <c r="F76" s="364"/>
      <c r="G76" s="363"/>
      <c r="H76" s="363"/>
      <c r="I76" s="363"/>
      <c r="J76" s="363"/>
      <c r="K76" s="363"/>
      <c r="L76" s="363"/>
      <c r="M76" s="367"/>
    </row>
    <row r="77" customFormat="false" ht="12.75" hidden="false" customHeight="false" outlineLevel="0" collapsed="false">
      <c r="B77" s="361"/>
      <c r="C77" s="362"/>
      <c r="D77" s="362"/>
      <c r="E77" s="363"/>
      <c r="F77" s="364"/>
      <c r="G77" s="363"/>
      <c r="H77" s="363"/>
      <c r="I77" s="363"/>
      <c r="J77" s="363"/>
      <c r="K77" s="363"/>
      <c r="L77" s="363"/>
      <c r="M77" s="367"/>
    </row>
    <row r="78" customFormat="false" ht="12.75" hidden="false" customHeight="false" outlineLevel="0" collapsed="false">
      <c r="B78" s="361"/>
      <c r="C78" s="362"/>
      <c r="D78" s="362"/>
      <c r="E78" s="363"/>
      <c r="F78" s="364"/>
      <c r="G78" s="363"/>
      <c r="H78" s="363"/>
      <c r="I78" s="363"/>
      <c r="J78" s="363"/>
      <c r="K78" s="363"/>
      <c r="L78" s="363"/>
      <c r="M78" s="367"/>
    </row>
    <row r="79" customFormat="false" ht="12.75" hidden="false" customHeight="false" outlineLevel="0" collapsed="false">
      <c r="B79" s="361"/>
      <c r="C79" s="362"/>
      <c r="D79" s="362"/>
      <c r="E79" s="363"/>
      <c r="F79" s="364"/>
      <c r="G79" s="363"/>
      <c r="H79" s="363"/>
      <c r="I79" s="363"/>
      <c r="J79" s="363"/>
      <c r="K79" s="363"/>
      <c r="L79" s="363"/>
      <c r="M79" s="367"/>
    </row>
    <row r="80" customFormat="false" ht="12.75" hidden="false" customHeight="false" outlineLevel="0" collapsed="false">
      <c r="B80" s="361"/>
      <c r="C80" s="362"/>
      <c r="D80" s="362"/>
      <c r="E80" s="363"/>
      <c r="F80" s="364"/>
      <c r="G80" s="363"/>
      <c r="H80" s="363"/>
      <c r="I80" s="363"/>
      <c r="J80" s="363"/>
      <c r="K80" s="363"/>
      <c r="L80" s="363"/>
      <c r="M80" s="367"/>
    </row>
    <row r="81" customFormat="false" ht="12.75" hidden="false" customHeight="false" outlineLevel="0" collapsed="false">
      <c r="B81" s="361"/>
      <c r="C81" s="362"/>
      <c r="D81" s="362"/>
      <c r="E81" s="363"/>
      <c r="F81" s="364"/>
      <c r="G81" s="363"/>
      <c r="H81" s="363"/>
      <c r="I81" s="363"/>
      <c r="J81" s="363"/>
      <c r="K81" s="363"/>
      <c r="L81" s="363"/>
      <c r="M81" s="367"/>
    </row>
    <row r="82" customFormat="false" ht="12.75" hidden="false" customHeight="false" outlineLevel="0" collapsed="false">
      <c r="B82" s="361"/>
      <c r="C82" s="362"/>
      <c r="D82" s="362"/>
      <c r="E82" s="363"/>
      <c r="F82" s="364"/>
      <c r="G82" s="363"/>
      <c r="H82" s="363"/>
      <c r="I82" s="363"/>
      <c r="J82" s="363"/>
      <c r="K82" s="363"/>
      <c r="L82" s="363"/>
      <c r="M82" s="367"/>
    </row>
    <row r="83" customFormat="false" ht="12.75" hidden="false" customHeight="false" outlineLevel="0" collapsed="false">
      <c r="B83" s="361"/>
      <c r="C83" s="362"/>
      <c r="D83" s="362"/>
      <c r="E83" s="363"/>
      <c r="F83" s="364"/>
      <c r="G83" s="363"/>
      <c r="H83" s="363"/>
      <c r="I83" s="363"/>
      <c r="J83" s="363"/>
      <c r="K83" s="363"/>
      <c r="L83" s="363"/>
      <c r="M83" s="367"/>
    </row>
    <row r="84" customFormat="false" ht="12.75" hidden="false" customHeight="false" outlineLevel="0" collapsed="false">
      <c r="B84" s="361"/>
      <c r="C84" s="362"/>
      <c r="D84" s="362"/>
      <c r="E84" s="363"/>
      <c r="F84" s="364"/>
      <c r="G84" s="363"/>
      <c r="H84" s="363"/>
      <c r="I84" s="363"/>
      <c r="J84" s="363"/>
      <c r="K84" s="363"/>
      <c r="L84" s="363"/>
      <c r="M84" s="367"/>
    </row>
    <row r="85" customFormat="false" ht="12.75" hidden="false" customHeight="false" outlineLevel="0" collapsed="false">
      <c r="B85" s="361"/>
      <c r="C85" s="362"/>
      <c r="D85" s="362"/>
      <c r="E85" s="363"/>
      <c r="F85" s="364"/>
      <c r="G85" s="363"/>
      <c r="H85" s="363"/>
      <c r="I85" s="363"/>
      <c r="J85" s="363"/>
      <c r="K85" s="363"/>
      <c r="L85" s="363"/>
      <c r="M85" s="367"/>
    </row>
    <row r="86" customFormat="false" ht="12.75" hidden="false" customHeight="false" outlineLevel="0" collapsed="false">
      <c r="B86" s="361"/>
      <c r="C86" s="362"/>
      <c r="D86" s="362"/>
      <c r="E86" s="363"/>
      <c r="F86" s="364"/>
      <c r="G86" s="363"/>
      <c r="H86" s="363"/>
      <c r="I86" s="363"/>
      <c r="J86" s="363"/>
      <c r="K86" s="363"/>
      <c r="L86" s="363"/>
      <c r="M86" s="367"/>
    </row>
    <row r="87" customFormat="false" ht="12.75" hidden="false" customHeight="false" outlineLevel="0" collapsed="false">
      <c r="B87" s="361"/>
      <c r="C87" s="362"/>
      <c r="D87" s="362"/>
      <c r="E87" s="363"/>
      <c r="F87" s="364"/>
      <c r="G87" s="363"/>
      <c r="H87" s="363"/>
      <c r="I87" s="363"/>
      <c r="J87" s="363"/>
      <c r="K87" s="363"/>
      <c r="L87" s="363"/>
      <c r="M87" s="367"/>
    </row>
    <row r="88" customFormat="false" ht="12.75" hidden="false" customHeight="false" outlineLevel="0" collapsed="false">
      <c r="B88" s="361"/>
      <c r="C88" s="362"/>
      <c r="D88" s="362"/>
      <c r="E88" s="363"/>
      <c r="F88" s="364"/>
      <c r="G88" s="363"/>
      <c r="H88" s="363"/>
      <c r="I88" s="363"/>
      <c r="J88" s="363"/>
      <c r="K88" s="363"/>
      <c r="L88" s="363"/>
      <c r="M88" s="367"/>
    </row>
    <row r="89" customFormat="false" ht="12.75" hidden="false" customHeight="false" outlineLevel="0" collapsed="false">
      <c r="B89" s="361"/>
      <c r="C89" s="362"/>
      <c r="D89" s="362"/>
      <c r="E89" s="363"/>
      <c r="F89" s="364"/>
      <c r="G89" s="363"/>
      <c r="H89" s="363"/>
      <c r="I89" s="363"/>
      <c r="J89" s="363"/>
      <c r="K89" s="363"/>
      <c r="L89" s="363"/>
      <c r="M89" s="367"/>
    </row>
    <row r="90" customFormat="false" ht="12.75" hidden="false" customHeight="false" outlineLevel="0" collapsed="false">
      <c r="B90" s="361"/>
      <c r="C90" s="362"/>
      <c r="D90" s="362"/>
      <c r="E90" s="363"/>
      <c r="F90" s="364"/>
      <c r="G90" s="363"/>
      <c r="H90" s="363"/>
      <c r="I90" s="363"/>
      <c r="J90" s="363"/>
      <c r="K90" s="363"/>
      <c r="L90" s="363"/>
      <c r="M90" s="367"/>
    </row>
    <row r="91" customFormat="false" ht="12.75" hidden="false" customHeight="false" outlineLevel="0" collapsed="false">
      <c r="B91" s="361"/>
      <c r="C91" s="362"/>
      <c r="D91" s="362"/>
      <c r="E91" s="363"/>
      <c r="F91" s="364"/>
      <c r="G91" s="363"/>
      <c r="H91" s="363"/>
      <c r="I91" s="363"/>
      <c r="J91" s="363"/>
      <c r="K91" s="363"/>
      <c r="L91" s="363"/>
      <c r="M91" s="367"/>
    </row>
    <row r="92" customFormat="false" ht="12.75" hidden="false" customHeight="false" outlineLevel="0" collapsed="false">
      <c r="B92" s="361"/>
      <c r="C92" s="362"/>
      <c r="D92" s="362"/>
      <c r="E92" s="363"/>
      <c r="F92" s="364"/>
      <c r="G92" s="363"/>
      <c r="H92" s="363"/>
      <c r="I92" s="363"/>
      <c r="J92" s="363"/>
      <c r="K92" s="363"/>
      <c r="L92" s="363"/>
      <c r="M92" s="367"/>
    </row>
    <row r="93" customFormat="false" ht="12.75" hidden="false" customHeight="false" outlineLevel="0" collapsed="false">
      <c r="B93" s="361"/>
      <c r="C93" s="362"/>
      <c r="D93" s="362"/>
      <c r="E93" s="363"/>
      <c r="F93" s="364"/>
      <c r="G93" s="363"/>
      <c r="H93" s="363"/>
      <c r="I93" s="363"/>
      <c r="J93" s="363"/>
      <c r="K93" s="363"/>
      <c r="L93" s="363"/>
      <c r="M93" s="367"/>
    </row>
    <row r="94" customFormat="false" ht="12.75" hidden="false" customHeight="false" outlineLevel="0" collapsed="false">
      <c r="B94" s="361"/>
      <c r="C94" s="362"/>
      <c r="D94" s="362"/>
      <c r="E94" s="363"/>
      <c r="F94" s="364"/>
      <c r="G94" s="363"/>
      <c r="H94" s="363"/>
      <c r="I94" s="363"/>
      <c r="J94" s="363"/>
      <c r="K94" s="363"/>
      <c r="L94" s="363"/>
      <c r="M94" s="367"/>
    </row>
    <row r="95" customFormat="false" ht="12.75" hidden="false" customHeight="false" outlineLevel="0" collapsed="false">
      <c r="B95" s="361"/>
      <c r="C95" s="362"/>
      <c r="D95" s="362"/>
      <c r="E95" s="363"/>
      <c r="F95" s="364"/>
      <c r="G95" s="363"/>
      <c r="H95" s="363"/>
      <c r="I95" s="363"/>
      <c r="J95" s="363"/>
      <c r="K95" s="363"/>
      <c r="L95" s="363"/>
      <c r="M95" s="367"/>
    </row>
    <row r="96" customFormat="false" ht="12.75" hidden="false" customHeight="false" outlineLevel="0" collapsed="false">
      <c r="B96" s="361"/>
      <c r="C96" s="362"/>
      <c r="D96" s="362"/>
      <c r="E96" s="363"/>
      <c r="F96" s="364"/>
      <c r="G96" s="363"/>
      <c r="H96" s="363"/>
      <c r="I96" s="363"/>
      <c r="J96" s="363"/>
      <c r="K96" s="363"/>
      <c r="L96" s="363"/>
      <c r="M96" s="367"/>
    </row>
    <row r="97" customFormat="false" ht="12.75" hidden="false" customHeight="false" outlineLevel="0" collapsed="false">
      <c r="B97" s="361"/>
      <c r="C97" s="362"/>
      <c r="D97" s="362"/>
      <c r="E97" s="363"/>
      <c r="F97" s="364"/>
      <c r="G97" s="363"/>
      <c r="H97" s="363"/>
      <c r="I97" s="363"/>
      <c r="J97" s="363"/>
      <c r="K97" s="363"/>
      <c r="L97" s="363"/>
      <c r="M97" s="367"/>
    </row>
    <row r="98" customFormat="false" ht="12.75" hidden="false" customHeight="false" outlineLevel="0" collapsed="false">
      <c r="B98" s="368"/>
      <c r="C98" s="369"/>
      <c r="D98" s="369"/>
      <c r="E98" s="370"/>
      <c r="F98" s="371"/>
      <c r="G98" s="370"/>
      <c r="H98" s="370"/>
      <c r="I98" s="370"/>
      <c r="J98" s="370"/>
      <c r="K98" s="370"/>
      <c r="L98" s="370"/>
      <c r="M98" s="367"/>
    </row>
    <row r="99" customFormat="false" ht="12.75" hidden="false" customHeight="false" outlineLevel="0" collapsed="false">
      <c r="B99" s="361"/>
      <c r="C99" s="362"/>
      <c r="D99" s="362"/>
      <c r="E99" s="363"/>
      <c r="F99" s="372"/>
      <c r="G99" s="363"/>
      <c r="H99" s="363"/>
      <c r="I99" s="363"/>
      <c r="J99" s="363"/>
      <c r="K99" s="363"/>
      <c r="L99" s="363"/>
      <c r="M99" s="367"/>
    </row>
    <row r="100" customFormat="false" ht="12.75" hidden="false" customHeight="false" outlineLevel="0" collapsed="false">
      <c r="B100" s="361"/>
      <c r="C100" s="362"/>
      <c r="D100" s="362"/>
      <c r="E100" s="363"/>
      <c r="F100" s="372"/>
      <c r="G100" s="363"/>
      <c r="H100" s="363"/>
      <c r="I100" s="363"/>
      <c r="J100" s="363"/>
      <c r="K100" s="363"/>
      <c r="L100" s="363"/>
      <c r="M100" s="367"/>
    </row>
    <row r="101" customFormat="false" ht="12.75" hidden="false" customHeight="false" outlineLevel="0" collapsed="false">
      <c r="B101" s="361"/>
      <c r="C101" s="362"/>
      <c r="D101" s="362"/>
      <c r="E101" s="363"/>
      <c r="F101" s="372"/>
      <c r="G101" s="363"/>
      <c r="H101" s="363"/>
      <c r="I101" s="363"/>
      <c r="J101" s="363"/>
      <c r="K101" s="363"/>
      <c r="L101" s="363"/>
      <c r="M101" s="367"/>
    </row>
    <row r="102" customFormat="false" ht="12.75" hidden="false" customHeight="false" outlineLevel="0" collapsed="false">
      <c r="B102" s="361"/>
      <c r="C102" s="362"/>
      <c r="D102" s="362"/>
      <c r="E102" s="363"/>
      <c r="F102" s="372"/>
      <c r="G102" s="363"/>
      <c r="H102" s="363"/>
      <c r="I102" s="363"/>
      <c r="J102" s="363"/>
      <c r="K102" s="363"/>
      <c r="L102" s="363"/>
      <c r="M102" s="367"/>
    </row>
    <row r="103" customFormat="false" ht="12.75" hidden="false" customHeight="false" outlineLevel="0" collapsed="false">
      <c r="B103" s="361"/>
      <c r="C103" s="362"/>
      <c r="D103" s="362"/>
      <c r="E103" s="363"/>
      <c r="F103" s="372"/>
      <c r="G103" s="363"/>
      <c r="H103" s="363"/>
      <c r="I103" s="363"/>
      <c r="J103" s="363"/>
      <c r="K103" s="363"/>
      <c r="L103" s="363"/>
      <c r="M103" s="367"/>
    </row>
    <row r="104" customFormat="false" ht="12.75" hidden="false" customHeight="false" outlineLevel="0" collapsed="false">
      <c r="B104" s="361"/>
      <c r="C104" s="362"/>
      <c r="D104" s="362"/>
      <c r="E104" s="363"/>
      <c r="F104" s="372"/>
      <c r="G104" s="363"/>
      <c r="H104" s="363"/>
      <c r="I104" s="363"/>
      <c r="J104" s="363"/>
      <c r="K104" s="363"/>
      <c r="L104" s="363"/>
      <c r="M104" s="367"/>
    </row>
    <row r="105" customFormat="false" ht="12.75" hidden="false" customHeight="false" outlineLevel="0" collapsed="false">
      <c r="B105" s="361"/>
      <c r="C105" s="362"/>
      <c r="D105" s="362"/>
      <c r="E105" s="363"/>
      <c r="F105" s="372"/>
      <c r="G105" s="363"/>
      <c r="H105" s="363"/>
      <c r="I105" s="363"/>
      <c r="J105" s="363"/>
      <c r="K105" s="363"/>
      <c r="L105" s="363"/>
      <c r="M105" s="367"/>
    </row>
    <row r="106" customFormat="false" ht="12.75" hidden="false" customHeight="false" outlineLevel="0" collapsed="false">
      <c r="B106" s="361"/>
      <c r="C106" s="362"/>
      <c r="D106" s="362"/>
      <c r="E106" s="363"/>
      <c r="F106" s="372"/>
      <c r="G106" s="363"/>
      <c r="H106" s="363"/>
      <c r="I106" s="363"/>
      <c r="J106" s="363"/>
      <c r="K106" s="363"/>
      <c r="L106" s="363"/>
      <c r="M106" s="367"/>
    </row>
    <row r="107" customFormat="false" ht="12.75" hidden="false" customHeight="false" outlineLevel="0" collapsed="false">
      <c r="B107" s="361"/>
      <c r="C107" s="362"/>
      <c r="D107" s="362"/>
      <c r="E107" s="363"/>
      <c r="F107" s="372"/>
      <c r="G107" s="363"/>
      <c r="H107" s="363"/>
      <c r="I107" s="363"/>
      <c r="J107" s="363"/>
      <c r="K107" s="363"/>
      <c r="L107" s="363"/>
      <c r="M107" s="367"/>
    </row>
    <row r="108" customFormat="false" ht="12.75" hidden="false" customHeight="false" outlineLevel="0" collapsed="false">
      <c r="B108" s="361"/>
      <c r="C108" s="362"/>
      <c r="D108" s="362"/>
      <c r="E108" s="363"/>
      <c r="F108" s="372"/>
      <c r="G108" s="363"/>
      <c r="H108" s="363"/>
      <c r="I108" s="363"/>
      <c r="J108" s="363"/>
      <c r="K108" s="363"/>
      <c r="L108" s="363"/>
      <c r="M108" s="367"/>
    </row>
    <row r="109" customFormat="false" ht="12.75" hidden="false" customHeight="false" outlineLevel="0" collapsed="false">
      <c r="B109" s="361"/>
      <c r="C109" s="362"/>
      <c r="D109" s="362"/>
      <c r="E109" s="363"/>
      <c r="F109" s="372"/>
      <c r="G109" s="363"/>
      <c r="H109" s="363"/>
      <c r="I109" s="363"/>
      <c r="J109" s="363"/>
      <c r="K109" s="363"/>
      <c r="L109" s="363"/>
      <c r="M109" s="367"/>
    </row>
    <row r="110" customFormat="false" ht="12.75" hidden="false" customHeight="false" outlineLevel="0" collapsed="false">
      <c r="B110" s="361"/>
      <c r="C110" s="362"/>
      <c r="D110" s="362"/>
      <c r="E110" s="363"/>
      <c r="F110" s="372"/>
      <c r="G110" s="363"/>
      <c r="H110" s="363"/>
      <c r="I110" s="363"/>
      <c r="J110" s="363"/>
      <c r="K110" s="363"/>
      <c r="L110" s="363"/>
      <c r="M110" s="367"/>
    </row>
    <row r="111" customFormat="false" ht="12.75" hidden="false" customHeight="false" outlineLevel="0" collapsed="false">
      <c r="B111" s="361"/>
      <c r="C111" s="362"/>
      <c r="D111" s="362"/>
      <c r="E111" s="363"/>
      <c r="F111" s="372"/>
      <c r="G111" s="363"/>
      <c r="H111" s="363"/>
      <c r="I111" s="363"/>
      <c r="J111" s="363"/>
      <c r="K111" s="363"/>
      <c r="L111" s="363"/>
      <c r="M111" s="367"/>
    </row>
    <row r="112" customFormat="false" ht="12.75" hidden="false" customHeight="false" outlineLevel="0" collapsed="false">
      <c r="B112" s="361"/>
      <c r="C112" s="362"/>
      <c r="D112" s="362"/>
      <c r="E112" s="363"/>
      <c r="F112" s="372"/>
      <c r="G112" s="363"/>
      <c r="H112" s="363"/>
      <c r="I112" s="363"/>
      <c r="J112" s="363"/>
      <c r="K112" s="363"/>
      <c r="L112" s="363"/>
      <c r="M112" s="367"/>
    </row>
    <row r="113" customFormat="false" ht="12.75" hidden="false" customHeight="false" outlineLevel="0" collapsed="false">
      <c r="B113" s="361"/>
      <c r="C113" s="362"/>
      <c r="D113" s="362"/>
      <c r="E113" s="363"/>
      <c r="F113" s="372"/>
      <c r="G113" s="363"/>
      <c r="H113" s="363"/>
      <c r="I113" s="363"/>
      <c r="J113" s="363"/>
      <c r="K113" s="363"/>
      <c r="L113" s="363"/>
      <c r="M113" s="367"/>
    </row>
    <row r="114" customFormat="false" ht="12.75" hidden="false" customHeight="false" outlineLevel="0" collapsed="false">
      <c r="B114" s="361"/>
      <c r="C114" s="362"/>
      <c r="D114" s="362"/>
      <c r="E114" s="363"/>
      <c r="F114" s="372"/>
      <c r="G114" s="363"/>
      <c r="H114" s="363"/>
      <c r="I114" s="363"/>
      <c r="J114" s="363"/>
      <c r="K114" s="363"/>
      <c r="L114" s="363"/>
      <c r="M114" s="367"/>
    </row>
    <row r="115" customFormat="false" ht="12.75" hidden="false" customHeight="false" outlineLevel="0" collapsed="false">
      <c r="B115" s="361"/>
      <c r="C115" s="362"/>
      <c r="D115" s="362"/>
      <c r="E115" s="363"/>
      <c r="F115" s="372"/>
      <c r="G115" s="363"/>
      <c r="H115" s="363"/>
      <c r="I115" s="363"/>
      <c r="J115" s="363"/>
      <c r="K115" s="363"/>
      <c r="L115" s="363"/>
      <c r="M115" s="367"/>
    </row>
    <row r="116" customFormat="false" ht="12.75" hidden="false" customHeight="false" outlineLevel="0" collapsed="false">
      <c r="B116" s="361"/>
      <c r="C116" s="362"/>
      <c r="D116" s="362"/>
      <c r="E116" s="363"/>
      <c r="F116" s="372"/>
      <c r="G116" s="363"/>
      <c r="H116" s="363"/>
      <c r="I116" s="363"/>
      <c r="J116" s="363"/>
      <c r="K116" s="363"/>
      <c r="L116" s="363"/>
      <c r="M116" s="367"/>
    </row>
    <row r="117" customFormat="false" ht="12.75" hidden="false" customHeight="false" outlineLevel="0" collapsed="false">
      <c r="B117" s="361"/>
      <c r="C117" s="362"/>
      <c r="D117" s="362"/>
      <c r="E117" s="363"/>
      <c r="F117" s="372"/>
      <c r="G117" s="363"/>
      <c r="H117" s="363"/>
      <c r="I117" s="363"/>
      <c r="J117" s="363"/>
      <c r="K117" s="363"/>
      <c r="L117" s="363"/>
      <c r="M117" s="367"/>
    </row>
    <row r="118" customFormat="false" ht="12.75" hidden="false" customHeight="false" outlineLevel="0" collapsed="false">
      <c r="B118" s="361"/>
      <c r="C118" s="362"/>
      <c r="D118" s="362"/>
      <c r="E118" s="363"/>
      <c r="F118" s="372"/>
      <c r="G118" s="363"/>
      <c r="H118" s="363"/>
      <c r="I118" s="363"/>
      <c r="J118" s="363"/>
      <c r="K118" s="363"/>
      <c r="L118" s="363"/>
      <c r="M118" s="367"/>
    </row>
    <row r="119" customFormat="false" ht="12.75" hidden="false" customHeight="false" outlineLevel="0" collapsed="false">
      <c r="B119" s="361"/>
      <c r="C119" s="362"/>
      <c r="D119" s="362"/>
      <c r="E119" s="363"/>
      <c r="F119" s="372"/>
      <c r="G119" s="363"/>
      <c r="H119" s="363"/>
      <c r="I119" s="363"/>
      <c r="J119" s="363"/>
      <c r="K119" s="363"/>
      <c r="L119" s="363"/>
      <c r="M119" s="367"/>
    </row>
    <row r="120" customFormat="false" ht="12.75" hidden="false" customHeight="false" outlineLevel="0" collapsed="false">
      <c r="B120" s="361"/>
      <c r="C120" s="362"/>
      <c r="D120" s="362"/>
      <c r="E120" s="363"/>
      <c r="F120" s="372"/>
      <c r="G120" s="363"/>
      <c r="H120" s="363"/>
      <c r="I120" s="363"/>
      <c r="J120" s="363"/>
      <c r="K120" s="363"/>
      <c r="L120" s="363"/>
      <c r="M120" s="367"/>
    </row>
    <row r="121" customFormat="false" ht="12.75" hidden="false" customHeight="false" outlineLevel="0" collapsed="false">
      <c r="B121" s="361"/>
      <c r="C121" s="362"/>
      <c r="D121" s="362"/>
      <c r="E121" s="363"/>
      <c r="F121" s="372"/>
      <c r="G121" s="363"/>
      <c r="H121" s="363"/>
      <c r="I121" s="363"/>
      <c r="J121" s="363"/>
      <c r="K121" s="363"/>
      <c r="L121" s="363"/>
      <c r="M121" s="367"/>
    </row>
    <row r="122" customFormat="false" ht="12.75" hidden="false" customHeight="false" outlineLevel="0" collapsed="false">
      <c r="B122" s="361"/>
      <c r="C122" s="362"/>
      <c r="D122" s="362"/>
      <c r="E122" s="363"/>
      <c r="F122" s="372"/>
      <c r="G122" s="363"/>
      <c r="H122" s="363"/>
      <c r="I122" s="363"/>
      <c r="J122" s="363"/>
      <c r="K122" s="363"/>
      <c r="L122" s="363"/>
      <c r="M122" s="367"/>
    </row>
    <row r="123" customFormat="false" ht="12.75" hidden="false" customHeight="false" outlineLevel="0" collapsed="false">
      <c r="B123" s="361"/>
      <c r="C123" s="362"/>
      <c r="D123" s="362"/>
      <c r="E123" s="363"/>
      <c r="F123" s="372"/>
      <c r="G123" s="363"/>
      <c r="H123" s="363"/>
      <c r="I123" s="363"/>
      <c r="J123" s="363"/>
      <c r="K123" s="363"/>
      <c r="L123" s="363"/>
      <c r="M123" s="367"/>
    </row>
    <row r="124" customFormat="false" ht="12.75" hidden="false" customHeight="false" outlineLevel="0" collapsed="false">
      <c r="B124" s="361"/>
      <c r="C124" s="362"/>
      <c r="D124" s="362"/>
      <c r="E124" s="363"/>
      <c r="F124" s="372"/>
      <c r="G124" s="363"/>
      <c r="H124" s="363"/>
      <c r="I124" s="363"/>
      <c r="J124" s="363"/>
      <c r="K124" s="363"/>
      <c r="L124" s="363"/>
      <c r="M124" s="367"/>
    </row>
    <row r="125" customFormat="false" ht="12.75" hidden="false" customHeight="false" outlineLevel="0" collapsed="false">
      <c r="B125" s="361"/>
      <c r="C125" s="362"/>
      <c r="D125" s="362"/>
      <c r="E125" s="363"/>
      <c r="F125" s="372"/>
      <c r="G125" s="363"/>
      <c r="H125" s="363"/>
      <c r="I125" s="363"/>
      <c r="J125" s="363"/>
      <c r="K125" s="363"/>
      <c r="L125" s="363"/>
      <c r="M125" s="367"/>
    </row>
    <row r="126" customFormat="false" ht="12.75" hidden="false" customHeight="false" outlineLevel="0" collapsed="false">
      <c r="B126" s="361"/>
      <c r="C126" s="362"/>
      <c r="D126" s="362"/>
      <c r="E126" s="363"/>
      <c r="F126" s="372"/>
      <c r="G126" s="363"/>
      <c r="H126" s="363"/>
      <c r="I126" s="363"/>
      <c r="J126" s="363"/>
      <c r="K126" s="363"/>
      <c r="L126" s="363"/>
      <c r="M126" s="367"/>
    </row>
    <row r="127" customFormat="false" ht="12.75" hidden="false" customHeight="false" outlineLevel="0" collapsed="false">
      <c r="B127" s="361"/>
      <c r="C127" s="362"/>
      <c r="D127" s="362"/>
      <c r="E127" s="363"/>
      <c r="F127" s="372"/>
      <c r="G127" s="363"/>
      <c r="H127" s="363"/>
      <c r="I127" s="363"/>
      <c r="J127" s="363"/>
      <c r="K127" s="363"/>
      <c r="L127" s="363"/>
      <c r="M127" s="367"/>
    </row>
    <row r="128" customFormat="false" ht="12.75" hidden="false" customHeight="false" outlineLevel="0" collapsed="false">
      <c r="B128" s="361"/>
      <c r="C128" s="362"/>
      <c r="D128" s="362"/>
      <c r="E128" s="363"/>
      <c r="F128" s="372"/>
      <c r="G128" s="363"/>
      <c r="H128" s="363"/>
      <c r="I128" s="363"/>
      <c r="J128" s="363"/>
      <c r="K128" s="363"/>
      <c r="L128" s="363"/>
      <c r="M128" s="367"/>
    </row>
    <row r="129" customFormat="false" ht="12.75" hidden="false" customHeight="false" outlineLevel="0" collapsed="false">
      <c r="B129" s="361"/>
      <c r="C129" s="362"/>
      <c r="D129" s="362"/>
      <c r="E129" s="363"/>
      <c r="F129" s="372"/>
      <c r="G129" s="363"/>
      <c r="H129" s="363"/>
      <c r="I129" s="363"/>
      <c r="J129" s="363"/>
      <c r="K129" s="363"/>
      <c r="L129" s="363"/>
      <c r="M129" s="367"/>
    </row>
    <row r="130" customFormat="false" ht="12.75" hidden="false" customHeight="false" outlineLevel="0" collapsed="false">
      <c r="B130" s="361"/>
      <c r="C130" s="362"/>
      <c r="D130" s="362"/>
      <c r="E130" s="363"/>
      <c r="F130" s="372"/>
      <c r="G130" s="363"/>
      <c r="H130" s="363"/>
      <c r="I130" s="363"/>
      <c r="J130" s="363"/>
      <c r="K130" s="363"/>
      <c r="L130" s="363"/>
      <c r="M130" s="367"/>
    </row>
    <row r="131" customFormat="false" ht="12.75" hidden="false" customHeight="false" outlineLevel="0" collapsed="false">
      <c r="B131" s="361"/>
      <c r="C131" s="362"/>
      <c r="D131" s="362"/>
      <c r="E131" s="363"/>
      <c r="F131" s="372"/>
      <c r="G131" s="363"/>
      <c r="H131" s="363"/>
      <c r="I131" s="363"/>
      <c r="J131" s="363"/>
      <c r="K131" s="363"/>
      <c r="L131" s="363"/>
      <c r="M131" s="367"/>
    </row>
    <row r="132" customFormat="false" ht="12.75" hidden="false" customHeight="false" outlineLevel="0" collapsed="false">
      <c r="B132" s="361"/>
      <c r="C132" s="362"/>
      <c r="D132" s="362"/>
      <c r="E132" s="363"/>
      <c r="F132" s="372"/>
      <c r="G132" s="363"/>
      <c r="H132" s="363"/>
      <c r="I132" s="363"/>
      <c r="J132" s="363"/>
      <c r="K132" s="363"/>
      <c r="L132" s="363"/>
      <c r="M132" s="367"/>
    </row>
    <row r="133" customFormat="false" ht="12.75" hidden="false" customHeight="false" outlineLevel="0" collapsed="false">
      <c r="B133" s="361"/>
      <c r="C133" s="362"/>
      <c r="D133" s="362"/>
      <c r="E133" s="363"/>
      <c r="F133" s="372"/>
      <c r="G133" s="363"/>
      <c r="H133" s="363"/>
      <c r="I133" s="363"/>
      <c r="J133" s="363"/>
      <c r="K133" s="363"/>
      <c r="L133" s="363"/>
      <c r="M133" s="367"/>
    </row>
    <row r="134" customFormat="false" ht="12.75" hidden="false" customHeight="false" outlineLevel="0" collapsed="false">
      <c r="B134" s="361"/>
      <c r="C134" s="362"/>
      <c r="D134" s="362"/>
      <c r="E134" s="363"/>
      <c r="F134" s="372"/>
      <c r="G134" s="363"/>
      <c r="H134" s="363"/>
      <c r="I134" s="363"/>
      <c r="J134" s="363"/>
      <c r="K134" s="363"/>
      <c r="L134" s="363"/>
      <c r="M134" s="367"/>
    </row>
    <row r="135" customFormat="false" ht="12.75" hidden="false" customHeight="false" outlineLevel="0" collapsed="false">
      <c r="B135" s="361"/>
      <c r="C135" s="362"/>
      <c r="D135" s="362"/>
      <c r="E135" s="363"/>
      <c r="F135" s="372"/>
      <c r="G135" s="363"/>
      <c r="H135" s="363"/>
      <c r="I135" s="363"/>
      <c r="J135" s="363"/>
      <c r="K135" s="363"/>
      <c r="L135" s="363"/>
      <c r="M135" s="367"/>
    </row>
    <row r="136" customFormat="false" ht="12.75" hidden="false" customHeight="false" outlineLevel="0" collapsed="false">
      <c r="B136" s="361"/>
      <c r="C136" s="362"/>
      <c r="D136" s="362"/>
      <c r="E136" s="363"/>
      <c r="F136" s="372"/>
      <c r="G136" s="363"/>
      <c r="H136" s="363"/>
      <c r="I136" s="363"/>
      <c r="J136" s="363"/>
      <c r="K136" s="363"/>
      <c r="L136" s="363"/>
      <c r="M136" s="367"/>
    </row>
    <row r="137" customFormat="false" ht="12.75" hidden="false" customHeight="false" outlineLevel="0" collapsed="false">
      <c r="B137" s="361"/>
      <c r="C137" s="362"/>
      <c r="D137" s="362"/>
      <c r="E137" s="363"/>
      <c r="F137" s="372"/>
      <c r="G137" s="363"/>
      <c r="H137" s="363"/>
      <c r="I137" s="363"/>
      <c r="J137" s="363"/>
      <c r="K137" s="363"/>
      <c r="L137" s="363"/>
      <c r="M137" s="367"/>
    </row>
    <row r="138" customFormat="false" ht="12.75" hidden="false" customHeight="false" outlineLevel="0" collapsed="false">
      <c r="B138" s="361"/>
      <c r="C138" s="362"/>
      <c r="D138" s="362"/>
      <c r="E138" s="363"/>
      <c r="F138" s="372"/>
      <c r="G138" s="363"/>
      <c r="H138" s="363"/>
      <c r="I138" s="363"/>
      <c r="J138" s="363"/>
      <c r="K138" s="363"/>
      <c r="L138" s="363"/>
      <c r="M138" s="367"/>
    </row>
    <row r="139" customFormat="false" ht="12.75" hidden="false" customHeight="false" outlineLevel="0" collapsed="false">
      <c r="B139" s="361"/>
      <c r="C139" s="362"/>
      <c r="D139" s="362"/>
      <c r="E139" s="363"/>
      <c r="F139" s="372"/>
      <c r="G139" s="363"/>
      <c r="H139" s="363"/>
      <c r="I139" s="363"/>
      <c r="J139" s="363"/>
      <c r="K139" s="363"/>
      <c r="L139" s="363"/>
      <c r="M139" s="367"/>
    </row>
    <row r="140" customFormat="false" ht="12.75" hidden="false" customHeight="false" outlineLevel="0" collapsed="false">
      <c r="B140" s="361"/>
      <c r="C140" s="362"/>
      <c r="D140" s="362"/>
      <c r="E140" s="363"/>
      <c r="F140" s="372"/>
      <c r="G140" s="363"/>
      <c r="H140" s="363"/>
      <c r="I140" s="363"/>
      <c r="J140" s="363"/>
      <c r="K140" s="363"/>
      <c r="L140" s="363"/>
      <c r="M140" s="367"/>
    </row>
    <row r="141" customFormat="false" ht="12.75" hidden="false" customHeight="false" outlineLevel="0" collapsed="false">
      <c r="B141" s="361"/>
      <c r="C141" s="362"/>
      <c r="D141" s="362"/>
      <c r="E141" s="363"/>
      <c r="F141" s="372"/>
      <c r="G141" s="363"/>
      <c r="H141" s="363"/>
      <c r="I141" s="363"/>
      <c r="J141" s="363"/>
      <c r="K141" s="363"/>
      <c r="L141" s="363"/>
      <c r="M141" s="367"/>
    </row>
    <row r="142" customFormat="false" ht="12.75" hidden="false" customHeight="false" outlineLevel="0" collapsed="false">
      <c r="B142" s="361"/>
      <c r="C142" s="362"/>
      <c r="D142" s="362"/>
      <c r="E142" s="363"/>
      <c r="F142" s="372"/>
      <c r="G142" s="363"/>
      <c r="H142" s="363"/>
      <c r="I142" s="363"/>
      <c r="J142" s="363"/>
      <c r="K142" s="363"/>
      <c r="L142" s="363"/>
      <c r="M142" s="367"/>
    </row>
    <row r="143" customFormat="false" ht="12.75" hidden="false" customHeight="false" outlineLevel="0" collapsed="false">
      <c r="B143" s="361"/>
      <c r="C143" s="362"/>
      <c r="D143" s="362"/>
      <c r="E143" s="363"/>
      <c r="F143" s="372"/>
      <c r="G143" s="363"/>
      <c r="H143" s="363"/>
      <c r="I143" s="363"/>
      <c r="J143" s="363"/>
      <c r="K143" s="363"/>
      <c r="L143" s="363"/>
      <c r="M143" s="367"/>
    </row>
    <row r="144" customFormat="false" ht="12.75" hidden="false" customHeight="false" outlineLevel="0" collapsed="false">
      <c r="B144" s="361"/>
      <c r="C144" s="362"/>
      <c r="D144" s="362"/>
      <c r="E144" s="363"/>
      <c r="F144" s="372"/>
      <c r="G144" s="363"/>
      <c r="H144" s="363"/>
      <c r="I144" s="363"/>
      <c r="J144" s="363"/>
      <c r="K144" s="363"/>
      <c r="L144" s="363"/>
      <c r="M144" s="367"/>
    </row>
    <row r="145" customFormat="false" ht="12.75" hidden="false" customHeight="false" outlineLevel="0" collapsed="false">
      <c r="B145" s="361"/>
      <c r="C145" s="362"/>
      <c r="D145" s="362"/>
      <c r="E145" s="363"/>
      <c r="F145" s="372"/>
      <c r="G145" s="363"/>
      <c r="H145" s="363"/>
      <c r="I145" s="363"/>
      <c r="J145" s="363"/>
      <c r="K145" s="363"/>
      <c r="L145" s="363"/>
      <c r="M145" s="367"/>
    </row>
    <row r="146" customFormat="false" ht="12.75" hidden="false" customHeight="false" outlineLevel="0" collapsed="false">
      <c r="B146" s="361"/>
      <c r="C146" s="362"/>
      <c r="D146" s="362"/>
      <c r="E146" s="363"/>
      <c r="F146" s="372"/>
      <c r="G146" s="363"/>
      <c r="H146" s="363"/>
      <c r="I146" s="363"/>
      <c r="J146" s="363"/>
      <c r="K146" s="363"/>
      <c r="L146" s="363"/>
      <c r="M146" s="367"/>
    </row>
    <row r="147" customFormat="false" ht="12.75" hidden="false" customHeight="false" outlineLevel="0" collapsed="false">
      <c r="B147" s="361"/>
      <c r="C147" s="362"/>
      <c r="D147" s="362"/>
      <c r="E147" s="363"/>
      <c r="F147" s="372"/>
      <c r="G147" s="363"/>
      <c r="H147" s="363"/>
      <c r="I147" s="363"/>
      <c r="J147" s="363"/>
      <c r="K147" s="363"/>
      <c r="L147" s="363"/>
      <c r="M147" s="367"/>
    </row>
    <row r="148" customFormat="false" ht="12.75" hidden="false" customHeight="false" outlineLevel="0" collapsed="false">
      <c r="B148" s="361"/>
      <c r="C148" s="362"/>
      <c r="D148" s="362"/>
      <c r="E148" s="363"/>
      <c r="F148" s="372"/>
      <c r="G148" s="363"/>
      <c r="H148" s="363"/>
      <c r="I148" s="363"/>
      <c r="J148" s="363"/>
      <c r="K148" s="363"/>
      <c r="L148" s="363"/>
      <c r="M148" s="367"/>
    </row>
    <row r="149" customFormat="false" ht="12.75" hidden="false" customHeight="false" outlineLevel="0" collapsed="false">
      <c r="B149" s="361"/>
      <c r="C149" s="362"/>
      <c r="D149" s="362"/>
      <c r="E149" s="363"/>
      <c r="F149" s="372"/>
      <c r="G149" s="363"/>
      <c r="H149" s="363"/>
      <c r="I149" s="363"/>
      <c r="J149" s="363"/>
      <c r="K149" s="363"/>
      <c r="L149" s="363"/>
      <c r="M149" s="367"/>
    </row>
    <row r="150" customFormat="false" ht="12.75" hidden="false" customHeight="false" outlineLevel="0" collapsed="false">
      <c r="B150" s="361"/>
      <c r="C150" s="362"/>
      <c r="D150" s="362"/>
      <c r="E150" s="363"/>
      <c r="F150" s="372"/>
      <c r="G150" s="363"/>
      <c r="H150" s="363"/>
      <c r="I150" s="363"/>
      <c r="J150" s="363"/>
      <c r="K150" s="363"/>
      <c r="L150" s="363"/>
      <c r="M150" s="367"/>
    </row>
    <row r="151" customFormat="false" ht="12.75" hidden="false" customHeight="false" outlineLevel="0" collapsed="false">
      <c r="B151" s="361"/>
      <c r="C151" s="362"/>
      <c r="D151" s="362"/>
      <c r="E151" s="363"/>
      <c r="F151" s="372"/>
      <c r="G151" s="363"/>
      <c r="H151" s="363"/>
      <c r="I151" s="363"/>
      <c r="J151" s="363"/>
      <c r="K151" s="363"/>
      <c r="L151" s="363"/>
      <c r="M151" s="367"/>
    </row>
    <row r="152" customFormat="false" ht="12.75" hidden="false" customHeight="false" outlineLevel="0" collapsed="false">
      <c r="B152" s="361"/>
      <c r="C152" s="362"/>
      <c r="D152" s="362"/>
      <c r="E152" s="363"/>
      <c r="F152" s="372"/>
      <c r="G152" s="363"/>
      <c r="H152" s="363"/>
      <c r="I152" s="363"/>
      <c r="J152" s="363"/>
      <c r="K152" s="363"/>
      <c r="L152" s="363"/>
      <c r="M152" s="367"/>
    </row>
    <row r="153" customFormat="false" ht="12.75" hidden="false" customHeight="false" outlineLevel="0" collapsed="false">
      <c r="B153" s="361"/>
      <c r="C153" s="362"/>
      <c r="D153" s="362"/>
      <c r="E153" s="363"/>
      <c r="F153" s="372"/>
      <c r="G153" s="363"/>
      <c r="H153" s="363"/>
      <c r="I153" s="363"/>
      <c r="J153" s="363"/>
      <c r="K153" s="363"/>
      <c r="L153" s="363"/>
      <c r="M153" s="367"/>
    </row>
    <row r="154" customFormat="false" ht="12.75" hidden="false" customHeight="false" outlineLevel="0" collapsed="false">
      <c r="B154" s="361"/>
      <c r="C154" s="362"/>
      <c r="D154" s="362"/>
      <c r="E154" s="363"/>
      <c r="F154" s="372"/>
      <c r="G154" s="363"/>
      <c r="H154" s="363"/>
      <c r="I154" s="363"/>
      <c r="J154" s="363"/>
      <c r="K154" s="363"/>
      <c r="L154" s="363"/>
      <c r="M154" s="367"/>
    </row>
    <row r="155" customFormat="false" ht="12.75" hidden="false" customHeight="false" outlineLevel="0" collapsed="false">
      <c r="B155" s="361"/>
      <c r="C155" s="362"/>
      <c r="D155" s="362"/>
      <c r="E155" s="363"/>
      <c r="F155" s="372"/>
      <c r="G155" s="363"/>
      <c r="H155" s="363"/>
      <c r="I155" s="363"/>
      <c r="J155" s="363"/>
      <c r="K155" s="363"/>
      <c r="L155" s="363"/>
      <c r="M155" s="367"/>
    </row>
    <row r="156" customFormat="false" ht="12.75" hidden="false" customHeight="false" outlineLevel="0" collapsed="false">
      <c r="B156" s="361"/>
      <c r="C156" s="362"/>
      <c r="D156" s="362"/>
      <c r="E156" s="363"/>
      <c r="F156" s="372"/>
      <c r="G156" s="363"/>
      <c r="H156" s="363"/>
      <c r="I156" s="363"/>
      <c r="J156" s="363"/>
      <c r="K156" s="363"/>
      <c r="L156" s="363"/>
      <c r="M156" s="367"/>
    </row>
    <row r="157" customFormat="false" ht="12.75" hidden="false" customHeight="false" outlineLevel="0" collapsed="false">
      <c r="B157" s="361"/>
      <c r="C157" s="362"/>
      <c r="D157" s="362"/>
      <c r="E157" s="363"/>
      <c r="F157" s="372"/>
      <c r="G157" s="363"/>
      <c r="H157" s="363"/>
      <c r="I157" s="363"/>
      <c r="J157" s="363"/>
      <c r="K157" s="363"/>
      <c r="L157" s="363"/>
      <c r="M157" s="367"/>
    </row>
    <row r="158" customFormat="false" ht="12.75" hidden="false" customHeight="false" outlineLevel="0" collapsed="false">
      <c r="B158" s="361"/>
      <c r="C158" s="362"/>
      <c r="D158" s="362"/>
      <c r="E158" s="363"/>
      <c r="F158" s="372"/>
      <c r="G158" s="363"/>
      <c r="H158" s="363"/>
      <c r="I158" s="363"/>
      <c r="J158" s="363"/>
      <c r="K158" s="363"/>
      <c r="L158" s="363"/>
      <c r="M158" s="367"/>
    </row>
    <row r="159" customFormat="false" ht="12.75" hidden="false" customHeight="false" outlineLevel="0" collapsed="false">
      <c r="B159" s="361"/>
      <c r="C159" s="362"/>
      <c r="D159" s="362"/>
      <c r="E159" s="363"/>
      <c r="F159" s="372"/>
      <c r="G159" s="363"/>
      <c r="H159" s="363"/>
      <c r="I159" s="363"/>
      <c r="J159" s="363"/>
      <c r="K159" s="363"/>
      <c r="L159" s="363"/>
      <c r="M159" s="367"/>
    </row>
    <row r="160" customFormat="false" ht="12.75" hidden="false" customHeight="false" outlineLevel="0" collapsed="false">
      <c r="B160" s="368"/>
      <c r="C160" s="369"/>
      <c r="D160" s="369"/>
      <c r="E160" s="370"/>
      <c r="F160" s="373"/>
      <c r="G160" s="370"/>
      <c r="H160" s="370"/>
      <c r="I160" s="370"/>
      <c r="J160" s="370"/>
      <c r="K160" s="370"/>
      <c r="L160" s="370"/>
      <c r="M160" s="367"/>
    </row>
    <row r="161" customFormat="false" ht="12.75" hidden="false" customHeight="true" outlineLevel="0" collapsed="false">
      <c r="B161" s="361"/>
      <c r="C161" s="362"/>
      <c r="D161" s="362"/>
      <c r="E161" s="363"/>
      <c r="F161" s="374"/>
      <c r="G161" s="363"/>
      <c r="H161" s="363"/>
      <c r="I161" s="370"/>
      <c r="J161" s="363"/>
      <c r="K161" s="363"/>
      <c r="L161" s="363"/>
      <c r="M161" s="367"/>
    </row>
    <row r="162" customFormat="false" ht="12.75" hidden="false" customHeight="true" outlineLevel="0" collapsed="false">
      <c r="B162" s="368"/>
      <c r="C162" s="362"/>
      <c r="D162" s="362"/>
      <c r="E162" s="363"/>
      <c r="F162" s="374"/>
      <c r="G162" s="363"/>
      <c r="H162" s="363"/>
      <c r="I162" s="370"/>
      <c r="J162" s="363"/>
      <c r="K162" s="363"/>
      <c r="L162" s="363"/>
      <c r="M162" s="367"/>
    </row>
    <row r="163" customFormat="false" ht="12.75" hidden="false" customHeight="true" outlineLevel="0" collapsed="false">
      <c r="B163" s="361"/>
      <c r="C163" s="362"/>
      <c r="D163" s="362"/>
      <c r="E163" s="363"/>
      <c r="F163" s="374"/>
      <c r="G163" s="363"/>
      <c r="H163" s="363"/>
      <c r="I163" s="370"/>
      <c r="J163" s="363"/>
      <c r="K163" s="363"/>
      <c r="L163" s="363"/>
      <c r="M163" s="367"/>
    </row>
    <row r="164" customFormat="false" ht="12.75" hidden="false" customHeight="true" outlineLevel="0" collapsed="false">
      <c r="B164" s="368"/>
      <c r="C164" s="362"/>
      <c r="D164" s="362"/>
      <c r="E164" s="363"/>
      <c r="F164" s="374"/>
      <c r="G164" s="363"/>
      <c r="H164" s="363"/>
      <c r="I164" s="370"/>
      <c r="J164" s="363"/>
      <c r="K164" s="363"/>
      <c r="L164" s="363"/>
      <c r="M164" s="367"/>
    </row>
    <row r="165" customFormat="false" ht="12.75" hidden="false" customHeight="true" outlineLevel="0" collapsed="false">
      <c r="B165" s="361"/>
      <c r="C165" s="362"/>
      <c r="D165" s="362"/>
      <c r="E165" s="363"/>
      <c r="F165" s="374"/>
      <c r="G165" s="363"/>
      <c r="H165" s="363"/>
      <c r="I165" s="370"/>
      <c r="J165" s="363"/>
      <c r="K165" s="363"/>
      <c r="L165" s="363"/>
      <c r="M165" s="367"/>
    </row>
    <row r="166" customFormat="false" ht="12.75" hidden="false" customHeight="true" outlineLevel="0" collapsed="false">
      <c r="B166" s="368"/>
      <c r="C166" s="362"/>
      <c r="D166" s="362"/>
      <c r="E166" s="363"/>
      <c r="F166" s="374"/>
      <c r="G166" s="363"/>
      <c r="H166" s="363"/>
      <c r="I166" s="370"/>
      <c r="J166" s="363"/>
      <c r="K166" s="363"/>
      <c r="L166" s="363"/>
      <c r="M166" s="367"/>
    </row>
    <row r="167" customFormat="false" ht="12.75" hidden="false" customHeight="true" outlineLevel="0" collapsed="false">
      <c r="B167" s="361"/>
      <c r="C167" s="362"/>
      <c r="D167" s="362"/>
      <c r="E167" s="363"/>
      <c r="F167" s="374"/>
      <c r="G167" s="363"/>
      <c r="H167" s="363"/>
      <c r="I167" s="370"/>
      <c r="J167" s="363"/>
      <c r="K167" s="363"/>
      <c r="L167" s="363"/>
      <c r="M167" s="367"/>
    </row>
    <row r="168" customFormat="false" ht="12.75" hidden="false" customHeight="true" outlineLevel="0" collapsed="false">
      <c r="B168" s="368"/>
      <c r="C168" s="362"/>
      <c r="D168" s="362"/>
      <c r="E168" s="363"/>
      <c r="F168" s="374"/>
      <c r="G168" s="363"/>
      <c r="H168" s="363"/>
      <c r="I168" s="370"/>
      <c r="J168" s="363"/>
      <c r="K168" s="363"/>
      <c r="L168" s="363"/>
      <c r="M168" s="367"/>
    </row>
    <row r="169" customFormat="false" ht="12.75" hidden="false" customHeight="true" outlineLevel="0" collapsed="false">
      <c r="B169" s="361"/>
      <c r="C169" s="362"/>
      <c r="D169" s="362"/>
      <c r="E169" s="363"/>
      <c r="F169" s="374"/>
      <c r="G169" s="363"/>
      <c r="H169" s="363"/>
      <c r="I169" s="370"/>
      <c r="J169" s="363"/>
      <c r="K169" s="363"/>
      <c r="L169" s="363"/>
      <c r="M169" s="367"/>
    </row>
    <row r="170" customFormat="false" ht="14.25" hidden="false" customHeight="true" outlineLevel="0" collapsed="false">
      <c r="B170" s="361"/>
      <c r="C170" s="362"/>
      <c r="D170" s="362"/>
      <c r="E170" s="363"/>
      <c r="F170" s="374"/>
      <c r="G170" s="363"/>
      <c r="H170" s="363"/>
      <c r="I170" s="370"/>
      <c r="J170" s="363"/>
      <c r="K170" s="363"/>
      <c r="L170" s="363"/>
      <c r="M170" s="367"/>
    </row>
    <row r="171" customFormat="false" ht="12.75" hidden="false" customHeight="true" outlineLevel="0" collapsed="false">
      <c r="B171" s="368"/>
      <c r="C171" s="362"/>
      <c r="D171" s="362"/>
      <c r="E171" s="363"/>
      <c r="F171" s="374"/>
      <c r="G171" s="363"/>
      <c r="H171" s="363"/>
      <c r="I171" s="370"/>
      <c r="J171" s="363"/>
      <c r="K171" s="363"/>
      <c r="L171" s="363"/>
      <c r="M171" s="367"/>
    </row>
    <row r="172" customFormat="false" ht="12.75" hidden="false" customHeight="true" outlineLevel="0" collapsed="false">
      <c r="B172" s="361"/>
      <c r="C172" s="362"/>
      <c r="D172" s="362"/>
      <c r="E172" s="363"/>
      <c r="F172" s="374"/>
      <c r="G172" s="363"/>
      <c r="H172" s="363"/>
      <c r="I172" s="370"/>
      <c r="J172" s="363"/>
      <c r="K172" s="363"/>
      <c r="L172" s="363"/>
      <c r="M172" s="367"/>
    </row>
    <row r="173" customFormat="false" ht="12.75" hidden="false" customHeight="true" outlineLevel="0" collapsed="false">
      <c r="B173" s="368"/>
      <c r="C173" s="362"/>
      <c r="D173" s="362"/>
      <c r="E173" s="363"/>
      <c r="F173" s="374"/>
      <c r="G173" s="363"/>
      <c r="H173" s="363"/>
      <c r="I173" s="370"/>
      <c r="J173" s="363"/>
      <c r="K173" s="363"/>
      <c r="L173" s="363"/>
      <c r="M173" s="367"/>
    </row>
    <row r="174" customFormat="false" ht="12.75" hidden="false" customHeight="true" outlineLevel="0" collapsed="false">
      <c r="B174" s="361"/>
      <c r="C174" s="362"/>
      <c r="D174" s="362"/>
      <c r="E174" s="363"/>
      <c r="F174" s="374"/>
      <c r="G174" s="363"/>
      <c r="H174" s="363"/>
      <c r="I174" s="370"/>
      <c r="J174" s="363"/>
      <c r="K174" s="363"/>
      <c r="L174" s="363"/>
      <c r="M174" s="367"/>
    </row>
    <row r="175" customFormat="false" ht="12.75" hidden="false" customHeight="true" outlineLevel="0" collapsed="false">
      <c r="B175" s="368"/>
      <c r="C175" s="362"/>
      <c r="D175" s="362"/>
      <c r="E175" s="363"/>
      <c r="F175" s="374"/>
      <c r="G175" s="363"/>
      <c r="H175" s="363"/>
      <c r="I175" s="370"/>
      <c r="J175" s="363"/>
      <c r="K175" s="363"/>
      <c r="L175" s="363"/>
      <c r="M175" s="367"/>
    </row>
    <row r="176" customFormat="false" ht="12.75" hidden="false" customHeight="true" outlineLevel="0" collapsed="false">
      <c r="B176" s="361"/>
      <c r="C176" s="362"/>
      <c r="D176" s="362"/>
      <c r="E176" s="363"/>
      <c r="F176" s="374"/>
      <c r="G176" s="363"/>
      <c r="H176" s="363"/>
      <c r="I176" s="370"/>
      <c r="J176" s="363"/>
      <c r="K176" s="363"/>
      <c r="L176" s="363"/>
      <c r="M176" s="367"/>
    </row>
    <row r="177" customFormat="false" ht="12.75" hidden="false" customHeight="true" outlineLevel="0" collapsed="false">
      <c r="B177" s="368"/>
      <c r="C177" s="362"/>
      <c r="D177" s="362"/>
      <c r="E177" s="363"/>
      <c r="F177" s="374"/>
      <c r="G177" s="363"/>
      <c r="H177" s="363"/>
      <c r="I177" s="370"/>
      <c r="J177" s="363"/>
      <c r="K177" s="363"/>
      <c r="L177" s="363"/>
      <c r="M177" s="367"/>
    </row>
    <row r="178" customFormat="false" ht="12.75" hidden="false" customHeight="true" outlineLevel="0" collapsed="false">
      <c r="B178" s="361"/>
      <c r="C178" s="362"/>
      <c r="D178" s="362"/>
      <c r="E178" s="363"/>
      <c r="F178" s="374"/>
      <c r="G178" s="363"/>
      <c r="H178" s="363"/>
      <c r="I178" s="370"/>
      <c r="J178" s="363"/>
      <c r="K178" s="363"/>
      <c r="L178" s="363"/>
      <c r="M178" s="367"/>
    </row>
    <row r="179" customFormat="false" ht="12.75" hidden="false" customHeight="true" outlineLevel="0" collapsed="false">
      <c r="B179" s="368"/>
      <c r="C179" s="362"/>
      <c r="D179" s="362"/>
      <c r="E179" s="363"/>
      <c r="F179" s="374"/>
      <c r="G179" s="363"/>
      <c r="H179" s="363"/>
      <c r="I179" s="370"/>
      <c r="J179" s="363"/>
      <c r="K179" s="363"/>
      <c r="L179" s="363"/>
      <c r="M179" s="367"/>
    </row>
    <row r="180" customFormat="false" ht="12.75" hidden="false" customHeight="true" outlineLevel="0" collapsed="false">
      <c r="B180" s="361"/>
      <c r="C180" s="362"/>
      <c r="D180" s="362"/>
      <c r="E180" s="363"/>
      <c r="F180" s="374"/>
      <c r="G180" s="363"/>
      <c r="H180" s="363"/>
      <c r="I180" s="370"/>
      <c r="J180" s="363"/>
      <c r="K180" s="363"/>
      <c r="L180" s="363"/>
      <c r="M180" s="367"/>
    </row>
    <row r="181" customFormat="false" ht="12.75" hidden="false" customHeight="true" outlineLevel="0" collapsed="false">
      <c r="B181" s="361"/>
      <c r="C181" s="362"/>
      <c r="D181" s="362"/>
      <c r="E181" s="363"/>
      <c r="F181" s="374"/>
      <c r="G181" s="363"/>
      <c r="H181" s="363"/>
      <c r="I181" s="370"/>
      <c r="J181" s="363"/>
      <c r="K181" s="363"/>
      <c r="L181" s="363"/>
      <c r="M181" s="367"/>
    </row>
    <row r="182" customFormat="false" ht="12.75" hidden="false" customHeight="true" outlineLevel="0" collapsed="false">
      <c r="B182" s="368"/>
      <c r="C182" s="362"/>
      <c r="D182" s="362"/>
      <c r="E182" s="363"/>
      <c r="F182" s="374"/>
      <c r="G182" s="363"/>
      <c r="H182" s="363"/>
      <c r="I182" s="370"/>
      <c r="J182" s="363"/>
      <c r="K182" s="363"/>
      <c r="L182" s="363"/>
      <c r="M182" s="367"/>
    </row>
    <row r="183" customFormat="false" ht="12.75" hidden="false" customHeight="true" outlineLevel="0" collapsed="false">
      <c r="B183" s="361"/>
      <c r="C183" s="362"/>
      <c r="D183" s="362"/>
      <c r="E183" s="363"/>
      <c r="F183" s="374"/>
      <c r="G183" s="363"/>
      <c r="H183" s="363"/>
      <c r="I183" s="370"/>
      <c r="J183" s="363"/>
      <c r="K183" s="363"/>
      <c r="L183" s="363"/>
      <c r="M183" s="367"/>
    </row>
    <row r="184" customFormat="false" ht="12.75" hidden="false" customHeight="true" outlineLevel="0" collapsed="false">
      <c r="B184" s="368"/>
      <c r="C184" s="362"/>
      <c r="D184" s="362"/>
      <c r="E184" s="363"/>
      <c r="F184" s="374"/>
      <c r="G184" s="363"/>
      <c r="H184" s="363"/>
      <c r="I184" s="370"/>
      <c r="J184" s="363"/>
      <c r="K184" s="363"/>
      <c r="L184" s="363"/>
      <c r="M184" s="367"/>
    </row>
    <row r="185" customFormat="false" ht="12.75" hidden="false" customHeight="true" outlineLevel="0" collapsed="false">
      <c r="B185" s="361"/>
      <c r="C185" s="362"/>
      <c r="D185" s="362"/>
      <c r="E185" s="363"/>
      <c r="F185" s="374"/>
      <c r="G185" s="363"/>
      <c r="H185" s="363"/>
      <c r="I185" s="370"/>
      <c r="J185" s="363"/>
      <c r="K185" s="363"/>
      <c r="L185" s="363"/>
      <c r="M185" s="367"/>
    </row>
    <row r="186" customFormat="false" ht="12.75" hidden="false" customHeight="true" outlineLevel="0" collapsed="false">
      <c r="B186" s="368"/>
      <c r="C186" s="362"/>
      <c r="D186" s="362"/>
      <c r="E186" s="363"/>
      <c r="F186" s="374"/>
      <c r="G186" s="363"/>
      <c r="H186" s="363"/>
      <c r="I186" s="370"/>
      <c r="J186" s="363"/>
      <c r="K186" s="363"/>
      <c r="L186" s="363"/>
      <c r="M186" s="367"/>
    </row>
    <row r="187" customFormat="false" ht="12.75" hidden="false" customHeight="true" outlineLevel="0" collapsed="false">
      <c r="B187" s="361"/>
      <c r="C187" s="362"/>
      <c r="D187" s="362"/>
      <c r="E187" s="363"/>
      <c r="F187" s="374"/>
      <c r="G187" s="363"/>
      <c r="H187" s="363"/>
      <c r="I187" s="370"/>
      <c r="J187" s="363"/>
      <c r="K187" s="363"/>
      <c r="L187" s="363"/>
      <c r="M187" s="367"/>
    </row>
    <row r="188" customFormat="false" ht="12.75" hidden="false" customHeight="true" outlineLevel="0" collapsed="false">
      <c r="B188" s="368"/>
      <c r="C188" s="362"/>
      <c r="D188" s="362"/>
      <c r="E188" s="363"/>
      <c r="F188" s="374"/>
      <c r="G188" s="363"/>
      <c r="H188" s="363"/>
      <c r="I188" s="370"/>
      <c r="J188" s="363"/>
      <c r="K188" s="363"/>
      <c r="L188" s="363"/>
      <c r="M188" s="367"/>
    </row>
    <row r="189" customFormat="false" ht="12.75" hidden="false" customHeight="true" outlineLevel="0" collapsed="false">
      <c r="B189" s="361"/>
      <c r="C189" s="362"/>
      <c r="D189" s="362"/>
      <c r="E189" s="363"/>
      <c r="F189" s="374"/>
      <c r="G189" s="363"/>
      <c r="H189" s="363"/>
      <c r="I189" s="370"/>
      <c r="J189" s="363"/>
      <c r="K189" s="363"/>
      <c r="L189" s="363"/>
      <c r="M189" s="367"/>
    </row>
    <row r="190" customFormat="false" ht="12.75" hidden="false" customHeight="true" outlineLevel="0" collapsed="false">
      <c r="B190" s="368"/>
      <c r="C190" s="362"/>
      <c r="D190" s="362"/>
      <c r="E190" s="363"/>
      <c r="F190" s="374"/>
      <c r="G190" s="363"/>
      <c r="H190" s="363"/>
      <c r="I190" s="370"/>
      <c r="J190" s="363"/>
      <c r="K190" s="363"/>
      <c r="L190" s="363"/>
      <c r="M190" s="367"/>
    </row>
    <row r="191" customFormat="false" ht="12.75" hidden="false" customHeight="true" outlineLevel="0" collapsed="false">
      <c r="B191" s="361"/>
      <c r="C191" s="362"/>
      <c r="D191" s="362"/>
      <c r="E191" s="363"/>
      <c r="F191" s="374"/>
      <c r="G191" s="363"/>
      <c r="H191" s="363"/>
      <c r="I191" s="370"/>
      <c r="J191" s="363"/>
      <c r="K191" s="363"/>
      <c r="L191" s="363"/>
      <c r="M191" s="367"/>
    </row>
    <row r="192" customFormat="false" ht="12.75" hidden="false" customHeight="true" outlineLevel="0" collapsed="false">
      <c r="B192" s="361"/>
      <c r="C192" s="362"/>
      <c r="D192" s="362"/>
      <c r="E192" s="363"/>
      <c r="F192" s="374"/>
      <c r="G192" s="363"/>
      <c r="H192" s="363"/>
      <c r="I192" s="370"/>
      <c r="J192" s="363"/>
      <c r="K192" s="363"/>
      <c r="L192" s="363"/>
      <c r="M192" s="367"/>
    </row>
    <row r="193" customFormat="false" ht="12.75" hidden="false" customHeight="true" outlineLevel="0" collapsed="false">
      <c r="B193" s="368"/>
      <c r="C193" s="369"/>
      <c r="D193" s="369"/>
      <c r="E193" s="370"/>
      <c r="F193" s="375"/>
      <c r="G193" s="370"/>
      <c r="H193" s="363"/>
      <c r="I193" s="370"/>
      <c r="J193" s="370"/>
      <c r="K193" s="370"/>
      <c r="L193" s="370"/>
      <c r="M193" s="367"/>
    </row>
    <row r="194" customFormat="false" ht="12.75" hidden="false" customHeight="true" outlineLevel="0" collapsed="false">
      <c r="B194" s="361"/>
      <c r="C194" s="362"/>
      <c r="D194" s="362"/>
      <c r="E194" s="363"/>
      <c r="F194" s="364"/>
      <c r="G194" s="363"/>
      <c r="H194" s="363"/>
      <c r="I194" s="370"/>
      <c r="J194" s="376"/>
      <c r="K194" s="376"/>
      <c r="L194" s="363"/>
      <c r="M194" s="367"/>
    </row>
    <row r="195" customFormat="false" ht="12.75" hidden="false" customHeight="true" outlineLevel="0" collapsed="false">
      <c r="B195" s="361"/>
      <c r="C195" s="362"/>
      <c r="D195" s="362"/>
      <c r="E195" s="363"/>
      <c r="F195" s="364"/>
      <c r="G195" s="363"/>
      <c r="H195" s="363"/>
      <c r="I195" s="370"/>
      <c r="J195" s="376"/>
      <c r="K195" s="376"/>
      <c r="L195" s="363"/>
      <c r="M195" s="367"/>
    </row>
    <row r="196" customFormat="false" ht="12.75" hidden="false" customHeight="true" outlineLevel="0" collapsed="false">
      <c r="B196" s="368"/>
      <c r="C196" s="362"/>
      <c r="D196" s="362"/>
      <c r="E196" s="363"/>
      <c r="F196" s="364"/>
      <c r="G196" s="363"/>
      <c r="H196" s="363"/>
      <c r="I196" s="370"/>
      <c r="J196" s="376"/>
      <c r="K196" s="376"/>
      <c r="L196" s="363"/>
      <c r="M196" s="367"/>
    </row>
    <row r="197" customFormat="false" ht="12.75" hidden="false" customHeight="true" outlineLevel="0" collapsed="false">
      <c r="B197" s="361"/>
      <c r="C197" s="362"/>
      <c r="D197" s="362"/>
      <c r="E197" s="363"/>
      <c r="F197" s="364"/>
      <c r="G197" s="363"/>
      <c r="H197" s="363"/>
      <c r="I197" s="370"/>
      <c r="J197" s="376"/>
      <c r="K197" s="376"/>
      <c r="L197" s="363"/>
      <c r="M197" s="367"/>
    </row>
    <row r="198" customFormat="false" ht="12.75" hidden="false" customHeight="true" outlineLevel="0" collapsed="false">
      <c r="B198" s="361"/>
      <c r="C198" s="362"/>
      <c r="D198" s="362"/>
      <c r="E198" s="363"/>
      <c r="F198" s="364"/>
      <c r="G198" s="363"/>
      <c r="H198" s="370"/>
      <c r="I198" s="370"/>
      <c r="J198" s="376"/>
      <c r="K198" s="376"/>
      <c r="L198" s="363"/>
      <c r="M198" s="367"/>
    </row>
    <row r="199" customFormat="false" ht="12.75" hidden="false" customHeight="true" outlineLevel="0" collapsed="false">
      <c r="B199" s="368"/>
      <c r="C199" s="362"/>
      <c r="D199" s="362"/>
      <c r="E199" s="363"/>
      <c r="F199" s="364"/>
      <c r="G199" s="363"/>
      <c r="H199" s="363"/>
      <c r="I199" s="370"/>
      <c r="J199" s="376"/>
      <c r="K199" s="376"/>
      <c r="L199" s="363"/>
      <c r="M199" s="367"/>
    </row>
    <row r="200" customFormat="false" ht="12.75" hidden="false" customHeight="true" outlineLevel="0" collapsed="false">
      <c r="B200" s="361"/>
      <c r="C200" s="362"/>
      <c r="D200" s="362"/>
      <c r="E200" s="363"/>
      <c r="F200" s="364"/>
      <c r="G200" s="363"/>
      <c r="H200" s="363"/>
      <c r="I200" s="370"/>
      <c r="J200" s="376"/>
      <c r="K200" s="376"/>
      <c r="L200" s="363"/>
      <c r="M200" s="367"/>
    </row>
    <row r="201" customFormat="false" ht="12.75" hidden="false" customHeight="true" outlineLevel="0" collapsed="false">
      <c r="B201" s="361"/>
      <c r="C201" s="362"/>
      <c r="D201" s="362"/>
      <c r="E201" s="363"/>
      <c r="F201" s="364"/>
      <c r="G201" s="363"/>
      <c r="H201" s="363"/>
      <c r="I201" s="370"/>
      <c r="J201" s="376"/>
      <c r="K201" s="376"/>
      <c r="L201" s="363"/>
      <c r="M201" s="367"/>
    </row>
    <row r="202" customFormat="false" ht="12.75" hidden="false" customHeight="true" outlineLevel="0" collapsed="false">
      <c r="B202" s="368"/>
      <c r="C202" s="362"/>
      <c r="D202" s="362"/>
      <c r="E202" s="363"/>
      <c r="F202" s="364"/>
      <c r="G202" s="363"/>
      <c r="H202" s="363"/>
      <c r="I202" s="370"/>
      <c r="J202" s="376"/>
      <c r="K202" s="376"/>
      <c r="L202" s="363"/>
      <c r="M202" s="367"/>
    </row>
    <row r="203" customFormat="false" ht="12.75" hidden="false" customHeight="true" outlineLevel="0" collapsed="false">
      <c r="B203" s="361"/>
      <c r="C203" s="362"/>
      <c r="D203" s="362"/>
      <c r="E203" s="363"/>
      <c r="F203" s="364"/>
      <c r="G203" s="363"/>
      <c r="H203" s="363"/>
      <c r="I203" s="370"/>
      <c r="J203" s="376"/>
      <c r="K203" s="376"/>
      <c r="L203" s="363"/>
      <c r="M203" s="367"/>
    </row>
    <row r="204" customFormat="false" ht="12.75" hidden="false" customHeight="true" outlineLevel="0" collapsed="false">
      <c r="B204" s="361"/>
      <c r="C204" s="362"/>
      <c r="D204" s="362"/>
      <c r="E204" s="363"/>
      <c r="F204" s="364"/>
      <c r="G204" s="363"/>
      <c r="H204" s="363"/>
      <c r="I204" s="370"/>
      <c r="J204" s="376"/>
      <c r="K204" s="376"/>
      <c r="L204" s="363"/>
      <c r="M204" s="367"/>
    </row>
    <row r="205" customFormat="false" ht="12.75" hidden="false" customHeight="true" outlineLevel="0" collapsed="false">
      <c r="B205" s="368"/>
      <c r="C205" s="362"/>
      <c r="D205" s="362"/>
      <c r="E205" s="363"/>
      <c r="F205" s="364"/>
      <c r="G205" s="363"/>
      <c r="H205" s="363"/>
      <c r="I205" s="370"/>
      <c r="J205" s="376"/>
      <c r="K205" s="376"/>
      <c r="L205" s="363"/>
      <c r="M205" s="367"/>
    </row>
    <row r="206" customFormat="false" ht="12.75" hidden="false" customHeight="true" outlineLevel="0" collapsed="false">
      <c r="B206" s="361"/>
      <c r="C206" s="362"/>
      <c r="D206" s="362"/>
      <c r="E206" s="363"/>
      <c r="F206" s="364"/>
      <c r="G206" s="363"/>
      <c r="H206" s="363"/>
      <c r="I206" s="370"/>
      <c r="J206" s="376"/>
      <c r="K206" s="376"/>
      <c r="L206" s="363"/>
      <c r="M206" s="367"/>
    </row>
    <row r="207" customFormat="false" ht="12.75" hidden="false" customHeight="true" outlineLevel="0" collapsed="false">
      <c r="B207" s="361"/>
      <c r="C207" s="362"/>
      <c r="D207" s="362"/>
      <c r="E207" s="363"/>
      <c r="F207" s="364"/>
      <c r="G207" s="363"/>
      <c r="H207" s="363"/>
      <c r="I207" s="370"/>
      <c r="J207" s="376"/>
      <c r="K207" s="376"/>
      <c r="L207" s="363"/>
      <c r="M207" s="367"/>
    </row>
    <row r="208" customFormat="false" ht="12.75" hidden="false" customHeight="true" outlineLevel="0" collapsed="false">
      <c r="B208" s="361"/>
      <c r="C208" s="362"/>
      <c r="D208" s="362"/>
      <c r="E208" s="363"/>
      <c r="F208" s="364"/>
      <c r="G208" s="363"/>
      <c r="H208" s="363"/>
      <c r="I208" s="370"/>
      <c r="J208" s="376"/>
      <c r="K208" s="376"/>
      <c r="L208" s="363"/>
      <c r="M208" s="367"/>
    </row>
    <row r="209" customFormat="false" ht="12.75" hidden="false" customHeight="true" outlineLevel="0" collapsed="false">
      <c r="B209" s="368"/>
      <c r="C209" s="362"/>
      <c r="D209" s="362"/>
      <c r="E209" s="363"/>
      <c r="F209" s="364"/>
      <c r="G209" s="363"/>
      <c r="H209" s="363"/>
      <c r="I209" s="370"/>
      <c r="J209" s="376"/>
      <c r="K209" s="376"/>
      <c r="L209" s="363"/>
      <c r="M209" s="367"/>
    </row>
    <row r="210" customFormat="false" ht="12.75" hidden="false" customHeight="true" outlineLevel="0" collapsed="false">
      <c r="B210" s="361"/>
      <c r="C210" s="362"/>
      <c r="D210" s="362"/>
      <c r="E210" s="363"/>
      <c r="F210" s="364"/>
      <c r="G210" s="363"/>
      <c r="H210" s="363"/>
      <c r="I210" s="370"/>
      <c r="J210" s="376"/>
      <c r="K210" s="376"/>
      <c r="L210" s="363"/>
      <c r="M210" s="367"/>
    </row>
    <row r="211" customFormat="false" ht="12" hidden="false" customHeight="true" outlineLevel="0" collapsed="false">
      <c r="B211" s="361"/>
      <c r="C211" s="362"/>
      <c r="D211" s="362"/>
      <c r="E211" s="363"/>
      <c r="F211" s="374"/>
      <c r="G211" s="363"/>
      <c r="H211" s="363"/>
      <c r="I211" s="370"/>
      <c r="J211" s="363"/>
      <c r="K211" s="363"/>
      <c r="L211" s="363"/>
      <c r="M211" s="367"/>
    </row>
    <row r="212" customFormat="false" ht="12.75" hidden="false" customHeight="true" outlineLevel="0" collapsed="false">
      <c r="B212" s="368"/>
      <c r="C212" s="362"/>
      <c r="D212" s="362"/>
      <c r="E212" s="363"/>
      <c r="F212" s="374"/>
      <c r="G212" s="363"/>
      <c r="H212" s="363"/>
      <c r="I212" s="370"/>
      <c r="J212" s="363"/>
      <c r="K212" s="363"/>
      <c r="L212" s="363"/>
      <c r="M212" s="367"/>
    </row>
    <row r="213" customFormat="false" ht="12.75" hidden="false" customHeight="true" outlineLevel="0" collapsed="false">
      <c r="B213" s="361"/>
      <c r="C213" s="362"/>
      <c r="D213" s="362"/>
      <c r="E213" s="363"/>
      <c r="F213" s="374"/>
      <c r="G213" s="363"/>
      <c r="H213" s="363"/>
      <c r="I213" s="370"/>
      <c r="J213" s="363"/>
      <c r="K213" s="363"/>
      <c r="L213" s="363"/>
      <c r="M213" s="367"/>
    </row>
    <row r="214" customFormat="false" ht="12.75" hidden="false" customHeight="true" outlineLevel="0" collapsed="false">
      <c r="B214" s="368"/>
      <c r="C214" s="362"/>
      <c r="D214" s="362"/>
      <c r="E214" s="363"/>
      <c r="F214" s="374"/>
      <c r="G214" s="363"/>
      <c r="H214" s="363"/>
      <c r="I214" s="370"/>
      <c r="J214" s="363"/>
      <c r="K214" s="363"/>
      <c r="L214" s="363"/>
      <c r="M214" s="367"/>
    </row>
    <row r="215" customFormat="false" ht="12.75" hidden="false" customHeight="true" outlineLevel="0" collapsed="false">
      <c r="B215" s="361"/>
      <c r="C215" s="362"/>
      <c r="D215" s="362"/>
      <c r="E215" s="363"/>
      <c r="F215" s="374"/>
      <c r="G215" s="363"/>
      <c r="H215" s="363"/>
      <c r="I215" s="370"/>
      <c r="J215" s="363"/>
      <c r="K215" s="363"/>
      <c r="L215" s="363"/>
      <c r="M215" s="367"/>
    </row>
    <row r="216" customFormat="false" ht="12.75" hidden="false" customHeight="true" outlineLevel="0" collapsed="false">
      <c r="B216" s="368"/>
      <c r="C216" s="362"/>
      <c r="D216" s="362"/>
      <c r="E216" s="363"/>
      <c r="F216" s="374"/>
      <c r="G216" s="363"/>
      <c r="H216" s="363"/>
      <c r="I216" s="370"/>
      <c r="J216" s="363"/>
      <c r="K216" s="363"/>
      <c r="L216" s="363"/>
      <c r="M216" s="367"/>
    </row>
    <row r="217" customFormat="false" ht="12.75" hidden="false" customHeight="true" outlineLevel="0" collapsed="false">
      <c r="B217" s="361"/>
      <c r="C217" s="362"/>
      <c r="D217" s="362"/>
      <c r="E217" s="363"/>
      <c r="F217" s="374"/>
      <c r="G217" s="363"/>
      <c r="H217" s="363"/>
      <c r="I217" s="370"/>
      <c r="J217" s="363"/>
      <c r="K217" s="363"/>
      <c r="L217" s="363"/>
      <c r="M217" s="367"/>
    </row>
    <row r="218" customFormat="false" ht="12.75" hidden="false" customHeight="true" outlineLevel="0" collapsed="false">
      <c r="B218" s="368"/>
      <c r="C218" s="362"/>
      <c r="D218" s="362"/>
      <c r="E218" s="363"/>
      <c r="F218" s="374"/>
      <c r="G218" s="363"/>
      <c r="H218" s="363"/>
      <c r="I218" s="370"/>
      <c r="J218" s="363"/>
      <c r="K218" s="363"/>
      <c r="L218" s="363"/>
      <c r="M218" s="367"/>
    </row>
    <row r="219" customFormat="false" ht="12.75" hidden="false" customHeight="false" outlineLevel="0" collapsed="false">
      <c r="B219" s="361"/>
      <c r="C219" s="362"/>
      <c r="D219" s="362"/>
      <c r="E219" s="363"/>
      <c r="F219" s="374"/>
      <c r="G219" s="363"/>
      <c r="H219" s="363"/>
      <c r="I219" s="370"/>
      <c r="J219" s="363"/>
      <c r="K219" s="363"/>
      <c r="L219" s="363"/>
      <c r="M219" s="367"/>
    </row>
    <row r="220" customFormat="false" ht="12.75" hidden="false" customHeight="true" outlineLevel="0" collapsed="false">
      <c r="B220" s="368"/>
      <c r="C220" s="362"/>
      <c r="D220" s="362"/>
      <c r="E220" s="363"/>
      <c r="F220" s="374"/>
      <c r="G220" s="363"/>
      <c r="H220" s="363"/>
      <c r="I220" s="370"/>
      <c r="J220" s="363"/>
      <c r="K220" s="363"/>
      <c r="L220" s="363"/>
      <c r="M220" s="367"/>
    </row>
    <row r="221" customFormat="false" ht="12.75" hidden="false" customHeight="true" outlineLevel="0" collapsed="false">
      <c r="B221" s="361"/>
      <c r="C221" s="362"/>
      <c r="D221" s="362"/>
      <c r="E221" s="363"/>
      <c r="F221" s="374"/>
      <c r="G221" s="363"/>
      <c r="H221" s="363"/>
      <c r="I221" s="370"/>
      <c r="J221" s="363"/>
      <c r="K221" s="363"/>
      <c r="L221" s="363"/>
      <c r="M221" s="367"/>
    </row>
    <row r="222" customFormat="false" ht="12.75" hidden="false" customHeight="true" outlineLevel="0" collapsed="false">
      <c r="B222" s="361"/>
      <c r="C222" s="362"/>
      <c r="D222" s="362"/>
      <c r="E222" s="363"/>
      <c r="F222" s="374"/>
      <c r="G222" s="363"/>
      <c r="H222" s="363"/>
      <c r="I222" s="370"/>
      <c r="J222" s="363"/>
      <c r="K222" s="363"/>
      <c r="L222" s="363"/>
      <c r="M222" s="367"/>
    </row>
    <row r="223" customFormat="false" ht="12.75" hidden="false" customHeight="true" outlineLevel="0" collapsed="false">
      <c r="B223" s="368"/>
      <c r="C223" s="362"/>
      <c r="D223" s="362"/>
      <c r="E223" s="363"/>
      <c r="F223" s="374"/>
      <c r="G223" s="363"/>
      <c r="H223" s="363"/>
      <c r="I223" s="370"/>
      <c r="J223" s="363"/>
      <c r="K223" s="363"/>
      <c r="L223" s="363"/>
      <c r="M223" s="367"/>
    </row>
    <row r="224" customFormat="false" ht="12.75" hidden="false" customHeight="true" outlineLevel="0" collapsed="false">
      <c r="B224" s="361"/>
      <c r="C224" s="362"/>
      <c r="D224" s="362"/>
      <c r="E224" s="363"/>
      <c r="F224" s="374"/>
      <c r="G224" s="363"/>
      <c r="H224" s="363"/>
      <c r="I224" s="370"/>
      <c r="J224" s="363"/>
      <c r="K224" s="363"/>
      <c r="L224" s="363"/>
      <c r="M224" s="367"/>
    </row>
    <row r="225" customFormat="false" ht="12.75" hidden="false" customHeight="true" outlineLevel="0" collapsed="false">
      <c r="B225" s="361"/>
      <c r="C225" s="362"/>
      <c r="D225" s="362"/>
      <c r="E225" s="363"/>
      <c r="F225" s="374"/>
      <c r="G225" s="363"/>
      <c r="H225" s="363"/>
      <c r="I225" s="370"/>
      <c r="J225" s="363"/>
      <c r="K225" s="363"/>
      <c r="L225" s="363"/>
      <c r="M225" s="367"/>
    </row>
    <row r="226" customFormat="false" ht="12.75" hidden="false" customHeight="true" outlineLevel="0" collapsed="false">
      <c r="B226" s="368"/>
      <c r="C226" s="362"/>
      <c r="D226" s="362"/>
      <c r="E226" s="363"/>
      <c r="F226" s="374"/>
      <c r="G226" s="363"/>
      <c r="H226" s="363"/>
      <c r="I226" s="370"/>
      <c r="J226" s="363"/>
      <c r="K226" s="363"/>
      <c r="L226" s="363"/>
      <c r="M226" s="367"/>
    </row>
    <row r="227" customFormat="false" ht="12.75" hidden="false" customHeight="true" outlineLevel="0" collapsed="false">
      <c r="B227" s="361"/>
      <c r="C227" s="362"/>
      <c r="D227" s="362"/>
      <c r="E227" s="363"/>
      <c r="F227" s="374"/>
      <c r="G227" s="363"/>
      <c r="H227" s="363"/>
      <c r="I227" s="370"/>
      <c r="J227" s="363"/>
      <c r="K227" s="363"/>
      <c r="L227" s="363"/>
      <c r="M227" s="367"/>
    </row>
    <row r="228" customFormat="false" ht="12.75" hidden="false" customHeight="true" outlineLevel="0" collapsed="false">
      <c r="B228" s="368"/>
      <c r="C228" s="362"/>
      <c r="D228" s="362"/>
      <c r="E228" s="363"/>
      <c r="F228" s="374"/>
      <c r="G228" s="363"/>
      <c r="H228" s="363"/>
      <c r="I228" s="370"/>
      <c r="J228" s="363"/>
      <c r="K228" s="363"/>
      <c r="L228" s="363"/>
      <c r="M228" s="367"/>
    </row>
    <row r="229" customFormat="false" ht="12.75" hidden="false" customHeight="true" outlineLevel="0" collapsed="false">
      <c r="B229" s="361"/>
      <c r="C229" s="362"/>
      <c r="D229" s="362"/>
      <c r="E229" s="363"/>
      <c r="F229" s="374"/>
      <c r="G229" s="363"/>
      <c r="H229" s="363"/>
      <c r="I229" s="370"/>
      <c r="J229" s="363"/>
      <c r="K229" s="363"/>
      <c r="L229" s="363"/>
      <c r="M229" s="367"/>
    </row>
    <row r="230" customFormat="false" ht="12.75" hidden="false" customHeight="true" outlineLevel="0" collapsed="false">
      <c r="B230" s="368"/>
      <c r="C230" s="362"/>
      <c r="D230" s="362"/>
      <c r="E230" s="363"/>
      <c r="F230" s="374"/>
      <c r="G230" s="363"/>
      <c r="H230" s="363"/>
      <c r="I230" s="370"/>
      <c r="J230" s="363"/>
      <c r="K230" s="363"/>
      <c r="L230" s="363"/>
      <c r="M230" s="367"/>
    </row>
    <row r="231" customFormat="false" ht="12.75" hidden="false" customHeight="true" outlineLevel="0" collapsed="false">
      <c r="B231" s="361"/>
      <c r="C231" s="362"/>
      <c r="D231" s="362"/>
      <c r="E231" s="363"/>
      <c r="F231" s="374"/>
      <c r="G231" s="363"/>
      <c r="H231" s="363"/>
      <c r="I231" s="370"/>
      <c r="J231" s="363"/>
      <c r="K231" s="363"/>
      <c r="L231" s="363"/>
      <c r="M231" s="367"/>
    </row>
    <row r="232" customFormat="false" ht="12.75" hidden="false" customHeight="true" outlineLevel="0" collapsed="false">
      <c r="B232" s="361"/>
      <c r="C232" s="362"/>
      <c r="D232" s="362"/>
      <c r="E232" s="363"/>
      <c r="F232" s="374"/>
      <c r="G232" s="363"/>
      <c r="H232" s="370"/>
      <c r="I232" s="370"/>
      <c r="J232" s="363"/>
      <c r="K232" s="363"/>
      <c r="L232" s="363"/>
      <c r="M232" s="367"/>
    </row>
    <row r="233" customFormat="false" ht="12.75" hidden="false" customHeight="true" outlineLevel="0" collapsed="false">
      <c r="B233" s="368"/>
      <c r="C233" s="362"/>
      <c r="D233" s="362"/>
      <c r="E233" s="363"/>
      <c r="F233" s="374"/>
      <c r="G233" s="363"/>
      <c r="H233" s="363"/>
      <c r="I233" s="370"/>
      <c r="J233" s="363"/>
      <c r="K233" s="363"/>
      <c r="L233" s="363"/>
      <c r="M233" s="367"/>
    </row>
    <row r="234" customFormat="false" ht="12.75" hidden="false" customHeight="true" outlineLevel="0" collapsed="false">
      <c r="B234" s="361"/>
      <c r="C234" s="362"/>
      <c r="D234" s="362"/>
      <c r="E234" s="363"/>
      <c r="F234" s="374"/>
      <c r="G234" s="363"/>
      <c r="H234" s="363"/>
      <c r="I234" s="370"/>
      <c r="J234" s="363"/>
      <c r="K234" s="363"/>
      <c r="L234" s="363"/>
      <c r="M234" s="367"/>
    </row>
    <row r="235" customFormat="false" ht="12.75" hidden="false" customHeight="true" outlineLevel="0" collapsed="false">
      <c r="B235" s="368"/>
      <c r="C235" s="362"/>
      <c r="D235" s="362"/>
      <c r="E235" s="363"/>
      <c r="F235" s="374"/>
      <c r="G235" s="363"/>
      <c r="H235" s="363"/>
      <c r="I235" s="370"/>
      <c r="J235" s="363"/>
      <c r="K235" s="363"/>
      <c r="L235" s="363"/>
      <c r="M235" s="367"/>
    </row>
    <row r="236" customFormat="false" ht="12.75" hidden="false" customHeight="true" outlineLevel="0" collapsed="false">
      <c r="B236" s="361"/>
      <c r="C236" s="362"/>
      <c r="D236" s="362"/>
      <c r="E236" s="363"/>
      <c r="F236" s="374"/>
      <c r="G236" s="363"/>
      <c r="H236" s="363"/>
      <c r="I236" s="370"/>
      <c r="J236" s="363"/>
      <c r="K236" s="363"/>
      <c r="L236" s="363"/>
      <c r="M236" s="367"/>
    </row>
    <row r="237" customFormat="false" ht="12.75" hidden="false" customHeight="true" outlineLevel="0" collapsed="false">
      <c r="B237" s="368"/>
      <c r="C237" s="362"/>
      <c r="D237" s="362"/>
      <c r="E237" s="363"/>
      <c r="F237" s="374"/>
      <c r="G237" s="363"/>
      <c r="H237" s="363"/>
      <c r="I237" s="370"/>
      <c r="J237" s="363"/>
      <c r="K237" s="363"/>
      <c r="L237" s="363"/>
      <c r="M237" s="367"/>
    </row>
    <row r="238" customFormat="false" ht="12.75" hidden="false" customHeight="true" outlineLevel="0" collapsed="false">
      <c r="B238" s="361"/>
      <c r="C238" s="362"/>
      <c r="D238" s="362"/>
      <c r="E238" s="363"/>
      <c r="F238" s="374"/>
      <c r="G238" s="363"/>
      <c r="H238" s="363"/>
      <c r="I238" s="370"/>
      <c r="J238" s="363"/>
      <c r="K238" s="363"/>
      <c r="L238" s="363"/>
      <c r="M238" s="367"/>
    </row>
    <row r="239" customFormat="false" ht="12.75" hidden="false" customHeight="true" outlineLevel="0" collapsed="false">
      <c r="B239" s="368"/>
      <c r="C239" s="362"/>
      <c r="D239" s="362"/>
      <c r="E239" s="363"/>
      <c r="F239" s="374"/>
      <c r="G239" s="363"/>
      <c r="H239" s="363"/>
      <c r="I239" s="370"/>
      <c r="J239" s="363"/>
      <c r="K239" s="363"/>
      <c r="L239" s="363"/>
      <c r="M239" s="367"/>
    </row>
    <row r="240" customFormat="false" ht="12.75" hidden="false" customHeight="true" outlineLevel="0" collapsed="false">
      <c r="B240" s="361"/>
      <c r="C240" s="362"/>
      <c r="D240" s="362"/>
      <c r="E240" s="363"/>
      <c r="F240" s="374"/>
      <c r="G240" s="363"/>
      <c r="H240" s="363"/>
      <c r="I240" s="370"/>
      <c r="J240" s="363"/>
      <c r="K240" s="363"/>
      <c r="L240" s="363"/>
      <c r="M240" s="367"/>
    </row>
    <row r="241" customFormat="false" ht="12.75" hidden="false" customHeight="true" outlineLevel="0" collapsed="false">
      <c r="B241" s="368"/>
      <c r="C241" s="362"/>
      <c r="D241" s="362"/>
      <c r="E241" s="363"/>
      <c r="F241" s="374"/>
      <c r="G241" s="363"/>
      <c r="H241" s="363"/>
      <c r="I241" s="370"/>
      <c r="J241" s="363"/>
      <c r="K241" s="363"/>
      <c r="L241" s="363"/>
      <c r="M241" s="367"/>
    </row>
    <row r="242" customFormat="false" ht="12.75" hidden="false" customHeight="true" outlineLevel="0" collapsed="false">
      <c r="B242" s="361"/>
      <c r="C242" s="362"/>
      <c r="D242" s="362"/>
      <c r="E242" s="363"/>
      <c r="F242" s="374"/>
      <c r="G242" s="363"/>
      <c r="H242" s="363"/>
      <c r="I242" s="370"/>
      <c r="J242" s="363"/>
      <c r="K242" s="363"/>
      <c r="L242" s="363"/>
      <c r="M242" s="367"/>
    </row>
    <row r="243" customFormat="false" ht="12.75" hidden="false" customHeight="true" outlineLevel="0" collapsed="false">
      <c r="B243" s="361"/>
      <c r="C243" s="362"/>
      <c r="D243" s="362"/>
      <c r="E243" s="363"/>
      <c r="F243" s="374"/>
      <c r="G243" s="363"/>
      <c r="H243" s="363"/>
      <c r="I243" s="370"/>
      <c r="J243" s="363"/>
      <c r="K243" s="363"/>
      <c r="L243" s="363"/>
      <c r="M243" s="367"/>
    </row>
    <row r="244" customFormat="false" ht="12.75" hidden="false" customHeight="true" outlineLevel="0" collapsed="false">
      <c r="B244" s="368"/>
      <c r="C244" s="369"/>
      <c r="D244" s="362"/>
      <c r="E244" s="370"/>
      <c r="F244" s="375"/>
      <c r="G244" s="370"/>
      <c r="H244" s="363"/>
      <c r="I244" s="370"/>
      <c r="J244" s="370"/>
      <c r="K244" s="370"/>
      <c r="L244" s="370"/>
      <c r="M244" s="367"/>
    </row>
    <row r="245" customFormat="false" ht="12.75" hidden="false" customHeight="true" outlineLevel="0" collapsed="false">
      <c r="B245" s="361"/>
      <c r="C245" s="362"/>
      <c r="D245" s="362"/>
      <c r="E245" s="363"/>
      <c r="F245" s="364"/>
      <c r="G245" s="363"/>
      <c r="H245" s="363"/>
      <c r="I245" s="370"/>
      <c r="J245" s="376"/>
      <c r="K245" s="376"/>
      <c r="L245" s="363"/>
      <c r="M245" s="367"/>
    </row>
    <row r="246" customFormat="false" ht="12.75" hidden="false" customHeight="true" outlineLevel="0" collapsed="false">
      <c r="B246" s="361"/>
      <c r="C246" s="362"/>
      <c r="D246" s="362"/>
      <c r="E246" s="363"/>
      <c r="F246" s="364"/>
      <c r="G246" s="363"/>
      <c r="H246" s="363"/>
      <c r="I246" s="370"/>
      <c r="J246" s="376"/>
      <c r="K246" s="376"/>
      <c r="L246" s="363"/>
      <c r="M246" s="367"/>
    </row>
    <row r="247" customFormat="false" ht="12.75" hidden="false" customHeight="true" outlineLevel="0" collapsed="false">
      <c r="B247" s="368"/>
      <c r="C247" s="362"/>
      <c r="D247" s="362"/>
      <c r="E247" s="363"/>
      <c r="F247" s="364"/>
      <c r="G247" s="363"/>
      <c r="H247" s="363"/>
      <c r="I247" s="370"/>
      <c r="J247" s="376"/>
      <c r="K247" s="376"/>
      <c r="L247" s="363"/>
      <c r="M247" s="367"/>
    </row>
    <row r="248" customFormat="false" ht="12.75" hidden="false" customHeight="true" outlineLevel="0" collapsed="false">
      <c r="B248" s="361"/>
      <c r="C248" s="362"/>
      <c r="D248" s="362"/>
      <c r="E248" s="363"/>
      <c r="F248" s="364"/>
      <c r="G248" s="363"/>
      <c r="H248" s="363"/>
      <c r="I248" s="370"/>
      <c r="J248" s="376"/>
      <c r="K248" s="376"/>
      <c r="L248" s="363"/>
      <c r="M248" s="367"/>
    </row>
    <row r="249" customFormat="false" ht="12.75" hidden="false" customHeight="true" outlineLevel="0" collapsed="false">
      <c r="B249" s="361"/>
      <c r="C249" s="362"/>
      <c r="D249" s="362"/>
      <c r="E249" s="363"/>
      <c r="F249" s="364"/>
      <c r="G249" s="363"/>
      <c r="H249" s="370"/>
      <c r="I249" s="370"/>
      <c r="J249" s="376"/>
      <c r="K249" s="376"/>
      <c r="L249" s="363"/>
      <c r="M249" s="367"/>
    </row>
    <row r="250" customFormat="false" ht="12.75" hidden="false" customHeight="true" outlineLevel="0" collapsed="false">
      <c r="B250" s="368"/>
      <c r="C250" s="362"/>
      <c r="D250" s="362"/>
      <c r="E250" s="363"/>
      <c r="F250" s="364"/>
      <c r="G250" s="363"/>
      <c r="H250" s="363"/>
      <c r="I250" s="370"/>
      <c r="J250" s="376"/>
      <c r="K250" s="376"/>
      <c r="L250" s="363"/>
      <c r="M250" s="367"/>
    </row>
    <row r="251" customFormat="false" ht="12.75" hidden="false" customHeight="true" outlineLevel="0" collapsed="false">
      <c r="B251" s="361"/>
      <c r="C251" s="362"/>
      <c r="D251" s="362"/>
      <c r="E251" s="363"/>
      <c r="F251" s="364"/>
      <c r="G251" s="363"/>
      <c r="H251" s="363"/>
      <c r="I251" s="370"/>
      <c r="J251" s="376"/>
      <c r="K251" s="376"/>
      <c r="L251" s="363"/>
      <c r="M251" s="367"/>
    </row>
    <row r="252" customFormat="false" ht="12.75" hidden="false" customHeight="true" outlineLevel="0" collapsed="false">
      <c r="B252" s="361"/>
      <c r="C252" s="362"/>
      <c r="D252" s="362"/>
      <c r="E252" s="363"/>
      <c r="F252" s="364"/>
      <c r="G252" s="363"/>
      <c r="H252" s="363"/>
      <c r="I252" s="370"/>
      <c r="J252" s="376"/>
      <c r="K252" s="376"/>
      <c r="L252" s="363"/>
      <c r="M252" s="367"/>
    </row>
    <row r="253" customFormat="false" ht="12.75" hidden="false" customHeight="true" outlineLevel="0" collapsed="false">
      <c r="B253" s="368"/>
      <c r="C253" s="362"/>
      <c r="D253" s="362"/>
      <c r="E253" s="363"/>
      <c r="F253" s="364"/>
      <c r="G253" s="363"/>
      <c r="H253" s="363"/>
      <c r="I253" s="370"/>
      <c r="J253" s="376"/>
      <c r="K253" s="376"/>
      <c r="L253" s="363"/>
      <c r="M253" s="367"/>
    </row>
    <row r="254" customFormat="false" ht="12.75" hidden="false" customHeight="true" outlineLevel="0" collapsed="false">
      <c r="B254" s="361"/>
      <c r="C254" s="362"/>
      <c r="D254" s="362"/>
      <c r="E254" s="363"/>
      <c r="F254" s="364"/>
      <c r="G254" s="363"/>
      <c r="H254" s="363"/>
      <c r="I254" s="370"/>
      <c r="J254" s="376"/>
      <c r="K254" s="376"/>
      <c r="L254" s="363"/>
      <c r="M254" s="367"/>
    </row>
    <row r="255" customFormat="false" ht="12.75" hidden="false" customHeight="true" outlineLevel="0" collapsed="false">
      <c r="B255" s="368"/>
      <c r="C255" s="362"/>
      <c r="D255" s="362"/>
      <c r="E255" s="363"/>
      <c r="F255" s="364"/>
      <c r="G255" s="363"/>
      <c r="H255" s="363"/>
      <c r="I255" s="370"/>
      <c r="J255" s="376"/>
      <c r="K255" s="377"/>
      <c r="L255" s="363"/>
      <c r="M255" s="367"/>
    </row>
    <row r="256" customFormat="false" ht="12.75" hidden="false" customHeight="true" outlineLevel="0" collapsed="false">
      <c r="B256" s="361"/>
      <c r="C256" s="362"/>
      <c r="D256" s="362"/>
      <c r="E256" s="363"/>
      <c r="F256" s="364"/>
      <c r="G256" s="363"/>
      <c r="H256" s="363"/>
      <c r="I256" s="370"/>
      <c r="J256" s="376"/>
      <c r="K256" s="376"/>
      <c r="L256" s="363"/>
      <c r="M256" s="367"/>
    </row>
    <row r="257" customFormat="false" ht="12.75" hidden="false" customHeight="true" outlineLevel="0" collapsed="false">
      <c r="B257" s="361"/>
      <c r="C257" s="362"/>
      <c r="D257" s="362"/>
      <c r="E257" s="363"/>
      <c r="F257" s="364"/>
      <c r="G257" s="363"/>
      <c r="H257" s="370"/>
      <c r="I257" s="370"/>
      <c r="J257" s="376"/>
      <c r="K257" s="376"/>
      <c r="L257" s="363"/>
      <c r="M257" s="367"/>
    </row>
    <row r="258" customFormat="false" ht="12.75" hidden="false" customHeight="true" outlineLevel="0" collapsed="false">
      <c r="B258" s="368"/>
      <c r="C258" s="362"/>
      <c r="D258" s="362"/>
      <c r="E258" s="363"/>
      <c r="F258" s="364"/>
      <c r="G258" s="363"/>
      <c r="H258" s="363"/>
      <c r="I258" s="370"/>
      <c r="J258" s="376"/>
      <c r="K258" s="376"/>
      <c r="L258" s="363"/>
      <c r="M258" s="367"/>
    </row>
    <row r="259" customFormat="false" ht="12.75" hidden="false" customHeight="true" outlineLevel="0" collapsed="false">
      <c r="B259" s="361"/>
      <c r="C259" s="362"/>
      <c r="D259" s="362"/>
      <c r="E259" s="363"/>
      <c r="F259" s="364"/>
      <c r="G259" s="363"/>
      <c r="H259" s="363"/>
      <c r="I259" s="370"/>
      <c r="J259" s="376"/>
      <c r="K259" s="376"/>
      <c r="L259" s="363"/>
      <c r="M259" s="367"/>
    </row>
    <row r="260" customFormat="false" ht="12.75" hidden="false" customHeight="true" outlineLevel="0" collapsed="false">
      <c r="B260" s="361"/>
      <c r="C260" s="362"/>
      <c r="D260" s="362"/>
      <c r="E260" s="363"/>
      <c r="F260" s="364"/>
      <c r="G260" s="363"/>
      <c r="H260" s="363"/>
      <c r="I260" s="370"/>
      <c r="J260" s="376"/>
      <c r="K260" s="376"/>
      <c r="L260" s="363"/>
      <c r="M260" s="367"/>
    </row>
    <row r="261" customFormat="false" ht="12.75" hidden="false" customHeight="true" outlineLevel="0" collapsed="false">
      <c r="B261" s="361"/>
      <c r="C261" s="362"/>
      <c r="D261" s="362"/>
      <c r="E261" s="363"/>
      <c r="F261" s="364"/>
      <c r="G261" s="363"/>
      <c r="H261" s="363"/>
      <c r="I261" s="370"/>
      <c r="J261" s="376"/>
      <c r="K261" s="376"/>
      <c r="L261" s="363"/>
      <c r="M261" s="367"/>
    </row>
    <row r="262" customFormat="false" ht="12.75" hidden="false" customHeight="true" outlineLevel="0" collapsed="false">
      <c r="B262" s="368"/>
      <c r="C262" s="362"/>
      <c r="D262" s="362"/>
      <c r="E262" s="363"/>
      <c r="F262" s="364"/>
      <c r="G262" s="363"/>
      <c r="H262" s="363"/>
      <c r="I262" s="370"/>
      <c r="J262" s="376"/>
      <c r="K262" s="376"/>
      <c r="L262" s="363"/>
      <c r="M262" s="367"/>
    </row>
    <row r="263" customFormat="false" ht="12.75" hidden="false" customHeight="true" outlineLevel="0" collapsed="false">
      <c r="B263" s="361"/>
      <c r="C263" s="362"/>
      <c r="D263" s="362"/>
      <c r="E263" s="363"/>
      <c r="F263" s="364"/>
      <c r="G263" s="363"/>
      <c r="H263" s="363"/>
      <c r="I263" s="370"/>
      <c r="J263" s="376"/>
      <c r="K263" s="376"/>
      <c r="L263" s="363"/>
      <c r="M263" s="367"/>
    </row>
    <row r="264" customFormat="false" ht="12.75" hidden="false" customHeight="true" outlineLevel="0" collapsed="false">
      <c r="B264" s="361"/>
      <c r="C264" s="362"/>
      <c r="D264" s="362"/>
      <c r="E264" s="363"/>
      <c r="F264" s="364"/>
      <c r="G264" s="363"/>
      <c r="H264" s="363"/>
      <c r="I264" s="370"/>
      <c r="J264" s="376"/>
      <c r="K264" s="376"/>
      <c r="L264" s="363"/>
      <c r="M264" s="367"/>
    </row>
    <row r="265" customFormat="false" ht="12.75" hidden="false" customHeight="true" outlineLevel="0" collapsed="false">
      <c r="B265" s="368"/>
      <c r="C265" s="362"/>
      <c r="D265" s="362"/>
      <c r="E265" s="363"/>
      <c r="F265" s="364"/>
      <c r="G265" s="363"/>
      <c r="H265" s="363"/>
      <c r="I265" s="370"/>
      <c r="J265" s="376"/>
      <c r="K265" s="376"/>
      <c r="L265" s="363"/>
      <c r="M265" s="367"/>
    </row>
    <row r="266" customFormat="false" ht="12.75" hidden="false" customHeight="true" outlineLevel="0" collapsed="false">
      <c r="B266" s="361"/>
      <c r="C266" s="362"/>
      <c r="D266" s="362"/>
      <c r="E266" s="363"/>
      <c r="F266" s="364"/>
      <c r="G266" s="363"/>
      <c r="H266" s="363"/>
      <c r="I266" s="370"/>
      <c r="J266" s="376"/>
      <c r="K266" s="376"/>
      <c r="L266" s="363"/>
      <c r="M266" s="367"/>
    </row>
    <row r="267" customFormat="false" ht="12.75" hidden="false" customHeight="true" outlineLevel="0" collapsed="false">
      <c r="B267" s="361"/>
      <c r="C267" s="362"/>
      <c r="D267" s="362"/>
      <c r="E267" s="363"/>
      <c r="F267" s="364"/>
      <c r="G267" s="363"/>
      <c r="H267" s="363"/>
      <c r="I267" s="370"/>
      <c r="J267" s="376"/>
      <c r="K267" s="376"/>
      <c r="L267" s="363"/>
      <c r="M267" s="367"/>
    </row>
    <row r="268" customFormat="false" ht="12.75" hidden="false" customHeight="true" outlineLevel="0" collapsed="false">
      <c r="B268" s="368"/>
      <c r="C268" s="362"/>
      <c r="D268" s="362"/>
      <c r="E268" s="363"/>
      <c r="F268" s="364"/>
      <c r="G268" s="363"/>
      <c r="H268" s="363"/>
      <c r="I268" s="370"/>
      <c r="J268" s="376"/>
      <c r="K268" s="376"/>
      <c r="L268" s="363"/>
      <c r="M268" s="367"/>
    </row>
    <row r="269" customFormat="false" ht="12.75" hidden="false" customHeight="true" outlineLevel="0" collapsed="false">
      <c r="B269" s="361"/>
      <c r="C269" s="362"/>
      <c r="D269" s="362"/>
      <c r="E269" s="363"/>
      <c r="F269" s="364"/>
      <c r="G269" s="363"/>
      <c r="H269" s="363"/>
      <c r="I269" s="370"/>
      <c r="J269" s="376"/>
      <c r="K269" s="376"/>
      <c r="L269" s="363"/>
      <c r="M269" s="367"/>
    </row>
    <row r="270" customFormat="false" ht="12.75" hidden="false" customHeight="true" outlineLevel="0" collapsed="false">
      <c r="B270" s="361"/>
      <c r="C270" s="362"/>
      <c r="D270" s="362"/>
      <c r="E270" s="363"/>
      <c r="F270" s="364"/>
      <c r="G270" s="363"/>
      <c r="H270" s="363"/>
      <c r="I270" s="370"/>
      <c r="J270" s="376"/>
      <c r="K270" s="376"/>
      <c r="L270" s="363"/>
      <c r="M270" s="367"/>
    </row>
    <row r="271" customFormat="false" ht="12.75" hidden="false" customHeight="true" outlineLevel="0" collapsed="false">
      <c r="B271" s="368"/>
      <c r="C271" s="362"/>
      <c r="D271" s="362"/>
      <c r="E271" s="363"/>
      <c r="F271" s="364"/>
      <c r="G271" s="363"/>
      <c r="H271" s="363"/>
      <c r="I271" s="370"/>
      <c r="J271" s="376"/>
      <c r="K271" s="376"/>
      <c r="L271" s="363"/>
      <c r="M271" s="367"/>
    </row>
    <row r="272" customFormat="false" ht="12.75" hidden="false" customHeight="true" outlineLevel="0" collapsed="false">
      <c r="B272" s="361"/>
      <c r="C272" s="362"/>
      <c r="D272" s="362"/>
      <c r="E272" s="363"/>
      <c r="F272" s="364"/>
      <c r="G272" s="363"/>
      <c r="H272" s="363"/>
      <c r="I272" s="370"/>
      <c r="J272" s="376"/>
      <c r="K272" s="376"/>
      <c r="L272" s="363"/>
      <c r="M272" s="367"/>
    </row>
    <row r="273" customFormat="false" ht="12.75" hidden="false" customHeight="true" outlineLevel="0" collapsed="false">
      <c r="B273" s="361"/>
      <c r="C273" s="362"/>
      <c r="D273" s="362"/>
      <c r="E273" s="363"/>
      <c r="F273" s="364"/>
      <c r="G273" s="363"/>
      <c r="H273" s="370"/>
      <c r="I273" s="370"/>
      <c r="J273" s="376"/>
      <c r="K273" s="376"/>
      <c r="L273" s="363"/>
      <c r="M273" s="367"/>
    </row>
    <row r="274" customFormat="false" ht="12.75" hidden="false" customHeight="true" outlineLevel="0" collapsed="false">
      <c r="B274" s="368"/>
      <c r="C274" s="362"/>
      <c r="D274" s="362"/>
      <c r="E274" s="363"/>
      <c r="F274" s="364"/>
      <c r="G274" s="363"/>
      <c r="H274" s="363"/>
      <c r="I274" s="370"/>
      <c r="J274" s="376"/>
      <c r="K274" s="376"/>
      <c r="L274" s="363"/>
      <c r="M274" s="367"/>
    </row>
    <row r="275" customFormat="false" ht="12.75" hidden="false" customHeight="true" outlineLevel="0" collapsed="false">
      <c r="B275" s="361"/>
      <c r="C275" s="362"/>
      <c r="D275" s="362"/>
      <c r="E275" s="363"/>
      <c r="F275" s="364"/>
      <c r="G275" s="363"/>
      <c r="H275" s="363"/>
      <c r="I275" s="370"/>
      <c r="J275" s="376"/>
      <c r="K275" s="376"/>
      <c r="L275" s="363"/>
      <c r="M275" s="367"/>
    </row>
    <row r="276" customFormat="false" ht="12.75" hidden="false" customHeight="true" outlineLevel="0" collapsed="false">
      <c r="B276" s="361"/>
      <c r="C276" s="362"/>
      <c r="D276" s="362"/>
      <c r="E276" s="363"/>
      <c r="F276" s="364"/>
      <c r="G276" s="363"/>
      <c r="H276" s="363"/>
      <c r="I276" s="370"/>
      <c r="J276" s="376"/>
      <c r="K276" s="376"/>
      <c r="L276" s="363"/>
      <c r="M276" s="367"/>
    </row>
    <row r="277" customFormat="false" ht="12.75" hidden="false" customHeight="true" outlineLevel="0" collapsed="false">
      <c r="B277" s="368"/>
      <c r="C277" s="362"/>
      <c r="D277" s="362"/>
      <c r="E277" s="363"/>
      <c r="F277" s="364"/>
      <c r="G277" s="363"/>
      <c r="H277" s="363"/>
      <c r="I277" s="370"/>
      <c r="J277" s="376"/>
      <c r="K277" s="376"/>
      <c r="L277" s="363"/>
      <c r="M277" s="367"/>
    </row>
    <row r="278" customFormat="false" ht="12.75" hidden="false" customHeight="true" outlineLevel="0" collapsed="false">
      <c r="B278" s="361"/>
      <c r="C278" s="362"/>
      <c r="D278" s="362"/>
      <c r="E278" s="363"/>
      <c r="F278" s="364"/>
      <c r="G278" s="363"/>
      <c r="H278" s="363"/>
      <c r="I278" s="370"/>
      <c r="J278" s="376"/>
      <c r="K278" s="376"/>
      <c r="L278" s="363"/>
      <c r="M278" s="367"/>
    </row>
    <row r="279" customFormat="false" ht="12.75" hidden="false" customHeight="true" outlineLevel="0" collapsed="false">
      <c r="B279" s="368"/>
      <c r="C279" s="362"/>
      <c r="D279" s="362"/>
      <c r="E279" s="363"/>
      <c r="F279" s="364"/>
      <c r="G279" s="363"/>
      <c r="H279" s="363"/>
      <c r="I279" s="370"/>
      <c r="J279" s="376"/>
      <c r="K279" s="377"/>
      <c r="L279" s="363"/>
      <c r="M279" s="367"/>
    </row>
    <row r="280" customFormat="false" ht="12.75" hidden="false" customHeight="true" outlineLevel="0" collapsed="false">
      <c r="B280" s="361"/>
      <c r="C280" s="362"/>
      <c r="D280" s="362"/>
      <c r="E280" s="363"/>
      <c r="F280" s="364"/>
      <c r="G280" s="363"/>
      <c r="H280" s="363"/>
      <c r="I280" s="370"/>
      <c r="J280" s="376"/>
      <c r="K280" s="376"/>
      <c r="L280" s="363"/>
      <c r="M280" s="367"/>
    </row>
    <row r="281" customFormat="false" ht="12.75" hidden="false" customHeight="true" outlineLevel="0" collapsed="false">
      <c r="B281" s="361"/>
      <c r="C281" s="362"/>
      <c r="D281" s="362"/>
      <c r="E281" s="363"/>
      <c r="F281" s="364"/>
      <c r="G281" s="363"/>
      <c r="H281" s="370"/>
      <c r="I281" s="370"/>
      <c r="J281" s="376"/>
      <c r="K281" s="376"/>
      <c r="L281" s="363"/>
      <c r="M281" s="367"/>
    </row>
    <row r="282" customFormat="false" ht="12.75" hidden="false" customHeight="true" outlineLevel="0" collapsed="false">
      <c r="B282" s="368"/>
      <c r="C282" s="362"/>
      <c r="D282" s="362"/>
      <c r="E282" s="363"/>
      <c r="F282" s="364"/>
      <c r="G282" s="363"/>
      <c r="H282" s="363"/>
      <c r="I282" s="370"/>
      <c r="J282" s="376"/>
      <c r="K282" s="376"/>
      <c r="L282" s="363"/>
      <c r="M282" s="367"/>
    </row>
    <row r="283" customFormat="false" ht="12.75" hidden="false" customHeight="true" outlineLevel="0" collapsed="false">
      <c r="B283" s="361"/>
      <c r="C283" s="362"/>
      <c r="D283" s="362"/>
      <c r="E283" s="363"/>
      <c r="F283" s="364"/>
      <c r="G283" s="363"/>
      <c r="H283" s="363"/>
      <c r="I283" s="370"/>
      <c r="J283" s="376"/>
      <c r="K283" s="376"/>
      <c r="L283" s="363"/>
      <c r="M283" s="367"/>
    </row>
    <row r="284" customFormat="false" ht="12.75" hidden="false" customHeight="true" outlineLevel="0" collapsed="false">
      <c r="B284" s="361"/>
      <c r="C284" s="362"/>
      <c r="D284" s="362"/>
      <c r="E284" s="363"/>
      <c r="F284" s="364"/>
      <c r="G284" s="363"/>
      <c r="H284" s="363"/>
      <c r="I284" s="370"/>
      <c r="J284" s="376"/>
      <c r="K284" s="376"/>
      <c r="L284" s="363"/>
      <c r="M284" s="367"/>
    </row>
    <row r="285" customFormat="false" ht="12.75" hidden="false" customHeight="true" outlineLevel="0" collapsed="false">
      <c r="B285" s="361"/>
      <c r="C285" s="362"/>
      <c r="D285" s="362"/>
      <c r="E285" s="363"/>
      <c r="F285" s="364"/>
      <c r="G285" s="363"/>
      <c r="H285" s="363"/>
      <c r="I285" s="370"/>
      <c r="J285" s="376"/>
      <c r="K285" s="376"/>
      <c r="L285" s="363"/>
      <c r="M285" s="367"/>
    </row>
    <row r="286" customFormat="false" ht="12.75" hidden="false" customHeight="true" outlineLevel="0" collapsed="false">
      <c r="B286" s="368"/>
      <c r="C286" s="362"/>
      <c r="D286" s="362"/>
      <c r="E286" s="363"/>
      <c r="F286" s="364"/>
      <c r="G286" s="363"/>
      <c r="H286" s="363"/>
      <c r="I286" s="370"/>
      <c r="J286" s="376"/>
      <c r="K286" s="376"/>
      <c r="L286" s="363"/>
      <c r="M286" s="367"/>
    </row>
    <row r="287" customFormat="false" ht="12.75" hidden="false" customHeight="true" outlineLevel="0" collapsed="false">
      <c r="B287" s="361"/>
      <c r="C287" s="362"/>
      <c r="D287" s="362"/>
      <c r="E287" s="363"/>
      <c r="F287" s="364"/>
      <c r="G287" s="363"/>
      <c r="H287" s="363"/>
      <c r="I287" s="370"/>
      <c r="J287" s="376"/>
      <c r="K287" s="376"/>
      <c r="L287" s="363"/>
      <c r="M287" s="367"/>
    </row>
    <row r="288" customFormat="false" ht="12.75" hidden="false" customHeight="true" outlineLevel="0" collapsed="false">
      <c r="B288" s="361"/>
      <c r="C288" s="362"/>
      <c r="D288" s="362"/>
      <c r="E288" s="363"/>
      <c r="F288" s="364"/>
      <c r="G288" s="363"/>
      <c r="H288" s="363"/>
      <c r="I288" s="370"/>
      <c r="J288" s="376"/>
      <c r="K288" s="376"/>
      <c r="L288" s="363"/>
      <c r="M288" s="367"/>
    </row>
    <row r="289" customFormat="false" ht="12.75" hidden="false" customHeight="true" outlineLevel="0" collapsed="false">
      <c r="B289" s="368"/>
      <c r="C289" s="362"/>
      <c r="D289" s="362"/>
      <c r="E289" s="363"/>
      <c r="F289" s="364"/>
      <c r="G289" s="363"/>
      <c r="H289" s="363"/>
      <c r="I289" s="370"/>
      <c r="J289" s="376"/>
      <c r="K289" s="376"/>
      <c r="L289" s="363"/>
      <c r="M289" s="367"/>
    </row>
    <row r="290" customFormat="false" ht="12.75" hidden="false" customHeight="true" outlineLevel="0" collapsed="false">
      <c r="B290" s="361"/>
      <c r="C290" s="362"/>
      <c r="D290" s="362"/>
      <c r="E290" s="363"/>
      <c r="F290" s="364"/>
      <c r="G290" s="363"/>
      <c r="H290" s="363"/>
      <c r="I290" s="370"/>
      <c r="J290" s="376"/>
      <c r="K290" s="376"/>
      <c r="L290" s="363"/>
      <c r="M290" s="367"/>
    </row>
    <row r="291" customFormat="false" ht="12.75" hidden="false" customHeight="true" outlineLevel="0" collapsed="false">
      <c r="B291" s="361"/>
      <c r="C291" s="362"/>
      <c r="D291" s="362"/>
      <c r="E291" s="363"/>
      <c r="F291" s="364"/>
      <c r="G291" s="363"/>
      <c r="H291" s="363"/>
      <c r="I291" s="370"/>
      <c r="J291" s="376"/>
      <c r="K291" s="376"/>
      <c r="L291" s="363"/>
      <c r="M291" s="367"/>
    </row>
    <row r="292" customFormat="false" ht="12.75" hidden="false" customHeight="true" outlineLevel="0" collapsed="false">
      <c r="B292" s="368"/>
      <c r="C292" s="362"/>
      <c r="D292" s="362"/>
      <c r="E292" s="363"/>
      <c r="F292" s="364"/>
      <c r="G292" s="363"/>
      <c r="H292" s="363"/>
      <c r="I292" s="370"/>
      <c r="J292" s="376"/>
      <c r="K292" s="376"/>
      <c r="L292" s="363"/>
      <c r="M292" s="367"/>
    </row>
    <row r="293" customFormat="false" ht="12.75" hidden="false" customHeight="true" outlineLevel="0" collapsed="false">
      <c r="B293" s="361"/>
      <c r="C293" s="362"/>
      <c r="D293" s="362"/>
      <c r="E293" s="363"/>
      <c r="F293" s="364"/>
      <c r="G293" s="363"/>
      <c r="H293" s="363"/>
      <c r="I293" s="370"/>
      <c r="J293" s="376"/>
      <c r="K293" s="376"/>
      <c r="L293" s="363"/>
      <c r="M293" s="367"/>
    </row>
    <row r="294" customFormat="false" ht="12.75" hidden="false" customHeight="true" outlineLevel="0" collapsed="false">
      <c r="B294" s="368"/>
      <c r="C294" s="362"/>
      <c r="D294" s="362"/>
      <c r="E294" s="363"/>
      <c r="F294" s="364"/>
      <c r="G294" s="363"/>
      <c r="H294" s="363"/>
      <c r="I294" s="370"/>
      <c r="J294" s="376"/>
      <c r="K294" s="376"/>
      <c r="L294" s="363"/>
      <c r="M294" s="367"/>
    </row>
    <row r="295" customFormat="false" ht="12.75" hidden="false" customHeight="true" outlineLevel="0" collapsed="false">
      <c r="B295" s="361"/>
      <c r="C295" s="362"/>
      <c r="D295" s="362"/>
      <c r="E295" s="363"/>
      <c r="F295" s="364"/>
      <c r="G295" s="363"/>
      <c r="H295" s="363"/>
      <c r="I295" s="370"/>
      <c r="J295" s="376"/>
      <c r="K295" s="376"/>
      <c r="L295" s="363"/>
      <c r="M295" s="367"/>
    </row>
    <row r="296" customFormat="false" ht="12.75" hidden="false" customHeight="true" outlineLevel="0" collapsed="false">
      <c r="B296" s="361"/>
      <c r="C296" s="362"/>
      <c r="D296" s="362"/>
      <c r="E296" s="363"/>
      <c r="F296" s="364"/>
      <c r="G296" s="363"/>
      <c r="H296" s="363"/>
      <c r="I296" s="370"/>
      <c r="J296" s="376"/>
      <c r="K296" s="376"/>
      <c r="L296" s="363"/>
      <c r="M296" s="367"/>
    </row>
    <row r="297" customFormat="false" ht="12.75" hidden="false" customHeight="true" outlineLevel="0" collapsed="false">
      <c r="B297" s="368"/>
      <c r="C297" s="362"/>
      <c r="D297" s="362"/>
      <c r="E297" s="363"/>
      <c r="F297" s="364"/>
      <c r="G297" s="363"/>
      <c r="H297" s="363"/>
      <c r="I297" s="370"/>
      <c r="J297" s="376"/>
      <c r="K297" s="376"/>
      <c r="L297" s="363"/>
      <c r="M297" s="367"/>
    </row>
    <row r="298" customFormat="false" ht="12.75" hidden="false" customHeight="true" outlineLevel="0" collapsed="false">
      <c r="B298" s="361"/>
      <c r="C298" s="362"/>
      <c r="D298" s="362"/>
      <c r="E298" s="363"/>
      <c r="F298" s="364"/>
      <c r="G298" s="363"/>
      <c r="H298" s="363"/>
      <c r="I298" s="370"/>
      <c r="J298" s="376"/>
      <c r="K298" s="376"/>
      <c r="L298" s="363"/>
      <c r="M298" s="367"/>
    </row>
    <row r="299" customFormat="false" ht="12.75" hidden="false" customHeight="true" outlineLevel="0" collapsed="false">
      <c r="B299" s="361"/>
      <c r="C299" s="362"/>
      <c r="D299" s="362"/>
      <c r="E299" s="363"/>
      <c r="F299" s="364"/>
      <c r="G299" s="363"/>
      <c r="H299" s="363"/>
      <c r="I299" s="370"/>
      <c r="J299" s="376"/>
      <c r="K299" s="376"/>
      <c r="L299" s="363"/>
      <c r="M299" s="367"/>
    </row>
    <row r="300" customFormat="false" ht="12.75" hidden="false" customHeight="true" outlineLevel="0" collapsed="false">
      <c r="B300" s="368"/>
      <c r="C300" s="362"/>
      <c r="D300" s="362"/>
      <c r="E300" s="363"/>
      <c r="F300" s="364"/>
      <c r="G300" s="363"/>
      <c r="H300" s="363"/>
      <c r="I300" s="370"/>
      <c r="J300" s="376"/>
      <c r="K300" s="376"/>
      <c r="L300" s="363"/>
      <c r="M300" s="367"/>
    </row>
    <row r="301" customFormat="false" ht="12.75" hidden="false" customHeight="true" outlineLevel="0" collapsed="false">
      <c r="B301" s="361"/>
      <c r="C301" s="362"/>
      <c r="D301" s="362"/>
      <c r="E301" s="363"/>
      <c r="F301" s="364"/>
      <c r="G301" s="363"/>
      <c r="H301" s="363"/>
      <c r="I301" s="370"/>
      <c r="J301" s="376"/>
      <c r="K301" s="376"/>
      <c r="L301" s="363"/>
      <c r="M301" s="367"/>
    </row>
    <row r="302" customFormat="false" ht="12.75" hidden="false" customHeight="true" outlineLevel="0" collapsed="false">
      <c r="B302" s="368"/>
      <c r="C302" s="362"/>
      <c r="D302" s="362"/>
      <c r="E302" s="363"/>
      <c r="F302" s="364"/>
      <c r="G302" s="363"/>
      <c r="H302" s="363"/>
      <c r="I302" s="370"/>
      <c r="J302" s="376"/>
      <c r="K302" s="377"/>
      <c r="L302" s="363"/>
      <c r="M302" s="367"/>
    </row>
    <row r="303" customFormat="false" ht="12.75" hidden="false" customHeight="true" outlineLevel="0" collapsed="false">
      <c r="B303" s="361"/>
      <c r="C303" s="362"/>
      <c r="D303" s="362"/>
      <c r="E303" s="363"/>
      <c r="F303" s="364"/>
      <c r="G303" s="363"/>
      <c r="H303" s="363"/>
      <c r="I303" s="370"/>
      <c r="J303" s="376"/>
      <c r="K303" s="376"/>
      <c r="L303" s="363"/>
      <c r="M303" s="367"/>
    </row>
    <row r="304" customFormat="false" ht="12.75" hidden="false" customHeight="true" outlineLevel="0" collapsed="false">
      <c r="B304" s="361"/>
      <c r="C304" s="362"/>
      <c r="D304" s="362"/>
      <c r="E304" s="363"/>
      <c r="F304" s="364"/>
      <c r="G304" s="363"/>
      <c r="H304" s="370"/>
      <c r="I304" s="370"/>
      <c r="J304" s="376"/>
      <c r="K304" s="376"/>
      <c r="L304" s="363"/>
      <c r="M304" s="367"/>
    </row>
    <row r="305" customFormat="false" ht="12.75" hidden="false" customHeight="true" outlineLevel="0" collapsed="false">
      <c r="B305" s="368"/>
      <c r="C305" s="362"/>
      <c r="D305" s="362"/>
      <c r="E305" s="363"/>
      <c r="F305" s="364"/>
      <c r="G305" s="363"/>
      <c r="H305" s="363"/>
      <c r="I305" s="370"/>
      <c r="J305" s="376"/>
      <c r="K305" s="376"/>
      <c r="L305" s="363"/>
      <c r="M305" s="367"/>
    </row>
    <row r="306" customFormat="false" ht="12.75" hidden="false" customHeight="true" outlineLevel="0" collapsed="false">
      <c r="B306" s="361"/>
      <c r="C306" s="362"/>
      <c r="D306" s="362"/>
      <c r="E306" s="363"/>
      <c r="F306" s="364"/>
      <c r="G306" s="363"/>
      <c r="H306" s="363"/>
      <c r="I306" s="370"/>
      <c r="J306" s="376"/>
      <c r="K306" s="376"/>
      <c r="L306" s="363"/>
      <c r="M306" s="367"/>
    </row>
    <row r="307" customFormat="false" ht="12.75" hidden="false" customHeight="true" outlineLevel="0" collapsed="false">
      <c r="B307" s="361"/>
      <c r="C307" s="362"/>
      <c r="D307" s="362"/>
      <c r="E307" s="363"/>
      <c r="F307" s="364"/>
      <c r="G307" s="363"/>
      <c r="H307" s="363"/>
      <c r="I307" s="370"/>
      <c r="J307" s="376"/>
      <c r="K307" s="376"/>
      <c r="L307" s="363"/>
      <c r="M307" s="367"/>
    </row>
    <row r="308" customFormat="false" ht="12.75" hidden="false" customHeight="true" outlineLevel="0" collapsed="false">
      <c r="B308" s="361"/>
      <c r="C308" s="362"/>
      <c r="D308" s="362"/>
      <c r="E308" s="363"/>
      <c r="F308" s="364"/>
      <c r="G308" s="363"/>
      <c r="H308" s="363"/>
      <c r="I308" s="370"/>
      <c r="J308" s="376"/>
      <c r="K308" s="376"/>
      <c r="L308" s="363"/>
      <c r="M308" s="367"/>
    </row>
    <row r="309" customFormat="false" ht="12.75" hidden="false" customHeight="true" outlineLevel="0" collapsed="false">
      <c r="B309" s="368"/>
      <c r="C309" s="362"/>
      <c r="D309" s="362"/>
      <c r="E309" s="363"/>
      <c r="F309" s="364"/>
      <c r="G309" s="363"/>
      <c r="H309" s="363"/>
      <c r="I309" s="370"/>
      <c r="J309" s="376"/>
      <c r="K309" s="376"/>
      <c r="L309" s="363"/>
      <c r="M309" s="367"/>
    </row>
    <row r="310" customFormat="false" ht="12.75" hidden="false" customHeight="true" outlineLevel="0" collapsed="false">
      <c r="B310" s="361"/>
      <c r="C310" s="362"/>
      <c r="D310" s="362"/>
      <c r="E310" s="363"/>
      <c r="F310" s="364"/>
      <c r="G310" s="363"/>
      <c r="H310" s="363"/>
      <c r="I310" s="370"/>
      <c r="J310" s="376"/>
      <c r="K310" s="376"/>
      <c r="L310" s="363"/>
      <c r="M310" s="367"/>
    </row>
    <row r="311" customFormat="false" ht="12.75" hidden="false" customHeight="true" outlineLevel="0" collapsed="false">
      <c r="B311" s="361"/>
      <c r="C311" s="362"/>
      <c r="D311" s="362"/>
      <c r="E311" s="363"/>
      <c r="F311" s="364"/>
      <c r="G311" s="363"/>
      <c r="H311" s="363"/>
      <c r="I311" s="370"/>
      <c r="J311" s="376"/>
      <c r="K311" s="376"/>
      <c r="L311" s="363"/>
      <c r="M311" s="367"/>
    </row>
    <row r="312" customFormat="false" ht="12.75" hidden="false" customHeight="true" outlineLevel="0" collapsed="false">
      <c r="B312" s="368"/>
      <c r="C312" s="362"/>
      <c r="D312" s="362"/>
      <c r="E312" s="363"/>
      <c r="F312" s="364"/>
      <c r="G312" s="363"/>
      <c r="H312" s="363"/>
      <c r="I312" s="370"/>
      <c r="J312" s="376"/>
      <c r="K312" s="376"/>
      <c r="L312" s="363"/>
      <c r="M312" s="367"/>
    </row>
    <row r="313" customFormat="false" ht="12.75" hidden="false" customHeight="true" outlineLevel="0" collapsed="false">
      <c r="B313" s="361"/>
      <c r="C313" s="362"/>
      <c r="D313" s="362"/>
      <c r="E313" s="363"/>
      <c r="F313" s="364"/>
      <c r="G313" s="363"/>
      <c r="H313" s="363"/>
      <c r="I313" s="370"/>
      <c r="J313" s="376"/>
      <c r="K313" s="376"/>
      <c r="L313" s="363"/>
      <c r="M313" s="367"/>
    </row>
    <row r="314" customFormat="false" ht="12.75" hidden="false" customHeight="true" outlineLevel="0" collapsed="false">
      <c r="B314" s="361"/>
      <c r="C314" s="362"/>
      <c r="D314" s="362"/>
      <c r="E314" s="363"/>
      <c r="F314" s="364"/>
      <c r="G314" s="363"/>
      <c r="H314" s="363"/>
      <c r="I314" s="370"/>
      <c r="J314" s="376"/>
      <c r="K314" s="376"/>
      <c r="L314" s="363"/>
      <c r="M314" s="367"/>
    </row>
    <row r="315" customFormat="false" ht="12.75" hidden="false" customHeight="true" outlineLevel="0" collapsed="false">
      <c r="B315" s="368"/>
      <c r="C315" s="362"/>
      <c r="D315" s="362"/>
      <c r="E315" s="363"/>
      <c r="F315" s="364"/>
      <c r="G315" s="363"/>
      <c r="H315" s="363"/>
      <c r="I315" s="370"/>
      <c r="J315" s="376"/>
      <c r="K315" s="376"/>
      <c r="L315" s="363"/>
      <c r="M315" s="367"/>
    </row>
    <row r="316" customFormat="false" ht="12.75" hidden="false" customHeight="true" outlineLevel="0" collapsed="false">
      <c r="B316" s="361"/>
      <c r="C316" s="362"/>
      <c r="D316" s="362"/>
      <c r="E316" s="363"/>
      <c r="F316" s="364"/>
      <c r="G316" s="363"/>
      <c r="H316" s="363"/>
      <c r="I316" s="370"/>
      <c r="J316" s="376"/>
      <c r="K316" s="376"/>
      <c r="L316" s="363"/>
      <c r="M316" s="367"/>
    </row>
    <row r="317" customFormat="false" ht="12.75" hidden="false" customHeight="true" outlineLevel="0" collapsed="false">
      <c r="B317" s="368"/>
      <c r="C317" s="362"/>
      <c r="D317" s="362"/>
      <c r="E317" s="363"/>
      <c r="F317" s="364"/>
      <c r="G317" s="363"/>
      <c r="H317" s="363"/>
      <c r="I317" s="370"/>
      <c r="J317" s="376"/>
      <c r="K317" s="376"/>
      <c r="L317" s="363"/>
      <c r="M317" s="367"/>
    </row>
    <row r="318" customFormat="false" ht="12.75" hidden="false" customHeight="true" outlineLevel="0" collapsed="false">
      <c r="B318" s="361"/>
      <c r="C318" s="362"/>
      <c r="D318" s="362"/>
      <c r="E318" s="363"/>
      <c r="F318" s="364"/>
      <c r="G318" s="363"/>
      <c r="H318" s="363"/>
      <c r="I318" s="370"/>
      <c r="J318" s="376"/>
      <c r="K318" s="376"/>
      <c r="L318" s="363"/>
      <c r="M318" s="367"/>
    </row>
    <row r="319" customFormat="false" ht="12.75" hidden="false" customHeight="true" outlineLevel="0" collapsed="false">
      <c r="B319" s="361"/>
      <c r="C319" s="362"/>
      <c r="D319" s="362"/>
      <c r="E319" s="363"/>
      <c r="F319" s="364"/>
      <c r="G319" s="363"/>
      <c r="H319" s="370"/>
      <c r="I319" s="370"/>
      <c r="J319" s="376"/>
      <c r="K319" s="376"/>
      <c r="L319" s="363"/>
      <c r="M319" s="367"/>
    </row>
    <row r="320" customFormat="false" ht="12.75" hidden="false" customHeight="true" outlineLevel="0" collapsed="false">
      <c r="B320" s="368"/>
      <c r="C320" s="362"/>
      <c r="D320" s="362"/>
      <c r="E320" s="363"/>
      <c r="F320" s="364"/>
      <c r="G320" s="363"/>
      <c r="H320" s="363"/>
      <c r="I320" s="370"/>
      <c r="J320" s="376"/>
      <c r="K320" s="376"/>
      <c r="L320" s="363"/>
      <c r="M320" s="367"/>
    </row>
    <row r="321" customFormat="false" ht="12.75" hidden="false" customHeight="true" outlineLevel="0" collapsed="false">
      <c r="B321" s="361"/>
      <c r="C321" s="362"/>
      <c r="D321" s="362"/>
      <c r="E321" s="363"/>
      <c r="F321" s="364"/>
      <c r="G321" s="363"/>
      <c r="H321" s="363"/>
      <c r="I321" s="370"/>
      <c r="J321" s="376"/>
      <c r="K321" s="376"/>
      <c r="L321" s="363"/>
      <c r="M321" s="367"/>
    </row>
    <row r="322" customFormat="false" ht="12.75" hidden="false" customHeight="true" outlineLevel="0" collapsed="false">
      <c r="B322" s="361"/>
      <c r="C322" s="362"/>
      <c r="D322" s="362"/>
      <c r="E322" s="363"/>
      <c r="F322" s="364"/>
      <c r="G322" s="363"/>
      <c r="H322" s="363"/>
      <c r="I322" s="370"/>
      <c r="J322" s="376"/>
      <c r="K322" s="376"/>
      <c r="L322" s="363"/>
      <c r="M322" s="367"/>
    </row>
    <row r="323" customFormat="false" ht="12.75" hidden="false" customHeight="true" outlineLevel="0" collapsed="false">
      <c r="B323" s="368"/>
      <c r="C323" s="362"/>
      <c r="D323" s="362"/>
      <c r="E323" s="363"/>
      <c r="F323" s="364"/>
      <c r="G323" s="363"/>
      <c r="H323" s="363"/>
      <c r="I323" s="370"/>
      <c r="J323" s="376"/>
      <c r="K323" s="376"/>
      <c r="L323" s="363"/>
      <c r="M323" s="367"/>
    </row>
    <row r="324" customFormat="false" ht="12.75" hidden="false" customHeight="true" outlineLevel="0" collapsed="false">
      <c r="B324" s="361"/>
      <c r="C324" s="362"/>
      <c r="D324" s="362"/>
      <c r="E324" s="363"/>
      <c r="F324" s="364"/>
      <c r="G324" s="363"/>
      <c r="H324" s="363"/>
      <c r="I324" s="370"/>
      <c r="J324" s="376"/>
      <c r="K324" s="376"/>
      <c r="L324" s="363"/>
      <c r="M324" s="367"/>
    </row>
    <row r="325" customFormat="false" ht="12.75" hidden="false" customHeight="true" outlineLevel="0" collapsed="false">
      <c r="B325" s="368"/>
      <c r="C325" s="362"/>
      <c r="D325" s="362"/>
      <c r="E325" s="363"/>
      <c r="F325" s="364"/>
      <c r="G325" s="363"/>
      <c r="H325" s="363"/>
      <c r="I325" s="370"/>
      <c r="J325" s="376"/>
      <c r="K325" s="377"/>
      <c r="L325" s="363"/>
      <c r="M325" s="367"/>
    </row>
    <row r="326" customFormat="false" ht="12.75" hidden="false" customHeight="true" outlineLevel="0" collapsed="false">
      <c r="B326" s="361"/>
      <c r="C326" s="362"/>
      <c r="D326" s="362"/>
      <c r="E326" s="363"/>
      <c r="F326" s="364"/>
      <c r="G326" s="363"/>
      <c r="H326" s="363"/>
      <c r="I326" s="370"/>
      <c r="J326" s="376"/>
      <c r="K326" s="376"/>
      <c r="L326" s="363"/>
      <c r="M326" s="367"/>
    </row>
    <row r="327" customFormat="false" ht="12.75" hidden="false" customHeight="true" outlineLevel="0" collapsed="false">
      <c r="B327" s="361"/>
      <c r="C327" s="362"/>
      <c r="D327" s="362"/>
      <c r="E327" s="363"/>
      <c r="F327" s="364"/>
      <c r="G327" s="363"/>
      <c r="H327" s="363"/>
      <c r="I327" s="370"/>
      <c r="J327" s="376"/>
      <c r="K327" s="376"/>
      <c r="L327" s="363"/>
      <c r="M327" s="367"/>
    </row>
    <row r="328" customFormat="false" ht="12.75" hidden="false" customHeight="true" outlineLevel="0" collapsed="false">
      <c r="B328" s="368"/>
      <c r="C328" s="362"/>
      <c r="D328" s="362"/>
      <c r="E328" s="363"/>
      <c r="F328" s="364"/>
      <c r="G328" s="363"/>
      <c r="H328" s="363"/>
      <c r="I328" s="370"/>
      <c r="J328" s="376"/>
      <c r="K328" s="376"/>
      <c r="L328" s="363"/>
      <c r="M328" s="367"/>
    </row>
    <row r="329" customFormat="false" ht="12.75" hidden="false" customHeight="true" outlineLevel="0" collapsed="false">
      <c r="B329" s="361"/>
      <c r="C329" s="362"/>
      <c r="D329" s="362"/>
      <c r="E329" s="363"/>
      <c r="F329" s="364"/>
      <c r="G329" s="363"/>
      <c r="H329" s="363"/>
      <c r="I329" s="370"/>
      <c r="J329" s="376"/>
      <c r="K329" s="376"/>
      <c r="L329" s="363"/>
      <c r="M329" s="367"/>
    </row>
    <row r="330" customFormat="false" ht="12.75" hidden="false" customHeight="true" outlineLevel="0" collapsed="false">
      <c r="B330" s="361"/>
      <c r="C330" s="362"/>
      <c r="D330" s="362"/>
      <c r="E330" s="363"/>
      <c r="F330" s="364"/>
      <c r="G330" s="363"/>
      <c r="H330" s="363"/>
      <c r="I330" s="370"/>
      <c r="J330" s="376"/>
      <c r="K330" s="376"/>
      <c r="L330" s="363"/>
      <c r="M330" s="367"/>
    </row>
    <row r="331" customFormat="false" ht="12.75" hidden="false" customHeight="true" outlineLevel="0" collapsed="false">
      <c r="B331" s="361"/>
      <c r="C331" s="362"/>
      <c r="D331" s="362"/>
      <c r="E331" s="363"/>
      <c r="F331" s="364"/>
      <c r="G331" s="363"/>
      <c r="H331" s="363"/>
      <c r="I331" s="370"/>
      <c r="J331" s="376"/>
      <c r="K331" s="376"/>
      <c r="L331" s="363"/>
      <c r="M331" s="367"/>
    </row>
    <row r="332" customFormat="false" ht="12.75" hidden="false" customHeight="true" outlineLevel="0" collapsed="false">
      <c r="B332" s="368"/>
      <c r="C332" s="362"/>
      <c r="D332" s="362"/>
      <c r="E332" s="363"/>
      <c r="F332" s="364"/>
      <c r="G332" s="363"/>
      <c r="H332" s="363"/>
      <c r="I332" s="370"/>
      <c r="J332" s="376"/>
      <c r="K332" s="376"/>
      <c r="L332" s="363"/>
      <c r="M332" s="367"/>
    </row>
    <row r="333" customFormat="false" ht="12.75" hidden="false" customHeight="true" outlineLevel="0" collapsed="false">
      <c r="B333" s="361"/>
      <c r="C333" s="362"/>
      <c r="D333" s="362"/>
      <c r="E333" s="363"/>
      <c r="F333" s="364"/>
      <c r="G333" s="363"/>
      <c r="H333" s="363"/>
      <c r="I333" s="370"/>
      <c r="J333" s="376"/>
      <c r="K333" s="376"/>
      <c r="L333" s="363"/>
      <c r="M333" s="367"/>
    </row>
    <row r="334" customFormat="false" ht="12.75" hidden="false" customHeight="true" outlineLevel="0" collapsed="false">
      <c r="B334" s="361"/>
      <c r="C334" s="362"/>
      <c r="D334" s="362"/>
      <c r="E334" s="363"/>
      <c r="F334" s="364"/>
      <c r="G334" s="363"/>
      <c r="H334" s="363"/>
      <c r="I334" s="370"/>
      <c r="J334" s="376"/>
      <c r="K334" s="376"/>
      <c r="L334" s="363"/>
      <c r="M334" s="367"/>
    </row>
    <row r="335" customFormat="false" ht="12.75" hidden="false" customHeight="true" outlineLevel="0" collapsed="false">
      <c r="B335" s="368"/>
      <c r="C335" s="362"/>
      <c r="D335" s="362"/>
      <c r="E335" s="363"/>
      <c r="F335" s="364"/>
      <c r="G335" s="363"/>
      <c r="H335" s="363"/>
      <c r="I335" s="370"/>
      <c r="J335" s="376"/>
      <c r="K335" s="376"/>
      <c r="L335" s="363"/>
      <c r="M335" s="367"/>
    </row>
    <row r="336" customFormat="false" ht="12.75" hidden="false" customHeight="true" outlineLevel="0" collapsed="false">
      <c r="B336" s="361"/>
      <c r="C336" s="362"/>
      <c r="D336" s="362"/>
      <c r="E336" s="363"/>
      <c r="F336" s="364"/>
      <c r="G336" s="363"/>
      <c r="H336" s="363"/>
      <c r="I336" s="370"/>
      <c r="J336" s="376"/>
      <c r="K336" s="376"/>
      <c r="L336" s="363"/>
      <c r="M336" s="367"/>
    </row>
    <row r="337" customFormat="false" ht="12.75" hidden="false" customHeight="true" outlineLevel="0" collapsed="false">
      <c r="B337" s="361"/>
      <c r="C337" s="362"/>
      <c r="D337" s="362"/>
      <c r="E337" s="363"/>
      <c r="F337" s="364"/>
      <c r="G337" s="363"/>
      <c r="H337" s="363"/>
      <c r="I337" s="370"/>
      <c r="J337" s="376"/>
      <c r="K337" s="376"/>
      <c r="L337" s="363"/>
      <c r="M337" s="367"/>
    </row>
    <row r="338" customFormat="false" ht="12.75" hidden="false" customHeight="true" outlineLevel="0" collapsed="false">
      <c r="B338" s="368"/>
      <c r="C338" s="362"/>
      <c r="D338" s="362"/>
      <c r="E338" s="363"/>
      <c r="F338" s="364"/>
      <c r="G338" s="363"/>
      <c r="H338" s="363"/>
      <c r="I338" s="370"/>
      <c r="J338" s="376"/>
      <c r="K338" s="376"/>
      <c r="L338" s="363"/>
      <c r="M338" s="367"/>
    </row>
    <row r="339" customFormat="false" ht="12.75" hidden="false" customHeight="true" outlineLevel="0" collapsed="false">
      <c r="B339" s="361"/>
      <c r="C339" s="362"/>
      <c r="D339" s="362"/>
      <c r="E339" s="363"/>
      <c r="F339" s="364"/>
      <c r="G339" s="363"/>
      <c r="H339" s="363"/>
      <c r="I339" s="370"/>
      <c r="J339" s="376"/>
      <c r="K339" s="376"/>
      <c r="L339" s="363"/>
      <c r="M339" s="367"/>
    </row>
    <row r="340" customFormat="false" ht="12.75" hidden="false" customHeight="true" outlineLevel="0" collapsed="false">
      <c r="B340" s="368"/>
      <c r="C340" s="362"/>
      <c r="D340" s="362"/>
      <c r="E340" s="363"/>
      <c r="F340" s="364"/>
      <c r="G340" s="363"/>
      <c r="H340" s="363"/>
      <c r="I340" s="370"/>
      <c r="J340" s="376"/>
      <c r="K340" s="376"/>
      <c r="L340" s="363"/>
      <c r="M340" s="367"/>
    </row>
    <row r="341" customFormat="false" ht="12.75" hidden="false" customHeight="true" outlineLevel="0" collapsed="false">
      <c r="B341" s="361"/>
      <c r="C341" s="362"/>
      <c r="D341" s="362"/>
      <c r="E341" s="363"/>
      <c r="F341" s="364"/>
      <c r="G341" s="363"/>
      <c r="H341" s="363"/>
      <c r="I341" s="370"/>
      <c r="J341" s="376"/>
      <c r="K341" s="376"/>
      <c r="L341" s="363"/>
      <c r="M341" s="367"/>
    </row>
    <row r="342" customFormat="false" ht="12.75" hidden="false" customHeight="true" outlineLevel="0" collapsed="false">
      <c r="B342" s="361"/>
      <c r="C342" s="362"/>
      <c r="D342" s="362"/>
      <c r="E342" s="363"/>
      <c r="F342" s="364"/>
      <c r="G342" s="363"/>
      <c r="H342" s="370"/>
      <c r="I342" s="370"/>
      <c r="J342" s="376"/>
      <c r="K342" s="376"/>
      <c r="L342" s="363"/>
      <c r="M342" s="367"/>
    </row>
    <row r="343" customFormat="false" ht="12.75" hidden="false" customHeight="true" outlineLevel="0" collapsed="false">
      <c r="B343" s="368"/>
      <c r="C343" s="362"/>
      <c r="D343" s="362"/>
      <c r="E343" s="363"/>
      <c r="F343" s="364"/>
      <c r="G343" s="363"/>
      <c r="H343" s="363"/>
      <c r="I343" s="370"/>
      <c r="J343" s="376"/>
      <c r="K343" s="376"/>
      <c r="L343" s="363"/>
      <c r="M343" s="367"/>
    </row>
    <row r="344" customFormat="false" ht="12.75" hidden="false" customHeight="true" outlineLevel="0" collapsed="false">
      <c r="B344" s="361"/>
      <c r="C344" s="362"/>
      <c r="D344" s="362"/>
      <c r="E344" s="363"/>
      <c r="F344" s="364"/>
      <c r="G344" s="363"/>
      <c r="H344" s="363"/>
      <c r="I344" s="370"/>
      <c r="J344" s="376"/>
      <c r="K344" s="376"/>
      <c r="L344" s="363"/>
      <c r="M344" s="367"/>
    </row>
    <row r="345" customFormat="false" ht="12.75" hidden="false" customHeight="true" outlineLevel="0" collapsed="false">
      <c r="B345" s="361"/>
      <c r="C345" s="362"/>
      <c r="D345" s="362"/>
      <c r="E345" s="363"/>
      <c r="F345" s="364"/>
      <c r="G345" s="363"/>
      <c r="H345" s="363"/>
      <c r="I345" s="370"/>
      <c r="J345" s="376"/>
      <c r="K345" s="376"/>
      <c r="L345" s="363"/>
      <c r="M345" s="367"/>
    </row>
    <row r="346" customFormat="false" ht="12.75" hidden="false" customHeight="true" outlineLevel="0" collapsed="false">
      <c r="B346" s="368"/>
      <c r="C346" s="362"/>
      <c r="D346" s="362"/>
      <c r="E346" s="363"/>
      <c r="F346" s="364"/>
      <c r="G346" s="363"/>
      <c r="H346" s="363"/>
      <c r="I346" s="370"/>
      <c r="J346" s="376"/>
      <c r="K346" s="376"/>
      <c r="L346" s="363"/>
      <c r="M346" s="367"/>
    </row>
    <row r="347" customFormat="false" ht="12.75" hidden="false" customHeight="true" outlineLevel="0" collapsed="false">
      <c r="B347" s="361"/>
      <c r="C347" s="362"/>
      <c r="D347" s="362"/>
      <c r="E347" s="363"/>
      <c r="F347" s="364"/>
      <c r="G347" s="363"/>
      <c r="H347" s="363"/>
      <c r="I347" s="370"/>
      <c r="J347" s="376"/>
      <c r="K347" s="376"/>
      <c r="L347" s="363"/>
      <c r="M347" s="367"/>
    </row>
    <row r="348" customFormat="false" ht="12.75" hidden="false" customHeight="true" outlineLevel="0" collapsed="false">
      <c r="B348" s="368"/>
      <c r="C348" s="362"/>
      <c r="D348" s="362"/>
      <c r="E348" s="363"/>
      <c r="F348" s="364"/>
      <c r="G348" s="363"/>
      <c r="H348" s="363"/>
      <c r="I348" s="370"/>
      <c r="J348" s="376"/>
      <c r="K348" s="377"/>
      <c r="L348" s="363"/>
      <c r="M348" s="367"/>
    </row>
    <row r="349" customFormat="false" ht="12.75" hidden="false" customHeight="true" outlineLevel="0" collapsed="false">
      <c r="B349" s="361"/>
      <c r="C349" s="362"/>
      <c r="D349" s="362"/>
      <c r="E349" s="363"/>
      <c r="F349" s="364"/>
      <c r="G349" s="363"/>
      <c r="H349" s="363"/>
      <c r="I349" s="370"/>
      <c r="J349" s="376"/>
      <c r="K349" s="376"/>
      <c r="L349" s="363"/>
      <c r="M349" s="367"/>
    </row>
    <row r="350" customFormat="false" ht="12.75" hidden="false" customHeight="true" outlineLevel="0" collapsed="false">
      <c r="B350" s="361"/>
      <c r="C350" s="362"/>
      <c r="D350" s="362"/>
      <c r="E350" s="363"/>
      <c r="F350" s="364"/>
      <c r="G350" s="363"/>
      <c r="H350" s="370"/>
      <c r="I350" s="370"/>
      <c r="J350" s="376"/>
      <c r="K350" s="376"/>
      <c r="L350" s="363"/>
      <c r="M350" s="367"/>
    </row>
    <row r="351" customFormat="false" ht="12.75" hidden="false" customHeight="true" outlineLevel="0" collapsed="false">
      <c r="B351" s="368"/>
      <c r="C351" s="362"/>
      <c r="D351" s="362"/>
      <c r="E351" s="363"/>
      <c r="F351" s="364"/>
      <c r="G351" s="363"/>
      <c r="H351" s="363"/>
      <c r="I351" s="370"/>
      <c r="J351" s="376"/>
      <c r="K351" s="376"/>
      <c r="L351" s="363"/>
      <c r="M351" s="367"/>
    </row>
    <row r="352" customFormat="false" ht="12.75" hidden="false" customHeight="true" outlineLevel="0" collapsed="false">
      <c r="B352" s="361"/>
      <c r="C352" s="362"/>
      <c r="D352" s="362"/>
      <c r="E352" s="363"/>
      <c r="F352" s="364"/>
      <c r="G352" s="363"/>
      <c r="H352" s="363"/>
      <c r="I352" s="370"/>
      <c r="J352" s="376"/>
      <c r="K352" s="376"/>
      <c r="L352" s="363"/>
      <c r="M352" s="367"/>
    </row>
    <row r="353" customFormat="false" ht="12.75" hidden="false" customHeight="true" outlineLevel="0" collapsed="false">
      <c r="B353" s="361"/>
      <c r="C353" s="362"/>
      <c r="D353" s="362"/>
      <c r="E353" s="363"/>
      <c r="F353" s="364"/>
      <c r="G353" s="363"/>
      <c r="H353" s="363"/>
      <c r="I353" s="370"/>
      <c r="J353" s="376"/>
      <c r="K353" s="376"/>
      <c r="L353" s="363"/>
      <c r="M353" s="367"/>
    </row>
    <row r="354" customFormat="false" ht="12.75" hidden="false" customHeight="true" outlineLevel="0" collapsed="false">
      <c r="B354" s="361"/>
      <c r="C354" s="362"/>
      <c r="D354" s="362"/>
      <c r="E354" s="363"/>
      <c r="F354" s="364"/>
      <c r="G354" s="363"/>
      <c r="H354" s="363"/>
      <c r="I354" s="370"/>
      <c r="J354" s="376"/>
      <c r="K354" s="376"/>
      <c r="L354" s="363"/>
      <c r="M354" s="367"/>
    </row>
    <row r="355" customFormat="false" ht="12.75" hidden="false" customHeight="true" outlineLevel="0" collapsed="false">
      <c r="B355" s="368"/>
      <c r="C355" s="362"/>
      <c r="D355" s="362"/>
      <c r="E355" s="363"/>
      <c r="F355" s="364"/>
      <c r="G355" s="363"/>
      <c r="H355" s="363"/>
      <c r="I355" s="370"/>
      <c r="J355" s="376"/>
      <c r="K355" s="376"/>
      <c r="L355" s="363"/>
      <c r="M355" s="367"/>
    </row>
    <row r="356" customFormat="false" ht="12.75" hidden="false" customHeight="true" outlineLevel="0" collapsed="false">
      <c r="B356" s="361"/>
      <c r="C356" s="362"/>
      <c r="D356" s="362"/>
      <c r="E356" s="363"/>
      <c r="F356" s="364"/>
      <c r="G356" s="363"/>
      <c r="H356" s="363"/>
      <c r="I356" s="370"/>
      <c r="J356" s="376"/>
      <c r="K356" s="376"/>
      <c r="L356" s="363"/>
      <c r="M356" s="367"/>
    </row>
    <row r="357" customFormat="false" ht="12.75" hidden="false" customHeight="true" outlineLevel="0" collapsed="false">
      <c r="B357" s="361"/>
      <c r="C357" s="362"/>
      <c r="D357" s="362"/>
      <c r="E357" s="363"/>
      <c r="F357" s="364"/>
      <c r="G357" s="363"/>
      <c r="H357" s="363"/>
      <c r="I357" s="370"/>
      <c r="J357" s="376"/>
      <c r="K357" s="376"/>
      <c r="L357" s="363"/>
      <c r="M357" s="367"/>
    </row>
    <row r="358" customFormat="false" ht="12.75" hidden="false" customHeight="true" outlineLevel="0" collapsed="false">
      <c r="B358" s="368"/>
      <c r="C358" s="362"/>
      <c r="D358" s="362"/>
      <c r="E358" s="363"/>
      <c r="F358" s="364"/>
      <c r="G358" s="363"/>
      <c r="H358" s="363"/>
      <c r="I358" s="370"/>
      <c r="J358" s="376"/>
      <c r="K358" s="376"/>
      <c r="L358" s="363"/>
      <c r="M358" s="367"/>
    </row>
    <row r="359" customFormat="false" ht="12.75" hidden="false" customHeight="true" outlineLevel="0" collapsed="false">
      <c r="B359" s="361"/>
      <c r="C359" s="362"/>
      <c r="D359" s="362"/>
      <c r="E359" s="363"/>
      <c r="F359" s="364"/>
      <c r="G359" s="363"/>
      <c r="H359" s="363"/>
      <c r="I359" s="370"/>
      <c r="J359" s="376"/>
      <c r="K359" s="376"/>
      <c r="L359" s="363"/>
      <c r="M359" s="367"/>
    </row>
    <row r="360" customFormat="false" ht="12.75" hidden="false" customHeight="true" outlineLevel="0" collapsed="false">
      <c r="B360" s="361"/>
      <c r="C360" s="362"/>
      <c r="D360" s="362"/>
      <c r="E360" s="363"/>
      <c r="F360" s="364"/>
      <c r="G360" s="363"/>
      <c r="H360" s="363"/>
      <c r="I360" s="370"/>
      <c r="J360" s="376"/>
      <c r="K360" s="376"/>
      <c r="L360" s="363"/>
      <c r="M360" s="367"/>
    </row>
    <row r="361" customFormat="false" ht="12.75" hidden="false" customHeight="true" outlineLevel="0" collapsed="false">
      <c r="B361" s="368"/>
      <c r="C361" s="362"/>
      <c r="D361" s="362"/>
      <c r="E361" s="363"/>
      <c r="F361" s="364"/>
      <c r="G361" s="363"/>
      <c r="H361" s="363"/>
      <c r="I361" s="370"/>
      <c r="J361" s="376"/>
      <c r="K361" s="376"/>
      <c r="L361" s="363"/>
      <c r="M361" s="367"/>
    </row>
    <row r="362" customFormat="false" ht="12.75" hidden="false" customHeight="true" outlineLevel="0" collapsed="false">
      <c r="B362" s="361"/>
      <c r="C362" s="362"/>
      <c r="D362" s="362"/>
      <c r="E362" s="363"/>
      <c r="F362" s="372"/>
      <c r="G362" s="363"/>
      <c r="H362" s="363"/>
      <c r="I362" s="363"/>
      <c r="J362" s="363"/>
      <c r="K362" s="363"/>
      <c r="L362" s="363"/>
      <c r="M362" s="367"/>
    </row>
    <row r="363" customFormat="false" ht="12.75" hidden="false" customHeight="true" outlineLevel="0" collapsed="false">
      <c r="B363" s="361"/>
      <c r="C363" s="362"/>
      <c r="D363" s="362"/>
      <c r="E363" s="363"/>
      <c r="F363" s="372"/>
      <c r="G363" s="363"/>
      <c r="H363" s="363"/>
      <c r="I363" s="363"/>
      <c r="J363" s="363"/>
      <c r="K363" s="363"/>
      <c r="L363" s="363"/>
      <c r="M363" s="367"/>
    </row>
    <row r="364" customFormat="false" ht="12.75" hidden="false" customHeight="true" outlineLevel="0" collapsed="false">
      <c r="B364" s="361"/>
      <c r="C364" s="362"/>
      <c r="D364" s="362"/>
      <c r="E364" s="363"/>
      <c r="F364" s="372"/>
      <c r="G364" s="363"/>
      <c r="H364" s="363"/>
      <c r="I364" s="363"/>
      <c r="J364" s="363"/>
      <c r="K364" s="363"/>
      <c r="L364" s="363"/>
      <c r="M364" s="367"/>
    </row>
    <row r="365" customFormat="false" ht="12.75" hidden="false" customHeight="true" outlineLevel="0" collapsed="false">
      <c r="B365" s="361"/>
      <c r="C365" s="362"/>
      <c r="D365" s="362"/>
      <c r="E365" s="363"/>
      <c r="F365" s="372"/>
      <c r="G365" s="363"/>
      <c r="H365" s="363"/>
      <c r="I365" s="363"/>
      <c r="J365" s="363"/>
      <c r="K365" s="363"/>
      <c r="L365" s="363"/>
      <c r="M365" s="367"/>
    </row>
    <row r="366" customFormat="false" ht="12.75" hidden="false" customHeight="true" outlineLevel="0" collapsed="false">
      <c r="B366" s="361"/>
      <c r="C366" s="362"/>
      <c r="D366" s="362"/>
      <c r="E366" s="363"/>
      <c r="F366" s="372"/>
      <c r="G366" s="363"/>
      <c r="H366" s="363"/>
      <c r="I366" s="363"/>
      <c r="J366" s="363"/>
      <c r="K366" s="363"/>
      <c r="L366" s="363"/>
      <c r="M366" s="367"/>
    </row>
    <row r="367" customFormat="false" ht="12.75" hidden="false" customHeight="true" outlineLevel="0" collapsed="false">
      <c r="B367" s="361"/>
      <c r="C367" s="362"/>
      <c r="D367" s="362"/>
      <c r="E367" s="363"/>
      <c r="F367" s="372"/>
      <c r="G367" s="363"/>
      <c r="H367" s="363"/>
      <c r="I367" s="363"/>
      <c r="J367" s="363"/>
      <c r="K367" s="363"/>
      <c r="L367" s="363"/>
      <c r="M367" s="367"/>
    </row>
    <row r="368" customFormat="false" ht="12.75" hidden="false" customHeight="true" outlineLevel="0" collapsed="false">
      <c r="B368" s="361"/>
      <c r="C368" s="362"/>
      <c r="D368" s="362"/>
      <c r="E368" s="363"/>
      <c r="F368" s="372"/>
      <c r="G368" s="363"/>
      <c r="H368" s="363"/>
      <c r="I368" s="363"/>
      <c r="J368" s="363"/>
      <c r="K368" s="363"/>
      <c r="L368" s="363"/>
      <c r="M368" s="367"/>
    </row>
    <row r="369" customFormat="false" ht="12.75" hidden="false" customHeight="true" outlineLevel="0" collapsed="false">
      <c r="B369" s="361"/>
      <c r="C369" s="362"/>
      <c r="D369" s="362"/>
      <c r="E369" s="363"/>
      <c r="F369" s="372"/>
      <c r="G369" s="363"/>
      <c r="H369" s="363"/>
      <c r="I369" s="363"/>
      <c r="J369" s="363"/>
      <c r="K369" s="363"/>
      <c r="L369" s="363"/>
      <c r="M369" s="367"/>
    </row>
    <row r="370" customFormat="false" ht="12.75" hidden="false" customHeight="true" outlineLevel="0" collapsed="false">
      <c r="B370" s="361"/>
      <c r="C370" s="362"/>
      <c r="D370" s="362"/>
      <c r="E370" s="363"/>
      <c r="F370" s="372"/>
      <c r="G370" s="363"/>
      <c r="H370" s="363"/>
      <c r="I370" s="363"/>
      <c r="J370" s="363"/>
      <c r="K370" s="363"/>
      <c r="L370" s="363"/>
      <c r="M370" s="367"/>
    </row>
    <row r="371" customFormat="false" ht="12.75" hidden="false" customHeight="true" outlineLevel="0" collapsed="false">
      <c r="B371" s="361"/>
      <c r="C371" s="362"/>
      <c r="D371" s="362"/>
      <c r="E371" s="363"/>
      <c r="F371" s="372"/>
      <c r="G371" s="363"/>
      <c r="H371" s="363"/>
      <c r="I371" s="363"/>
      <c r="J371" s="363"/>
      <c r="K371" s="363"/>
      <c r="L371" s="363"/>
      <c r="M371" s="367"/>
    </row>
    <row r="372" customFormat="false" ht="12.75" hidden="false" customHeight="true" outlineLevel="0" collapsed="false">
      <c r="B372" s="361"/>
      <c r="C372" s="362"/>
      <c r="D372" s="362"/>
      <c r="E372" s="363"/>
      <c r="F372" s="372"/>
      <c r="G372" s="363"/>
      <c r="H372" s="363"/>
      <c r="I372" s="363"/>
      <c r="J372" s="363"/>
      <c r="K372" s="363"/>
      <c r="L372" s="363"/>
      <c r="M372" s="367"/>
    </row>
    <row r="373" customFormat="false" ht="12.75" hidden="false" customHeight="true" outlineLevel="0" collapsed="false">
      <c r="B373" s="361"/>
      <c r="C373" s="362"/>
      <c r="D373" s="362"/>
      <c r="E373" s="363"/>
      <c r="F373" s="372"/>
      <c r="G373" s="363"/>
      <c r="H373" s="363"/>
      <c r="I373" s="363"/>
      <c r="J373" s="363"/>
      <c r="K373" s="363"/>
      <c r="L373" s="363"/>
      <c r="M373" s="367"/>
    </row>
    <row r="374" customFormat="false" ht="12.75" hidden="false" customHeight="true" outlineLevel="0" collapsed="false">
      <c r="B374" s="361"/>
      <c r="C374" s="362"/>
      <c r="D374" s="362"/>
      <c r="E374" s="363"/>
      <c r="F374" s="372"/>
      <c r="G374" s="363"/>
      <c r="H374" s="363"/>
      <c r="I374" s="363"/>
      <c r="J374" s="363"/>
      <c r="K374" s="363"/>
      <c r="L374" s="363"/>
      <c r="M374" s="367"/>
    </row>
    <row r="375" customFormat="false" ht="12.75" hidden="false" customHeight="true" outlineLevel="0" collapsed="false">
      <c r="B375" s="361"/>
      <c r="C375" s="362"/>
      <c r="D375" s="362"/>
      <c r="E375" s="363"/>
      <c r="F375" s="372"/>
      <c r="G375" s="363"/>
      <c r="H375" s="363"/>
      <c r="I375" s="363"/>
      <c r="J375" s="363"/>
      <c r="K375" s="363"/>
      <c r="L375" s="363"/>
      <c r="M375" s="367"/>
    </row>
    <row r="376" customFormat="false" ht="12.75" hidden="false" customHeight="true" outlineLevel="0" collapsed="false">
      <c r="B376" s="361"/>
      <c r="C376" s="362"/>
      <c r="D376" s="362"/>
      <c r="E376" s="363"/>
      <c r="F376" s="372"/>
      <c r="G376" s="363"/>
      <c r="H376" s="363"/>
      <c r="I376" s="363"/>
      <c r="J376" s="363"/>
      <c r="K376" s="363"/>
      <c r="L376" s="363"/>
      <c r="M376" s="367"/>
    </row>
    <row r="377" customFormat="false" ht="12.75" hidden="false" customHeight="true" outlineLevel="0" collapsed="false">
      <c r="B377" s="361"/>
      <c r="C377" s="362"/>
      <c r="D377" s="362"/>
      <c r="E377" s="363"/>
      <c r="F377" s="372"/>
      <c r="G377" s="363"/>
      <c r="H377" s="363"/>
      <c r="I377" s="363"/>
      <c r="J377" s="363"/>
      <c r="K377" s="363"/>
      <c r="L377" s="363"/>
      <c r="M377" s="367"/>
    </row>
    <row r="378" customFormat="false" ht="12.75" hidden="false" customHeight="true" outlineLevel="0" collapsed="false">
      <c r="B378" s="361"/>
      <c r="C378" s="362"/>
      <c r="D378" s="362"/>
      <c r="E378" s="363"/>
      <c r="F378" s="372"/>
      <c r="G378" s="363"/>
      <c r="H378" s="363"/>
      <c r="I378" s="363"/>
      <c r="J378" s="363"/>
      <c r="K378" s="363"/>
      <c r="L378" s="363"/>
      <c r="M378" s="367"/>
    </row>
    <row r="379" customFormat="false" ht="12.75" hidden="false" customHeight="true" outlineLevel="0" collapsed="false">
      <c r="B379" s="361"/>
      <c r="C379" s="362"/>
      <c r="D379" s="362"/>
      <c r="E379" s="363"/>
      <c r="F379" s="372"/>
      <c r="G379" s="363"/>
      <c r="H379" s="363"/>
      <c r="I379" s="363"/>
      <c r="J379" s="363"/>
      <c r="K379" s="363"/>
      <c r="L379" s="363"/>
      <c r="M379" s="367"/>
    </row>
    <row r="380" customFormat="false" ht="12.75" hidden="false" customHeight="true" outlineLevel="0" collapsed="false">
      <c r="B380" s="361"/>
      <c r="C380" s="369"/>
      <c r="D380" s="369"/>
      <c r="E380" s="370"/>
      <c r="F380" s="373"/>
      <c r="G380" s="370"/>
      <c r="H380" s="363"/>
      <c r="I380" s="370"/>
      <c r="J380" s="370"/>
      <c r="K380" s="370"/>
      <c r="L380" s="370"/>
      <c r="M380" s="367"/>
    </row>
    <row r="381" customFormat="false" ht="12.75" hidden="false" customHeight="true" outlineLevel="0" collapsed="false">
      <c r="B381" s="361"/>
      <c r="C381" s="362"/>
      <c r="D381" s="362"/>
      <c r="E381" s="363"/>
      <c r="F381" s="364"/>
      <c r="G381" s="363"/>
      <c r="H381" s="363"/>
      <c r="I381" s="363"/>
      <c r="J381" s="363"/>
      <c r="K381" s="363"/>
      <c r="L381" s="363"/>
      <c r="M381" s="367"/>
    </row>
    <row r="382" customFormat="false" ht="12.75" hidden="false" customHeight="true" outlineLevel="0" collapsed="false">
      <c r="B382" s="361"/>
      <c r="C382" s="362"/>
      <c r="D382" s="362"/>
      <c r="E382" s="363"/>
      <c r="F382" s="364"/>
      <c r="G382" s="363"/>
      <c r="H382" s="363"/>
      <c r="I382" s="363"/>
      <c r="J382" s="363"/>
      <c r="K382" s="363"/>
      <c r="L382" s="363"/>
      <c r="M382" s="367"/>
    </row>
    <row r="383" customFormat="false" ht="12.75" hidden="false" customHeight="true" outlineLevel="0" collapsed="false">
      <c r="B383" s="361"/>
      <c r="C383" s="362"/>
      <c r="D383" s="362"/>
      <c r="E383" s="363"/>
      <c r="F383" s="364"/>
      <c r="G383" s="363"/>
      <c r="H383" s="363"/>
      <c r="I383" s="363"/>
      <c r="J383" s="363"/>
      <c r="K383" s="363"/>
      <c r="L383" s="363"/>
      <c r="M383" s="367"/>
    </row>
    <row r="384" customFormat="false" ht="12.75" hidden="false" customHeight="true" outlineLevel="0" collapsed="false">
      <c r="B384" s="361"/>
      <c r="C384" s="362"/>
      <c r="D384" s="362"/>
      <c r="E384" s="363"/>
      <c r="F384" s="364"/>
      <c r="G384" s="363"/>
      <c r="H384" s="363"/>
      <c r="I384" s="363"/>
      <c r="J384" s="363"/>
      <c r="K384" s="363"/>
      <c r="L384" s="363"/>
      <c r="M384" s="367"/>
    </row>
    <row r="385" customFormat="false" ht="12.75" hidden="false" customHeight="true" outlineLevel="0" collapsed="false">
      <c r="B385" s="361"/>
      <c r="C385" s="362"/>
      <c r="D385" s="362"/>
      <c r="E385" s="363"/>
      <c r="F385" s="364"/>
      <c r="G385" s="363"/>
      <c r="H385" s="363"/>
      <c r="I385" s="363"/>
      <c r="J385" s="363"/>
      <c r="K385" s="363"/>
      <c r="L385" s="363"/>
      <c r="M385" s="367"/>
    </row>
    <row r="386" customFormat="false" ht="12.75" hidden="false" customHeight="true" outlineLevel="0" collapsed="false">
      <c r="B386" s="361"/>
      <c r="C386" s="362"/>
      <c r="D386" s="362"/>
      <c r="E386" s="363"/>
      <c r="F386" s="364"/>
      <c r="G386" s="363"/>
      <c r="H386" s="363"/>
      <c r="I386" s="363"/>
      <c r="J386" s="363"/>
      <c r="K386" s="363"/>
      <c r="L386" s="363"/>
      <c r="M386" s="367"/>
    </row>
    <row r="387" customFormat="false" ht="12.75" hidden="false" customHeight="true" outlineLevel="0" collapsed="false">
      <c r="B387" s="361"/>
      <c r="C387" s="362"/>
      <c r="D387" s="362"/>
      <c r="E387" s="363"/>
      <c r="F387" s="364"/>
      <c r="G387" s="363"/>
      <c r="H387" s="363"/>
      <c r="I387" s="363"/>
      <c r="J387" s="363"/>
      <c r="K387" s="363"/>
      <c r="L387" s="363"/>
      <c r="M387" s="367"/>
    </row>
    <row r="388" customFormat="false" ht="12.75" hidden="false" customHeight="true" outlineLevel="0" collapsed="false">
      <c r="B388" s="361"/>
      <c r="C388" s="362"/>
      <c r="D388" s="362"/>
      <c r="E388" s="363"/>
      <c r="F388" s="364"/>
      <c r="G388" s="363"/>
      <c r="H388" s="363"/>
      <c r="I388" s="363"/>
      <c r="J388" s="363"/>
      <c r="K388" s="363"/>
      <c r="L388" s="363"/>
      <c r="M388" s="367"/>
    </row>
    <row r="389" customFormat="false" ht="12.75" hidden="false" customHeight="true" outlineLevel="0" collapsed="false">
      <c r="B389" s="361"/>
      <c r="C389" s="362"/>
      <c r="D389" s="362"/>
      <c r="E389" s="363"/>
      <c r="F389" s="364"/>
      <c r="G389" s="363"/>
      <c r="H389" s="363"/>
      <c r="I389" s="363"/>
      <c r="J389" s="363"/>
      <c r="K389" s="363"/>
      <c r="L389" s="363"/>
      <c r="M389" s="367"/>
    </row>
    <row r="390" customFormat="false" ht="12.75" hidden="false" customHeight="true" outlineLevel="0" collapsed="false">
      <c r="B390" s="361"/>
      <c r="C390" s="362"/>
      <c r="D390" s="362"/>
      <c r="E390" s="363"/>
      <c r="F390" s="364"/>
      <c r="G390" s="363"/>
      <c r="H390" s="363"/>
      <c r="I390" s="363"/>
      <c r="J390" s="363"/>
      <c r="K390" s="363"/>
      <c r="L390" s="363"/>
      <c r="M390" s="367"/>
    </row>
    <row r="391" customFormat="false" ht="12.75" hidden="false" customHeight="true" outlineLevel="0" collapsed="false">
      <c r="B391" s="361"/>
      <c r="C391" s="362"/>
      <c r="D391" s="362"/>
      <c r="E391" s="363"/>
      <c r="F391" s="364"/>
      <c r="G391" s="363"/>
      <c r="H391" s="363"/>
      <c r="I391" s="363"/>
      <c r="J391" s="363"/>
      <c r="K391" s="363"/>
      <c r="L391" s="363"/>
      <c r="M391" s="367"/>
    </row>
    <row r="392" customFormat="false" ht="12.75" hidden="false" customHeight="true" outlineLevel="0" collapsed="false">
      <c r="B392" s="361"/>
      <c r="C392" s="362"/>
      <c r="D392" s="362"/>
      <c r="E392" s="363"/>
      <c r="F392" s="364"/>
      <c r="G392" s="363"/>
      <c r="H392" s="363"/>
      <c r="I392" s="363"/>
      <c r="J392" s="363"/>
      <c r="K392" s="363"/>
      <c r="L392" s="363"/>
      <c r="M392" s="367"/>
    </row>
    <row r="393" customFormat="false" ht="12.75" hidden="false" customHeight="true" outlineLevel="0" collapsed="false">
      <c r="B393" s="361"/>
      <c r="C393" s="362"/>
      <c r="D393" s="362"/>
      <c r="E393" s="363"/>
      <c r="F393" s="364"/>
      <c r="G393" s="363"/>
      <c r="H393" s="363"/>
      <c r="I393" s="363"/>
      <c r="J393" s="363"/>
      <c r="K393" s="363"/>
      <c r="L393" s="363"/>
      <c r="M393" s="367"/>
    </row>
    <row r="394" customFormat="false" ht="12.75" hidden="false" customHeight="true" outlineLevel="0" collapsed="false">
      <c r="B394" s="361"/>
      <c r="C394" s="362"/>
      <c r="D394" s="362"/>
      <c r="E394" s="363"/>
      <c r="F394" s="364"/>
      <c r="G394" s="363"/>
      <c r="H394" s="363"/>
      <c r="I394" s="363"/>
      <c r="J394" s="363"/>
      <c r="K394" s="363"/>
      <c r="L394" s="363"/>
      <c r="M394" s="367"/>
    </row>
    <row r="395" customFormat="false" ht="12.75" hidden="false" customHeight="true" outlineLevel="0" collapsed="false">
      <c r="B395" s="361"/>
      <c r="C395" s="362"/>
      <c r="D395" s="362"/>
      <c r="E395" s="363"/>
      <c r="F395" s="364"/>
      <c r="G395" s="363"/>
      <c r="H395" s="363"/>
      <c r="I395" s="363"/>
      <c r="J395" s="363"/>
      <c r="K395" s="363"/>
      <c r="L395" s="363"/>
      <c r="M395" s="367"/>
    </row>
    <row r="396" customFormat="false" ht="12.75" hidden="false" customHeight="true" outlineLevel="0" collapsed="false">
      <c r="B396" s="361"/>
      <c r="C396" s="362"/>
      <c r="D396" s="362"/>
      <c r="E396" s="363"/>
      <c r="F396" s="364"/>
      <c r="G396" s="363"/>
      <c r="H396" s="363"/>
      <c r="I396" s="363"/>
      <c r="J396" s="363"/>
      <c r="K396" s="363"/>
      <c r="L396" s="363"/>
      <c r="M396" s="367"/>
    </row>
    <row r="397" customFormat="false" ht="12.75" hidden="false" customHeight="true" outlineLevel="0" collapsed="false">
      <c r="B397" s="361"/>
      <c r="C397" s="362"/>
      <c r="D397" s="362"/>
      <c r="E397" s="363"/>
      <c r="F397" s="364"/>
      <c r="G397" s="363"/>
      <c r="H397" s="363"/>
      <c r="I397" s="363"/>
      <c r="J397" s="363"/>
      <c r="K397" s="363"/>
      <c r="L397" s="363"/>
      <c r="M397" s="367"/>
    </row>
    <row r="398" customFormat="false" ht="12.75" hidden="false" customHeight="true" outlineLevel="0" collapsed="false">
      <c r="B398" s="361"/>
      <c r="C398" s="362"/>
      <c r="D398" s="362"/>
      <c r="E398" s="363"/>
      <c r="F398" s="364"/>
      <c r="G398" s="363"/>
      <c r="H398" s="363"/>
      <c r="I398" s="363"/>
      <c r="J398" s="363"/>
      <c r="K398" s="363"/>
      <c r="L398" s="363"/>
      <c r="M398" s="367"/>
    </row>
    <row r="399" customFormat="false" ht="12.75" hidden="false" customHeight="true" outlineLevel="0" collapsed="false">
      <c r="B399" s="361"/>
      <c r="C399" s="362"/>
      <c r="D399" s="362"/>
      <c r="E399" s="363"/>
      <c r="F399" s="364"/>
      <c r="G399" s="363"/>
      <c r="H399" s="363"/>
      <c r="I399" s="363"/>
      <c r="J399" s="363"/>
      <c r="K399" s="363"/>
      <c r="L399" s="363"/>
      <c r="M399" s="367"/>
    </row>
    <row r="400" customFormat="false" ht="12.75" hidden="false" customHeight="true" outlineLevel="0" collapsed="false">
      <c r="B400" s="361"/>
      <c r="C400" s="362"/>
      <c r="D400" s="362"/>
      <c r="E400" s="363"/>
      <c r="F400" s="364"/>
      <c r="G400" s="363"/>
      <c r="H400" s="363"/>
      <c r="I400" s="363"/>
      <c r="J400" s="363"/>
      <c r="K400" s="363"/>
      <c r="L400" s="363"/>
      <c r="M400" s="367"/>
    </row>
    <row r="401" customFormat="false" ht="12.75" hidden="false" customHeight="true" outlineLevel="0" collapsed="false">
      <c r="B401" s="361"/>
      <c r="C401" s="362"/>
      <c r="D401" s="362"/>
      <c r="E401" s="363"/>
      <c r="F401" s="364"/>
      <c r="G401" s="363"/>
      <c r="H401" s="363"/>
      <c r="I401" s="363"/>
      <c r="J401" s="363"/>
      <c r="K401" s="363"/>
      <c r="L401" s="363"/>
      <c r="M401" s="367"/>
    </row>
    <row r="402" customFormat="false" ht="12.75" hidden="false" customHeight="true" outlineLevel="0" collapsed="false">
      <c r="B402" s="361"/>
      <c r="C402" s="362"/>
      <c r="D402" s="362"/>
      <c r="E402" s="363"/>
      <c r="F402" s="364"/>
      <c r="G402" s="363"/>
      <c r="H402" s="363"/>
      <c r="I402" s="363"/>
      <c r="J402" s="363"/>
      <c r="K402" s="363"/>
      <c r="L402" s="363"/>
      <c r="M402" s="367"/>
    </row>
    <row r="403" customFormat="false" ht="12.75" hidden="false" customHeight="true" outlineLevel="0" collapsed="false">
      <c r="B403" s="361"/>
      <c r="C403" s="362"/>
      <c r="D403" s="362"/>
      <c r="E403" s="363"/>
      <c r="F403" s="364"/>
      <c r="G403" s="363"/>
      <c r="H403" s="363"/>
      <c r="I403" s="363"/>
      <c r="J403" s="363"/>
      <c r="K403" s="363"/>
      <c r="L403" s="363"/>
      <c r="M403" s="367"/>
    </row>
    <row r="404" customFormat="false" ht="12.75" hidden="false" customHeight="true" outlineLevel="0" collapsed="false">
      <c r="B404" s="361"/>
      <c r="C404" s="362"/>
      <c r="D404" s="362"/>
      <c r="E404" s="363"/>
      <c r="F404" s="364"/>
      <c r="G404" s="363"/>
      <c r="H404" s="363"/>
      <c r="I404" s="363"/>
      <c r="J404" s="363"/>
      <c r="K404" s="363"/>
      <c r="L404" s="363"/>
      <c r="M404" s="367"/>
    </row>
    <row r="405" customFormat="false" ht="12.75" hidden="false" customHeight="true" outlineLevel="0" collapsed="false">
      <c r="B405" s="361"/>
      <c r="C405" s="362"/>
      <c r="D405" s="362"/>
      <c r="E405" s="363"/>
      <c r="F405" s="364"/>
      <c r="G405" s="363"/>
      <c r="H405" s="363"/>
      <c r="I405" s="363"/>
      <c r="J405" s="363"/>
      <c r="K405" s="363"/>
      <c r="L405" s="363"/>
      <c r="M405" s="367"/>
    </row>
    <row r="406" customFormat="false" ht="12.75" hidden="false" customHeight="true" outlineLevel="0" collapsed="false">
      <c r="B406" s="361"/>
      <c r="C406" s="362"/>
      <c r="D406" s="362"/>
      <c r="E406" s="363"/>
      <c r="F406" s="364"/>
      <c r="G406" s="363"/>
      <c r="H406" s="363"/>
      <c r="I406" s="363"/>
      <c r="J406" s="363"/>
      <c r="K406" s="363"/>
      <c r="L406" s="363"/>
      <c r="M406" s="367"/>
    </row>
    <row r="407" customFormat="false" ht="12.75" hidden="false" customHeight="true" outlineLevel="0" collapsed="false">
      <c r="B407" s="361"/>
      <c r="C407" s="362"/>
      <c r="D407" s="362"/>
      <c r="E407" s="363"/>
      <c r="F407" s="364"/>
      <c r="G407" s="363"/>
      <c r="H407" s="363"/>
      <c r="I407" s="363"/>
      <c r="J407" s="363"/>
      <c r="K407" s="363"/>
      <c r="L407" s="363"/>
      <c r="M407" s="367"/>
    </row>
    <row r="408" customFormat="false" ht="12.75" hidden="false" customHeight="true" outlineLevel="0" collapsed="false">
      <c r="B408" s="361"/>
      <c r="C408" s="362"/>
      <c r="D408" s="362"/>
      <c r="E408" s="363"/>
      <c r="F408" s="364"/>
      <c r="G408" s="363"/>
      <c r="H408" s="363"/>
      <c r="I408" s="363"/>
      <c r="J408" s="363"/>
      <c r="K408" s="363"/>
      <c r="L408" s="363"/>
      <c r="M408" s="367"/>
    </row>
    <row r="409" customFormat="false" ht="12.75" hidden="false" customHeight="true" outlineLevel="0" collapsed="false">
      <c r="B409" s="361"/>
      <c r="C409" s="362"/>
      <c r="D409" s="362"/>
      <c r="E409" s="363"/>
      <c r="F409" s="364"/>
      <c r="G409" s="363"/>
      <c r="H409" s="363"/>
      <c r="I409" s="363"/>
      <c r="J409" s="363"/>
      <c r="K409" s="363"/>
      <c r="L409" s="363"/>
      <c r="M409" s="367"/>
    </row>
    <row r="410" customFormat="false" ht="12.75" hidden="false" customHeight="true" outlineLevel="0" collapsed="false">
      <c r="B410" s="361"/>
      <c r="C410" s="362"/>
      <c r="D410" s="362"/>
      <c r="E410" s="363"/>
      <c r="F410" s="364"/>
      <c r="G410" s="363"/>
      <c r="H410" s="363"/>
      <c r="I410" s="363"/>
      <c r="J410" s="363"/>
      <c r="K410" s="363"/>
      <c r="L410" s="363"/>
      <c r="M410" s="367"/>
    </row>
    <row r="411" customFormat="false" ht="12.75" hidden="false" customHeight="true" outlineLevel="0" collapsed="false">
      <c r="B411" s="361"/>
      <c r="C411" s="362"/>
      <c r="D411" s="362"/>
      <c r="E411" s="363"/>
      <c r="F411" s="364"/>
      <c r="G411" s="363"/>
      <c r="H411" s="363"/>
      <c r="I411" s="363"/>
      <c r="J411" s="363"/>
      <c r="K411" s="363"/>
      <c r="L411" s="363"/>
      <c r="M411" s="367"/>
    </row>
    <row r="412" customFormat="false" ht="12.75" hidden="false" customHeight="true" outlineLevel="0" collapsed="false">
      <c r="B412" s="361"/>
      <c r="C412" s="362"/>
      <c r="D412" s="362"/>
      <c r="E412" s="363"/>
      <c r="F412" s="364"/>
      <c r="G412" s="363"/>
      <c r="H412" s="363"/>
      <c r="I412" s="363"/>
      <c r="J412" s="363"/>
      <c r="K412" s="363"/>
      <c r="L412" s="363"/>
      <c r="M412" s="367"/>
    </row>
    <row r="413" customFormat="false" ht="12.75" hidden="false" customHeight="true" outlineLevel="0" collapsed="false">
      <c r="B413" s="361"/>
      <c r="C413" s="362"/>
      <c r="D413" s="362"/>
      <c r="E413" s="363"/>
      <c r="F413" s="364"/>
      <c r="G413" s="363"/>
      <c r="H413" s="363"/>
      <c r="I413" s="363"/>
      <c r="J413" s="363"/>
      <c r="K413" s="363"/>
      <c r="L413" s="363"/>
      <c r="M413" s="367"/>
    </row>
    <row r="414" customFormat="false" ht="12.75" hidden="false" customHeight="true" outlineLevel="0" collapsed="false">
      <c r="B414" s="361"/>
      <c r="C414" s="362"/>
      <c r="D414" s="362"/>
      <c r="E414" s="363"/>
      <c r="F414" s="364"/>
      <c r="G414" s="363"/>
      <c r="H414" s="363"/>
      <c r="I414" s="363"/>
      <c r="J414" s="363"/>
      <c r="K414" s="363"/>
      <c r="L414" s="363"/>
      <c r="M414" s="367"/>
    </row>
    <row r="415" customFormat="false" ht="12.75" hidden="false" customHeight="true" outlineLevel="0" collapsed="false">
      <c r="B415" s="361"/>
      <c r="C415" s="362"/>
      <c r="D415" s="362"/>
      <c r="E415" s="363"/>
      <c r="F415" s="364"/>
      <c r="G415" s="363"/>
      <c r="H415" s="363"/>
      <c r="I415" s="363"/>
      <c r="J415" s="363"/>
      <c r="K415" s="363"/>
      <c r="L415" s="363"/>
      <c r="M415" s="367"/>
    </row>
    <row r="416" customFormat="false" ht="12.75" hidden="false" customHeight="true" outlineLevel="0" collapsed="false">
      <c r="B416" s="361"/>
      <c r="C416" s="362"/>
      <c r="D416" s="362"/>
      <c r="E416" s="363"/>
      <c r="F416" s="364"/>
      <c r="G416" s="363"/>
      <c r="H416" s="363"/>
      <c r="I416" s="363"/>
      <c r="J416" s="363"/>
      <c r="K416" s="363"/>
      <c r="L416" s="363"/>
      <c r="M416" s="367"/>
    </row>
    <row r="417" customFormat="false" ht="12.75" hidden="false" customHeight="true" outlineLevel="0" collapsed="false">
      <c r="B417" s="361"/>
      <c r="C417" s="362"/>
      <c r="D417" s="362"/>
      <c r="E417" s="363"/>
      <c r="F417" s="364"/>
      <c r="G417" s="363"/>
      <c r="H417" s="363"/>
      <c r="I417" s="363"/>
      <c r="J417" s="363"/>
      <c r="K417" s="363"/>
      <c r="L417" s="363"/>
      <c r="M417" s="367"/>
    </row>
    <row r="418" customFormat="false" ht="12.75" hidden="false" customHeight="true" outlineLevel="0" collapsed="false">
      <c r="B418" s="361"/>
      <c r="C418" s="362"/>
      <c r="D418" s="362"/>
      <c r="E418" s="363"/>
      <c r="F418" s="364"/>
      <c r="G418" s="363"/>
      <c r="H418" s="363"/>
      <c r="I418" s="363"/>
      <c r="J418" s="363"/>
      <c r="K418" s="363"/>
      <c r="L418" s="363"/>
      <c r="M418" s="367"/>
    </row>
    <row r="419" customFormat="false" ht="12.75" hidden="false" customHeight="true" outlineLevel="0" collapsed="false">
      <c r="B419" s="361"/>
      <c r="C419" s="362"/>
      <c r="D419" s="362"/>
      <c r="E419" s="363"/>
      <c r="F419" s="364"/>
      <c r="G419" s="363"/>
      <c r="H419" s="363"/>
      <c r="I419" s="363"/>
      <c r="J419" s="363"/>
      <c r="K419" s="363"/>
      <c r="L419" s="363"/>
      <c r="M419" s="367"/>
    </row>
    <row r="420" customFormat="false" ht="12.75" hidden="false" customHeight="true" outlineLevel="0" collapsed="false">
      <c r="B420" s="361"/>
      <c r="C420" s="362"/>
      <c r="D420" s="362"/>
      <c r="E420" s="363"/>
      <c r="F420" s="364"/>
      <c r="G420" s="363"/>
      <c r="H420" s="363"/>
      <c r="I420" s="363"/>
      <c r="J420" s="363"/>
      <c r="K420" s="363"/>
      <c r="L420" s="363"/>
      <c r="M420" s="367"/>
    </row>
    <row r="421" customFormat="false" ht="12.75" hidden="false" customHeight="true" outlineLevel="0" collapsed="false">
      <c r="B421" s="361"/>
      <c r="C421" s="362"/>
      <c r="D421" s="362"/>
      <c r="E421" s="363"/>
      <c r="F421" s="364"/>
      <c r="G421" s="363"/>
      <c r="H421" s="363"/>
      <c r="I421" s="363"/>
      <c r="J421" s="363"/>
      <c r="K421" s="363"/>
      <c r="L421" s="363"/>
      <c r="M421" s="367"/>
    </row>
    <row r="422" customFormat="false" ht="12.75" hidden="false" customHeight="true" outlineLevel="0" collapsed="false">
      <c r="B422" s="361"/>
      <c r="C422" s="362"/>
      <c r="D422" s="362"/>
      <c r="E422" s="363"/>
      <c r="F422" s="364"/>
      <c r="G422" s="363"/>
      <c r="H422" s="363"/>
      <c r="I422" s="363"/>
      <c r="J422" s="363"/>
      <c r="K422" s="363"/>
      <c r="L422" s="363"/>
      <c r="M422" s="367"/>
    </row>
    <row r="423" customFormat="false" ht="12.75" hidden="false" customHeight="true" outlineLevel="0" collapsed="false">
      <c r="B423" s="368"/>
      <c r="C423" s="369"/>
      <c r="D423" s="369"/>
      <c r="E423" s="370"/>
      <c r="F423" s="371"/>
      <c r="G423" s="370"/>
      <c r="H423" s="363"/>
      <c r="I423" s="370"/>
      <c r="J423" s="370"/>
      <c r="K423" s="370"/>
      <c r="L423" s="370"/>
      <c r="M423" s="367"/>
    </row>
    <row r="424" customFormat="false" ht="12.75" hidden="false" customHeight="true" outlineLevel="0" collapsed="false">
      <c r="B424" s="361"/>
      <c r="C424" s="362"/>
      <c r="D424" s="362"/>
      <c r="E424" s="363"/>
      <c r="F424" s="364"/>
      <c r="G424" s="363"/>
      <c r="H424" s="363"/>
      <c r="I424" s="363"/>
      <c r="J424" s="363"/>
      <c r="K424" s="363"/>
      <c r="L424" s="363"/>
      <c r="M424" s="367"/>
    </row>
    <row r="425" customFormat="false" ht="12.75" hidden="false" customHeight="true" outlineLevel="0" collapsed="false">
      <c r="B425" s="361"/>
      <c r="C425" s="362"/>
      <c r="D425" s="362"/>
      <c r="E425" s="363"/>
      <c r="F425" s="364"/>
      <c r="G425" s="363"/>
      <c r="H425" s="363"/>
      <c r="I425" s="363"/>
      <c r="J425" s="363"/>
      <c r="K425" s="363"/>
      <c r="L425" s="363"/>
      <c r="M425" s="367"/>
    </row>
    <row r="426" customFormat="false" ht="12.75" hidden="false" customHeight="true" outlineLevel="0" collapsed="false">
      <c r="B426" s="361"/>
      <c r="C426" s="362"/>
      <c r="D426" s="362"/>
      <c r="E426" s="363"/>
      <c r="F426" s="364"/>
      <c r="G426" s="363"/>
      <c r="H426" s="363"/>
      <c r="I426" s="363"/>
      <c r="J426" s="363"/>
      <c r="K426" s="363"/>
      <c r="L426" s="363"/>
      <c r="M426" s="367"/>
    </row>
    <row r="427" customFormat="false" ht="12.75" hidden="false" customHeight="true" outlineLevel="0" collapsed="false">
      <c r="B427" s="361"/>
      <c r="C427" s="362"/>
      <c r="D427" s="362"/>
      <c r="E427" s="363"/>
      <c r="F427" s="364"/>
      <c r="G427" s="363"/>
      <c r="H427" s="363"/>
      <c r="I427" s="363"/>
      <c r="J427" s="363"/>
      <c r="K427" s="363"/>
      <c r="L427" s="363"/>
      <c r="M427" s="367"/>
    </row>
    <row r="428" customFormat="false" ht="12.75" hidden="false" customHeight="true" outlineLevel="0" collapsed="false">
      <c r="B428" s="361"/>
      <c r="C428" s="362"/>
      <c r="D428" s="362"/>
      <c r="E428" s="363"/>
      <c r="F428" s="364"/>
      <c r="G428" s="363"/>
      <c r="H428" s="363"/>
      <c r="I428" s="363"/>
      <c r="J428" s="363"/>
      <c r="K428" s="363"/>
      <c r="L428" s="363"/>
      <c r="M428" s="367"/>
    </row>
    <row r="429" customFormat="false" ht="12.75" hidden="false" customHeight="true" outlineLevel="0" collapsed="false">
      <c r="B429" s="361"/>
      <c r="C429" s="362"/>
      <c r="D429" s="362"/>
      <c r="E429" s="363"/>
      <c r="F429" s="364"/>
      <c r="G429" s="363"/>
      <c r="H429" s="363"/>
      <c r="I429" s="363"/>
      <c r="J429" s="363"/>
      <c r="K429" s="363"/>
      <c r="L429" s="363"/>
      <c r="M429" s="367"/>
    </row>
    <row r="430" customFormat="false" ht="12.75" hidden="false" customHeight="true" outlineLevel="0" collapsed="false">
      <c r="B430" s="361"/>
      <c r="C430" s="362"/>
      <c r="D430" s="362"/>
      <c r="E430" s="363"/>
      <c r="F430" s="364"/>
      <c r="G430" s="363"/>
      <c r="H430" s="363"/>
      <c r="I430" s="363"/>
      <c r="J430" s="363"/>
      <c r="K430" s="363"/>
      <c r="L430" s="363"/>
      <c r="M430" s="367"/>
    </row>
    <row r="431" customFormat="false" ht="12.75" hidden="false" customHeight="true" outlineLevel="0" collapsed="false">
      <c r="B431" s="361"/>
      <c r="C431" s="362"/>
      <c r="D431" s="362"/>
      <c r="E431" s="363"/>
      <c r="F431" s="364"/>
      <c r="G431" s="363"/>
      <c r="H431" s="363"/>
      <c r="I431" s="363"/>
      <c r="J431" s="363"/>
      <c r="K431" s="363"/>
      <c r="L431" s="363"/>
      <c r="M431" s="367"/>
    </row>
    <row r="432" customFormat="false" ht="12.75" hidden="false" customHeight="true" outlineLevel="0" collapsed="false">
      <c r="B432" s="361"/>
      <c r="C432" s="362"/>
      <c r="D432" s="362"/>
      <c r="E432" s="363"/>
      <c r="F432" s="364"/>
      <c r="G432" s="363"/>
      <c r="H432" s="363"/>
      <c r="I432" s="363"/>
      <c r="J432" s="363"/>
      <c r="K432" s="363"/>
      <c r="L432" s="363"/>
      <c r="M432" s="367"/>
    </row>
    <row r="433" customFormat="false" ht="12.75" hidden="false" customHeight="true" outlineLevel="0" collapsed="false">
      <c r="B433" s="361"/>
      <c r="C433" s="362"/>
      <c r="D433" s="362"/>
      <c r="E433" s="363"/>
      <c r="F433" s="364"/>
      <c r="G433" s="363"/>
      <c r="H433" s="363"/>
      <c r="I433" s="363"/>
      <c r="J433" s="363"/>
      <c r="K433" s="363"/>
      <c r="L433" s="363"/>
      <c r="M433" s="367"/>
    </row>
    <row r="434" customFormat="false" ht="12.75" hidden="false" customHeight="true" outlineLevel="0" collapsed="false">
      <c r="B434" s="361"/>
      <c r="C434" s="362"/>
      <c r="D434" s="362"/>
      <c r="E434" s="363"/>
      <c r="F434" s="364"/>
      <c r="G434" s="363"/>
      <c r="H434" s="363"/>
      <c r="I434" s="363"/>
      <c r="J434" s="363"/>
      <c r="K434" s="363"/>
      <c r="L434" s="363"/>
      <c r="M434" s="367"/>
    </row>
    <row r="435" customFormat="false" ht="12.75" hidden="false" customHeight="true" outlineLevel="0" collapsed="false">
      <c r="B435" s="361"/>
      <c r="C435" s="362"/>
      <c r="D435" s="362"/>
      <c r="E435" s="363"/>
      <c r="F435" s="364"/>
      <c r="G435" s="363"/>
      <c r="H435" s="363"/>
      <c r="I435" s="363"/>
      <c r="J435" s="363"/>
      <c r="K435" s="363"/>
      <c r="L435" s="363"/>
      <c r="M435" s="367"/>
    </row>
    <row r="436" customFormat="false" ht="12.75" hidden="false" customHeight="true" outlineLevel="0" collapsed="false">
      <c r="B436" s="361"/>
      <c r="C436" s="362"/>
      <c r="D436" s="362"/>
      <c r="E436" s="363"/>
      <c r="F436" s="364"/>
      <c r="G436" s="363"/>
      <c r="H436" s="363"/>
      <c r="I436" s="363"/>
      <c r="J436" s="363"/>
      <c r="K436" s="363"/>
      <c r="L436" s="363"/>
      <c r="M436" s="367"/>
    </row>
    <row r="437" customFormat="false" ht="12.75" hidden="false" customHeight="true" outlineLevel="0" collapsed="false">
      <c r="B437" s="361"/>
      <c r="C437" s="362"/>
      <c r="D437" s="362"/>
      <c r="E437" s="363"/>
      <c r="F437" s="364"/>
      <c r="G437" s="363"/>
      <c r="H437" s="363"/>
      <c r="I437" s="363"/>
      <c r="J437" s="363"/>
      <c r="K437" s="363"/>
      <c r="L437" s="363"/>
      <c r="M437" s="367"/>
    </row>
    <row r="438" customFormat="false" ht="12.75" hidden="false" customHeight="true" outlineLevel="0" collapsed="false">
      <c r="B438" s="361"/>
      <c r="C438" s="362"/>
      <c r="D438" s="362"/>
      <c r="E438" s="363"/>
      <c r="F438" s="364"/>
      <c r="G438" s="363"/>
      <c r="H438" s="363"/>
      <c r="I438" s="363"/>
      <c r="J438" s="363"/>
      <c r="K438" s="363"/>
      <c r="L438" s="363"/>
      <c r="M438" s="367"/>
    </row>
    <row r="439" customFormat="false" ht="12.75" hidden="false" customHeight="true" outlineLevel="0" collapsed="false">
      <c r="B439" s="361"/>
      <c r="C439" s="362"/>
      <c r="D439" s="362"/>
      <c r="E439" s="363"/>
      <c r="F439" s="364"/>
      <c r="G439" s="363"/>
      <c r="H439" s="363"/>
      <c r="I439" s="363"/>
      <c r="J439" s="363"/>
      <c r="K439" s="363"/>
      <c r="L439" s="363"/>
      <c r="M439" s="367"/>
    </row>
    <row r="440" customFormat="false" ht="12.75" hidden="false" customHeight="true" outlineLevel="0" collapsed="false">
      <c r="B440" s="361"/>
      <c r="C440" s="362"/>
      <c r="D440" s="362"/>
      <c r="E440" s="363"/>
      <c r="F440" s="364"/>
      <c r="G440" s="363"/>
      <c r="H440" s="363"/>
      <c r="I440" s="363"/>
      <c r="J440" s="363"/>
      <c r="K440" s="363"/>
      <c r="L440" s="363"/>
      <c r="M440" s="367"/>
    </row>
    <row r="441" customFormat="false" ht="12.75" hidden="false" customHeight="true" outlineLevel="0" collapsed="false">
      <c r="B441" s="361"/>
      <c r="C441" s="362"/>
      <c r="D441" s="362"/>
      <c r="E441" s="363"/>
      <c r="F441" s="364"/>
      <c r="G441" s="363"/>
      <c r="H441" s="363"/>
      <c r="I441" s="363"/>
      <c r="J441" s="363"/>
      <c r="K441" s="363"/>
      <c r="L441" s="363"/>
      <c r="M441" s="367"/>
    </row>
    <row r="442" customFormat="false" ht="12.75" hidden="false" customHeight="true" outlineLevel="0" collapsed="false">
      <c r="B442" s="361"/>
      <c r="C442" s="362"/>
      <c r="D442" s="362"/>
      <c r="E442" s="363"/>
      <c r="F442" s="364"/>
      <c r="G442" s="363"/>
      <c r="H442" s="363"/>
      <c r="I442" s="363"/>
      <c r="J442" s="363"/>
      <c r="K442" s="363"/>
      <c r="L442" s="363"/>
      <c r="M442" s="367"/>
    </row>
    <row r="443" customFormat="false" ht="12.75" hidden="false" customHeight="true" outlineLevel="0" collapsed="false">
      <c r="B443" s="361"/>
      <c r="C443" s="362"/>
      <c r="D443" s="362"/>
      <c r="E443" s="363"/>
      <c r="F443" s="364"/>
      <c r="G443" s="363"/>
      <c r="H443" s="363"/>
      <c r="I443" s="363"/>
      <c r="J443" s="363"/>
      <c r="K443" s="363"/>
      <c r="L443" s="363"/>
      <c r="M443" s="367"/>
    </row>
    <row r="444" customFormat="false" ht="12.75" hidden="false" customHeight="true" outlineLevel="0" collapsed="false">
      <c r="B444" s="361"/>
      <c r="C444" s="362"/>
      <c r="D444" s="362"/>
      <c r="E444" s="363"/>
      <c r="F444" s="364"/>
      <c r="G444" s="363"/>
      <c r="H444" s="363"/>
      <c r="I444" s="363"/>
      <c r="J444" s="363"/>
      <c r="K444" s="363"/>
      <c r="L444" s="363"/>
      <c r="M444" s="367"/>
    </row>
    <row r="445" customFormat="false" ht="12.75" hidden="false" customHeight="true" outlineLevel="0" collapsed="false">
      <c r="B445" s="361"/>
      <c r="C445" s="362"/>
      <c r="D445" s="362"/>
      <c r="E445" s="363"/>
      <c r="F445" s="364"/>
      <c r="G445" s="363"/>
      <c r="H445" s="363"/>
      <c r="I445" s="363"/>
      <c r="J445" s="363"/>
      <c r="K445" s="363"/>
      <c r="L445" s="363"/>
      <c r="M445" s="367"/>
    </row>
    <row r="446" customFormat="false" ht="12.75" hidden="false" customHeight="true" outlineLevel="0" collapsed="false">
      <c r="B446" s="361"/>
      <c r="C446" s="362"/>
      <c r="D446" s="362"/>
      <c r="E446" s="363"/>
      <c r="F446" s="364"/>
      <c r="G446" s="363"/>
      <c r="H446" s="363"/>
      <c r="I446" s="363"/>
      <c r="J446" s="363"/>
      <c r="K446" s="363"/>
      <c r="L446" s="363"/>
      <c r="M446" s="367"/>
    </row>
    <row r="447" customFormat="false" ht="12.75" hidden="false" customHeight="true" outlineLevel="0" collapsed="false">
      <c r="B447" s="361"/>
      <c r="C447" s="362"/>
      <c r="D447" s="362"/>
      <c r="E447" s="363"/>
      <c r="F447" s="364"/>
      <c r="G447" s="363"/>
      <c r="H447" s="363"/>
      <c r="I447" s="363"/>
      <c r="J447" s="363"/>
      <c r="K447" s="363"/>
      <c r="L447" s="363"/>
      <c r="M447" s="367"/>
    </row>
    <row r="448" customFormat="false" ht="12.75" hidden="false" customHeight="true" outlineLevel="0" collapsed="false">
      <c r="B448" s="361"/>
      <c r="C448" s="362"/>
      <c r="D448" s="362"/>
      <c r="E448" s="363"/>
      <c r="F448" s="364"/>
      <c r="G448" s="363"/>
      <c r="H448" s="363"/>
      <c r="I448" s="363"/>
      <c r="J448" s="363"/>
      <c r="K448" s="363"/>
      <c r="L448" s="363"/>
      <c r="M448" s="367"/>
    </row>
    <row r="449" customFormat="false" ht="12.75" hidden="false" customHeight="true" outlineLevel="0" collapsed="false">
      <c r="B449" s="361"/>
      <c r="C449" s="362"/>
      <c r="D449" s="362"/>
      <c r="E449" s="363"/>
      <c r="F449" s="364"/>
      <c r="G449" s="363"/>
      <c r="H449" s="363"/>
      <c r="I449" s="363"/>
      <c r="J449" s="363"/>
      <c r="K449" s="363"/>
      <c r="L449" s="363"/>
      <c r="M449" s="367"/>
    </row>
    <row r="450" customFormat="false" ht="12.75" hidden="false" customHeight="true" outlineLevel="0" collapsed="false">
      <c r="B450" s="368"/>
      <c r="C450" s="369"/>
      <c r="D450" s="369"/>
      <c r="E450" s="370"/>
      <c r="F450" s="371"/>
      <c r="G450" s="370"/>
      <c r="H450" s="363"/>
      <c r="I450" s="370"/>
      <c r="J450" s="370"/>
      <c r="K450" s="370"/>
      <c r="L450" s="370"/>
      <c r="M450" s="367"/>
    </row>
    <row r="451" customFormat="false" ht="12.75" hidden="false" customHeight="true" outlineLevel="0" collapsed="false">
      <c r="B451" s="361"/>
      <c r="C451" s="362"/>
      <c r="D451" s="362"/>
      <c r="E451" s="363"/>
      <c r="F451" s="374"/>
      <c r="G451" s="363"/>
      <c r="H451" s="363"/>
      <c r="I451" s="363"/>
      <c r="J451" s="363"/>
      <c r="K451" s="363"/>
      <c r="L451" s="363"/>
      <c r="M451" s="367"/>
    </row>
    <row r="452" customFormat="false" ht="12.75" hidden="false" customHeight="true" outlineLevel="0" collapsed="false">
      <c r="B452" s="361"/>
      <c r="C452" s="362"/>
      <c r="D452" s="362"/>
      <c r="E452" s="363"/>
      <c r="F452" s="374"/>
      <c r="G452" s="363"/>
      <c r="H452" s="363"/>
      <c r="I452" s="363"/>
      <c r="J452" s="363"/>
      <c r="K452" s="363"/>
      <c r="L452" s="363"/>
      <c r="M452" s="367"/>
    </row>
    <row r="453" customFormat="false" ht="12.75" hidden="false" customHeight="true" outlineLevel="0" collapsed="false">
      <c r="B453" s="368"/>
      <c r="C453" s="362"/>
      <c r="D453" s="362"/>
      <c r="E453" s="363"/>
      <c r="F453" s="374"/>
      <c r="G453" s="363"/>
      <c r="H453" s="363"/>
      <c r="I453" s="363"/>
      <c r="J453" s="363"/>
      <c r="K453" s="363"/>
      <c r="L453" s="363"/>
      <c r="M453" s="367"/>
    </row>
    <row r="454" customFormat="false" ht="12.75" hidden="false" customHeight="true" outlineLevel="0" collapsed="false">
      <c r="B454" s="361"/>
      <c r="C454" s="362"/>
      <c r="D454" s="362"/>
      <c r="E454" s="363"/>
      <c r="F454" s="374"/>
      <c r="G454" s="363"/>
      <c r="H454" s="363"/>
      <c r="I454" s="363"/>
      <c r="J454" s="363"/>
      <c r="K454" s="363"/>
      <c r="L454" s="363"/>
      <c r="M454" s="367"/>
    </row>
    <row r="455" customFormat="false" ht="12.75" hidden="false" customHeight="true" outlineLevel="0" collapsed="false">
      <c r="B455" s="361"/>
      <c r="C455" s="362"/>
      <c r="D455" s="362"/>
      <c r="E455" s="363"/>
      <c r="F455" s="374"/>
      <c r="G455" s="363"/>
      <c r="H455" s="363"/>
      <c r="I455" s="363"/>
      <c r="J455" s="363"/>
      <c r="K455" s="363"/>
      <c r="L455" s="363"/>
      <c r="M455" s="367"/>
    </row>
    <row r="456" customFormat="false" ht="12.75" hidden="false" customHeight="true" outlineLevel="0" collapsed="false">
      <c r="B456" s="368"/>
      <c r="C456" s="362"/>
      <c r="D456" s="362"/>
      <c r="E456" s="363"/>
      <c r="F456" s="374"/>
      <c r="G456" s="363"/>
      <c r="H456" s="363"/>
      <c r="I456" s="363"/>
      <c r="J456" s="363"/>
      <c r="K456" s="363"/>
      <c r="L456" s="363"/>
      <c r="M456" s="367"/>
    </row>
    <row r="457" customFormat="false" ht="12.75" hidden="false" customHeight="true" outlineLevel="0" collapsed="false">
      <c r="B457" s="361"/>
      <c r="C457" s="362"/>
      <c r="D457" s="362"/>
      <c r="E457" s="363"/>
      <c r="F457" s="374"/>
      <c r="G457" s="363"/>
      <c r="H457" s="363"/>
      <c r="I457" s="363"/>
      <c r="J457" s="363"/>
      <c r="K457" s="363"/>
      <c r="L457" s="363"/>
      <c r="M457" s="367"/>
    </row>
    <row r="458" customFormat="false" ht="12.75" hidden="false" customHeight="true" outlineLevel="0" collapsed="false">
      <c r="B458" s="361"/>
      <c r="C458" s="362"/>
      <c r="D458" s="362"/>
      <c r="E458" s="363"/>
      <c r="F458" s="374"/>
      <c r="G458" s="363"/>
      <c r="H458" s="363"/>
      <c r="I458" s="363"/>
      <c r="J458" s="363"/>
      <c r="K458" s="363"/>
      <c r="L458" s="363"/>
      <c r="M458" s="367"/>
    </row>
    <row r="459" customFormat="false" ht="12.75" hidden="false" customHeight="true" outlineLevel="0" collapsed="false">
      <c r="B459" s="368"/>
      <c r="C459" s="362"/>
      <c r="D459" s="362"/>
      <c r="E459" s="363"/>
      <c r="F459" s="374"/>
      <c r="G459" s="363"/>
      <c r="H459" s="363"/>
      <c r="I459" s="363"/>
      <c r="J459" s="363"/>
      <c r="K459" s="363"/>
      <c r="L459" s="363"/>
      <c r="M459" s="367"/>
    </row>
    <row r="460" customFormat="false" ht="12.75" hidden="false" customHeight="true" outlineLevel="0" collapsed="false">
      <c r="B460" s="361"/>
      <c r="C460" s="362"/>
      <c r="D460" s="362"/>
      <c r="E460" s="363"/>
      <c r="F460" s="374"/>
      <c r="G460" s="363"/>
      <c r="H460" s="363"/>
      <c r="I460" s="363"/>
      <c r="J460" s="363"/>
      <c r="K460" s="363"/>
      <c r="L460" s="363"/>
      <c r="M460" s="367"/>
    </row>
    <row r="461" customFormat="false" ht="12.75" hidden="false" customHeight="true" outlineLevel="0" collapsed="false">
      <c r="B461" s="361"/>
      <c r="C461" s="362"/>
      <c r="D461" s="362"/>
      <c r="E461" s="363"/>
      <c r="F461" s="374"/>
      <c r="G461" s="363"/>
      <c r="H461" s="363"/>
      <c r="I461" s="363"/>
      <c r="J461" s="363"/>
      <c r="K461" s="363"/>
      <c r="L461" s="363"/>
      <c r="M461" s="367"/>
    </row>
    <row r="462" customFormat="false" ht="12.75" hidden="false" customHeight="true" outlineLevel="0" collapsed="false">
      <c r="B462" s="368"/>
      <c r="C462" s="362"/>
      <c r="D462" s="362"/>
      <c r="E462" s="363"/>
      <c r="F462" s="374"/>
      <c r="G462" s="363"/>
      <c r="H462" s="363"/>
      <c r="I462" s="363"/>
      <c r="J462" s="363"/>
      <c r="K462" s="363"/>
      <c r="L462" s="363"/>
      <c r="M462" s="367"/>
    </row>
    <row r="463" customFormat="false" ht="12.75" hidden="false" customHeight="true" outlineLevel="0" collapsed="false">
      <c r="B463" s="361"/>
      <c r="C463" s="362"/>
      <c r="D463" s="362"/>
      <c r="E463" s="363"/>
      <c r="F463" s="374"/>
      <c r="G463" s="363"/>
      <c r="H463" s="363"/>
      <c r="I463" s="363"/>
      <c r="J463" s="363"/>
      <c r="K463" s="363"/>
      <c r="L463" s="363"/>
      <c r="M463" s="367"/>
    </row>
    <row r="464" customFormat="false" ht="12.75" hidden="false" customHeight="true" outlineLevel="0" collapsed="false">
      <c r="B464" s="361"/>
      <c r="C464" s="362"/>
      <c r="D464" s="362"/>
      <c r="E464" s="363"/>
      <c r="F464" s="374"/>
      <c r="G464" s="363"/>
      <c r="H464" s="363"/>
      <c r="I464" s="363"/>
      <c r="J464" s="363"/>
      <c r="K464" s="363"/>
      <c r="L464" s="363"/>
      <c r="M464" s="367"/>
    </row>
    <row r="465" customFormat="false" ht="12.75" hidden="false" customHeight="true" outlineLevel="0" collapsed="false">
      <c r="B465" s="368"/>
      <c r="C465" s="362"/>
      <c r="D465" s="362"/>
      <c r="E465" s="363"/>
      <c r="F465" s="374"/>
      <c r="G465" s="363"/>
      <c r="H465" s="363"/>
      <c r="I465" s="363"/>
      <c r="J465" s="363"/>
      <c r="K465" s="363"/>
      <c r="L465" s="363"/>
      <c r="M465" s="367"/>
    </row>
    <row r="466" customFormat="false" ht="12.75" hidden="false" customHeight="true" outlineLevel="0" collapsed="false">
      <c r="B466" s="361"/>
      <c r="C466" s="362"/>
      <c r="D466" s="362"/>
      <c r="E466" s="363"/>
      <c r="F466" s="374"/>
      <c r="G466" s="363"/>
      <c r="H466" s="363"/>
      <c r="I466" s="363"/>
      <c r="J466" s="363"/>
      <c r="K466" s="363"/>
      <c r="L466" s="363"/>
      <c r="M466" s="367"/>
    </row>
    <row r="467" customFormat="false" ht="12.75" hidden="false" customHeight="true" outlineLevel="0" collapsed="false">
      <c r="B467" s="361"/>
      <c r="C467" s="362"/>
      <c r="D467" s="362"/>
      <c r="E467" s="363"/>
      <c r="F467" s="374"/>
      <c r="G467" s="363"/>
      <c r="H467" s="363"/>
      <c r="I467" s="363"/>
      <c r="J467" s="363"/>
      <c r="K467" s="363"/>
      <c r="L467" s="363"/>
      <c r="M467" s="367"/>
    </row>
    <row r="468" customFormat="false" ht="12.75" hidden="false" customHeight="true" outlineLevel="0" collapsed="false">
      <c r="B468" s="368"/>
      <c r="C468" s="362"/>
      <c r="D468" s="362"/>
      <c r="E468" s="363"/>
      <c r="F468" s="374"/>
      <c r="G468" s="363"/>
      <c r="H468" s="363"/>
      <c r="I468" s="363"/>
      <c r="J468" s="363"/>
      <c r="K468" s="363"/>
      <c r="L468" s="363"/>
      <c r="M468" s="367"/>
    </row>
    <row r="469" customFormat="false" ht="12.75" hidden="false" customHeight="true" outlineLevel="0" collapsed="false">
      <c r="B469" s="361"/>
      <c r="C469" s="362"/>
      <c r="D469" s="362"/>
      <c r="E469" s="363"/>
      <c r="F469" s="374"/>
      <c r="G469" s="363"/>
      <c r="H469" s="363"/>
      <c r="I469" s="363"/>
      <c r="J469" s="363"/>
      <c r="K469" s="363"/>
      <c r="L469" s="363"/>
      <c r="M469" s="367"/>
    </row>
    <row r="470" customFormat="false" ht="12.75" hidden="false" customHeight="true" outlineLevel="0" collapsed="false">
      <c r="B470" s="361"/>
      <c r="C470" s="362"/>
      <c r="D470" s="362"/>
      <c r="E470" s="363"/>
      <c r="F470" s="374"/>
      <c r="G470" s="363"/>
      <c r="H470" s="363"/>
      <c r="I470" s="363"/>
      <c r="J470" s="363"/>
      <c r="K470" s="363"/>
      <c r="L470" s="363"/>
      <c r="M470" s="367"/>
    </row>
    <row r="471" customFormat="false" ht="12.75" hidden="false" customHeight="true" outlineLevel="0" collapsed="false">
      <c r="B471" s="368"/>
      <c r="C471" s="362"/>
      <c r="D471" s="362"/>
      <c r="E471" s="363"/>
      <c r="F471" s="374"/>
      <c r="G471" s="363"/>
      <c r="H471" s="363"/>
      <c r="I471" s="363"/>
      <c r="J471" s="363"/>
      <c r="K471" s="363"/>
      <c r="L471" s="363"/>
      <c r="M471" s="367"/>
    </row>
    <row r="472" customFormat="false" ht="12.75" hidden="false" customHeight="true" outlineLevel="0" collapsed="false">
      <c r="B472" s="361"/>
      <c r="C472" s="362"/>
      <c r="D472" s="362"/>
      <c r="E472" s="363"/>
      <c r="F472" s="374"/>
      <c r="G472" s="363"/>
      <c r="H472" s="363"/>
      <c r="I472" s="363"/>
      <c r="J472" s="363"/>
      <c r="K472" s="363"/>
      <c r="L472" s="363"/>
      <c r="M472" s="367"/>
    </row>
    <row r="473" customFormat="false" ht="12.75" hidden="false" customHeight="true" outlineLevel="0" collapsed="false">
      <c r="B473" s="361"/>
      <c r="C473" s="369"/>
      <c r="D473" s="369"/>
      <c r="E473" s="370"/>
      <c r="F473" s="375"/>
      <c r="G473" s="370"/>
      <c r="H473" s="363"/>
      <c r="I473" s="370"/>
      <c r="J473" s="370"/>
      <c r="K473" s="370"/>
      <c r="L473" s="370"/>
      <c r="M473" s="367"/>
    </row>
    <row r="474" customFormat="false" ht="12.75" hidden="false" customHeight="true" outlineLevel="0" collapsed="false">
      <c r="B474" s="361"/>
      <c r="C474" s="369"/>
      <c r="D474" s="362"/>
      <c r="E474" s="363"/>
      <c r="F474" s="364"/>
      <c r="G474" s="363"/>
      <c r="H474" s="363"/>
      <c r="I474" s="370"/>
      <c r="J474" s="363"/>
      <c r="K474" s="370"/>
      <c r="L474" s="363"/>
      <c r="M474" s="367"/>
    </row>
    <row r="475" customFormat="false" ht="12.75" hidden="false" customHeight="true" outlineLevel="0" collapsed="false">
      <c r="B475" s="361"/>
      <c r="C475" s="369"/>
      <c r="D475" s="362"/>
      <c r="E475" s="363"/>
      <c r="F475" s="364"/>
      <c r="G475" s="363"/>
      <c r="H475" s="363"/>
      <c r="I475" s="370"/>
      <c r="J475" s="363"/>
      <c r="K475" s="363"/>
      <c r="L475" s="363"/>
      <c r="M475" s="367"/>
    </row>
    <row r="476" customFormat="false" ht="12.75" hidden="false" customHeight="true" outlineLevel="0" collapsed="false">
      <c r="B476" s="361"/>
      <c r="C476" s="369"/>
      <c r="D476" s="362"/>
      <c r="E476" s="363"/>
      <c r="F476" s="364"/>
      <c r="G476" s="363"/>
      <c r="H476" s="363"/>
      <c r="I476" s="370"/>
      <c r="J476" s="363"/>
      <c r="K476" s="363"/>
      <c r="L476" s="363"/>
      <c r="M476" s="367"/>
    </row>
    <row r="477" customFormat="false" ht="12.75" hidden="false" customHeight="true" outlineLevel="0" collapsed="false">
      <c r="B477" s="361"/>
      <c r="C477" s="369"/>
      <c r="D477" s="362"/>
      <c r="E477" s="363"/>
      <c r="F477" s="364"/>
      <c r="G477" s="363"/>
      <c r="H477" s="363"/>
      <c r="I477" s="370"/>
      <c r="J477" s="363"/>
      <c r="K477" s="363"/>
      <c r="L477" s="363"/>
      <c r="M477" s="367"/>
    </row>
    <row r="478" customFormat="false" ht="12.75" hidden="false" customHeight="true" outlineLevel="0" collapsed="false">
      <c r="B478" s="361"/>
      <c r="C478" s="369"/>
      <c r="D478" s="362"/>
      <c r="E478" s="363"/>
      <c r="F478" s="364"/>
      <c r="G478" s="363"/>
      <c r="H478" s="363"/>
      <c r="I478" s="370"/>
      <c r="J478" s="363"/>
      <c r="K478" s="363"/>
      <c r="L478" s="363"/>
      <c r="M478" s="367"/>
    </row>
    <row r="479" customFormat="false" ht="12.75" hidden="false" customHeight="true" outlineLevel="0" collapsed="false">
      <c r="B479" s="361"/>
      <c r="C479" s="369"/>
      <c r="D479" s="362"/>
      <c r="E479" s="363"/>
      <c r="F479" s="364"/>
      <c r="G479" s="363"/>
      <c r="H479" s="363"/>
      <c r="I479" s="370"/>
      <c r="J479" s="363"/>
      <c r="K479" s="363"/>
      <c r="L479" s="363"/>
      <c r="M479" s="367"/>
    </row>
    <row r="480" customFormat="false" ht="12.75" hidden="false" customHeight="true" outlineLevel="0" collapsed="false">
      <c r="B480" s="361"/>
      <c r="C480" s="369"/>
      <c r="D480" s="362"/>
      <c r="E480" s="363"/>
      <c r="F480" s="364"/>
      <c r="G480" s="363"/>
      <c r="H480" s="363"/>
      <c r="I480" s="370"/>
      <c r="J480" s="363"/>
      <c r="K480" s="363"/>
      <c r="L480" s="363"/>
      <c r="M480" s="367"/>
    </row>
    <row r="481" customFormat="false" ht="12.75" hidden="false" customHeight="true" outlineLevel="0" collapsed="false">
      <c r="B481" s="361"/>
      <c r="C481" s="369"/>
      <c r="D481" s="362"/>
      <c r="E481" s="363"/>
      <c r="F481" s="364"/>
      <c r="G481" s="363"/>
      <c r="H481" s="363"/>
      <c r="I481" s="370"/>
      <c r="J481" s="370"/>
      <c r="K481" s="363"/>
      <c r="L481" s="363"/>
      <c r="M481" s="367"/>
    </row>
    <row r="482" customFormat="false" ht="12.75" hidden="false" customHeight="true" outlineLevel="0" collapsed="false">
      <c r="B482" s="361"/>
      <c r="C482" s="369"/>
      <c r="D482" s="362"/>
      <c r="E482" s="363"/>
      <c r="F482" s="364"/>
      <c r="G482" s="363"/>
      <c r="H482" s="363"/>
      <c r="I482" s="370"/>
      <c r="J482" s="363"/>
      <c r="K482" s="363"/>
      <c r="L482" s="363"/>
      <c r="M482" s="367"/>
    </row>
    <row r="483" customFormat="false" ht="12.75" hidden="false" customHeight="true" outlineLevel="0" collapsed="false">
      <c r="B483" s="361"/>
      <c r="C483" s="369"/>
      <c r="D483" s="362"/>
      <c r="E483" s="363"/>
      <c r="F483" s="364"/>
      <c r="G483" s="363"/>
      <c r="H483" s="363"/>
      <c r="I483" s="370"/>
      <c r="J483" s="363"/>
      <c r="K483" s="363"/>
      <c r="L483" s="370"/>
      <c r="M483" s="367"/>
    </row>
    <row r="484" customFormat="false" ht="12.75" hidden="false" customHeight="true" outlineLevel="0" collapsed="false">
      <c r="B484" s="361"/>
      <c r="C484" s="369"/>
      <c r="D484" s="362"/>
      <c r="E484" s="363"/>
      <c r="F484" s="364"/>
      <c r="G484" s="363"/>
      <c r="H484" s="363"/>
      <c r="I484" s="370"/>
      <c r="J484" s="363"/>
      <c r="K484" s="363"/>
      <c r="L484" s="363"/>
      <c r="M484" s="367"/>
    </row>
    <row r="485" customFormat="false" ht="12.75" hidden="false" customHeight="true" outlineLevel="0" collapsed="false">
      <c r="B485" s="361"/>
      <c r="C485" s="369"/>
      <c r="D485" s="362"/>
      <c r="E485" s="363"/>
      <c r="F485" s="364"/>
      <c r="G485" s="363"/>
      <c r="H485" s="363"/>
      <c r="I485" s="370"/>
      <c r="J485" s="363"/>
      <c r="K485" s="363"/>
      <c r="L485" s="363"/>
      <c r="M485" s="367"/>
    </row>
    <row r="486" customFormat="false" ht="12.75" hidden="false" customHeight="true" outlineLevel="0" collapsed="false">
      <c r="B486" s="361"/>
      <c r="C486" s="369"/>
      <c r="D486" s="362"/>
      <c r="E486" s="363"/>
      <c r="F486" s="364"/>
      <c r="G486" s="363"/>
      <c r="H486" s="363"/>
      <c r="I486" s="370"/>
      <c r="J486" s="363"/>
      <c r="K486" s="363"/>
      <c r="L486" s="363"/>
      <c r="M486" s="367"/>
    </row>
    <row r="487" customFormat="false" ht="12.75" hidden="false" customHeight="true" outlineLevel="0" collapsed="false">
      <c r="B487" s="361"/>
      <c r="C487" s="369"/>
      <c r="D487" s="362"/>
      <c r="E487" s="363"/>
      <c r="F487" s="364"/>
      <c r="G487" s="363"/>
      <c r="H487" s="363"/>
      <c r="I487" s="370"/>
      <c r="J487" s="363"/>
      <c r="K487" s="363"/>
      <c r="L487" s="363"/>
      <c r="M487" s="367"/>
    </row>
    <row r="488" customFormat="false" ht="12.75" hidden="false" customHeight="true" outlineLevel="0" collapsed="false">
      <c r="B488" s="361"/>
      <c r="C488" s="369"/>
      <c r="D488" s="362"/>
      <c r="E488" s="363"/>
      <c r="F488" s="364"/>
      <c r="G488" s="363"/>
      <c r="H488" s="363"/>
      <c r="I488" s="370"/>
      <c r="J488" s="363"/>
      <c r="K488" s="363"/>
      <c r="L488" s="363"/>
      <c r="M488" s="367"/>
    </row>
    <row r="489" customFormat="false" ht="12.75" hidden="false" customHeight="true" outlineLevel="0" collapsed="false">
      <c r="B489" s="361"/>
      <c r="C489" s="369"/>
      <c r="D489" s="362"/>
      <c r="E489" s="363"/>
      <c r="F489" s="364"/>
      <c r="G489" s="363"/>
      <c r="H489" s="363"/>
      <c r="I489" s="370"/>
      <c r="J489" s="363"/>
      <c r="K489" s="363"/>
      <c r="L489" s="363"/>
      <c r="M489" s="367"/>
    </row>
    <row r="490" customFormat="false" ht="12.75" hidden="false" customHeight="true" outlineLevel="0" collapsed="false">
      <c r="B490" s="361"/>
      <c r="C490" s="369"/>
      <c r="D490" s="362"/>
      <c r="E490" s="363"/>
      <c r="F490" s="364"/>
      <c r="G490" s="363"/>
      <c r="H490" s="363"/>
      <c r="I490" s="370"/>
      <c r="J490" s="363"/>
      <c r="K490" s="363"/>
      <c r="L490" s="363"/>
      <c r="M490" s="367"/>
    </row>
    <row r="491" customFormat="false" ht="12.75" hidden="false" customHeight="true" outlineLevel="0" collapsed="false">
      <c r="B491" s="361"/>
      <c r="C491" s="369"/>
      <c r="D491" s="362"/>
      <c r="E491" s="363"/>
      <c r="F491" s="364"/>
      <c r="G491" s="363"/>
      <c r="H491" s="363"/>
      <c r="I491" s="370"/>
      <c r="J491" s="363"/>
      <c r="K491" s="363"/>
      <c r="L491" s="363"/>
      <c r="M491" s="367"/>
    </row>
    <row r="492" customFormat="false" ht="12.75" hidden="false" customHeight="true" outlineLevel="0" collapsed="false">
      <c r="B492" s="361"/>
      <c r="C492" s="369"/>
      <c r="D492" s="362"/>
      <c r="E492" s="363"/>
      <c r="F492" s="364"/>
      <c r="G492" s="363"/>
      <c r="H492" s="363"/>
      <c r="I492" s="370"/>
      <c r="J492" s="363"/>
      <c r="K492" s="363"/>
      <c r="L492" s="363"/>
      <c r="M492" s="367"/>
    </row>
    <row r="493" customFormat="false" ht="12.75" hidden="false" customHeight="true" outlineLevel="0" collapsed="false">
      <c r="B493" s="361"/>
      <c r="C493" s="369"/>
      <c r="D493" s="362"/>
      <c r="E493" s="363"/>
      <c r="F493" s="364"/>
      <c r="G493" s="363"/>
      <c r="H493" s="363"/>
      <c r="I493" s="370"/>
      <c r="J493" s="363"/>
      <c r="K493" s="363"/>
      <c r="L493" s="363"/>
      <c r="M493" s="367"/>
    </row>
    <row r="494" customFormat="false" ht="12.75" hidden="false" customHeight="true" outlineLevel="0" collapsed="false">
      <c r="B494" s="361"/>
      <c r="C494" s="369"/>
      <c r="D494" s="362"/>
      <c r="E494" s="363"/>
      <c r="F494" s="364"/>
      <c r="G494" s="363"/>
      <c r="H494" s="363"/>
      <c r="I494" s="370"/>
      <c r="J494" s="363"/>
      <c r="K494" s="363"/>
      <c r="L494" s="363"/>
      <c r="M494" s="367"/>
    </row>
    <row r="495" customFormat="false" ht="12.75" hidden="false" customHeight="true" outlineLevel="0" collapsed="false">
      <c r="B495" s="361"/>
      <c r="C495" s="369"/>
      <c r="D495" s="362"/>
      <c r="E495" s="363"/>
      <c r="F495" s="364"/>
      <c r="G495" s="363"/>
      <c r="H495" s="363"/>
      <c r="I495" s="370"/>
      <c r="J495" s="363"/>
      <c r="K495" s="363"/>
      <c r="L495" s="363"/>
      <c r="M495" s="367"/>
    </row>
    <row r="496" customFormat="false" ht="12.75" hidden="false" customHeight="true" outlineLevel="0" collapsed="false">
      <c r="B496" s="361"/>
      <c r="C496" s="369"/>
      <c r="D496" s="362"/>
      <c r="E496" s="363"/>
      <c r="F496" s="364"/>
      <c r="G496" s="363"/>
      <c r="H496" s="363"/>
      <c r="I496" s="370"/>
      <c r="J496" s="363"/>
      <c r="K496" s="363"/>
      <c r="L496" s="363"/>
      <c r="M496" s="367"/>
    </row>
    <row r="497" customFormat="false" ht="12.75" hidden="false" customHeight="true" outlineLevel="0" collapsed="false">
      <c r="B497" s="361"/>
      <c r="C497" s="369"/>
      <c r="D497" s="362"/>
      <c r="E497" s="363"/>
      <c r="F497" s="364"/>
      <c r="G497" s="363"/>
      <c r="H497" s="363"/>
      <c r="I497" s="370"/>
      <c r="J497" s="363"/>
      <c r="K497" s="363"/>
      <c r="L497" s="363"/>
      <c r="M497" s="367"/>
    </row>
    <row r="498" customFormat="false" ht="12.75" hidden="false" customHeight="true" outlineLevel="0" collapsed="false">
      <c r="B498" s="361"/>
      <c r="C498" s="369"/>
      <c r="D498" s="362"/>
      <c r="E498" s="363"/>
      <c r="F498" s="364"/>
      <c r="G498" s="363"/>
      <c r="H498" s="363"/>
      <c r="I498" s="370"/>
      <c r="J498" s="363"/>
      <c r="K498" s="363"/>
      <c r="L498" s="363"/>
      <c r="M498" s="367"/>
    </row>
    <row r="499" customFormat="false" ht="12.75" hidden="false" customHeight="true" outlineLevel="0" collapsed="false">
      <c r="B499" s="361"/>
      <c r="C499" s="369"/>
      <c r="D499" s="362"/>
      <c r="E499" s="363"/>
      <c r="F499" s="364"/>
      <c r="G499" s="363"/>
      <c r="H499" s="363"/>
      <c r="I499" s="370"/>
      <c r="J499" s="363"/>
      <c r="K499" s="363"/>
      <c r="L499" s="363"/>
      <c r="M499" s="367"/>
    </row>
    <row r="500" customFormat="false" ht="12.75" hidden="false" customHeight="true" outlineLevel="0" collapsed="false">
      <c r="B500" s="361"/>
      <c r="C500" s="369"/>
      <c r="D500" s="362"/>
      <c r="E500" s="363"/>
      <c r="F500" s="364"/>
      <c r="G500" s="363"/>
      <c r="H500" s="363"/>
      <c r="I500" s="370"/>
      <c r="J500" s="363"/>
      <c r="K500" s="363"/>
      <c r="L500" s="363"/>
      <c r="M500" s="367"/>
    </row>
    <row r="501" customFormat="false" ht="12.75" hidden="false" customHeight="true" outlineLevel="0" collapsed="false">
      <c r="B501" s="361"/>
      <c r="C501" s="369"/>
      <c r="D501" s="362"/>
      <c r="E501" s="363"/>
      <c r="F501" s="364"/>
      <c r="G501" s="363"/>
      <c r="H501" s="363"/>
      <c r="I501" s="370"/>
      <c r="J501" s="363"/>
      <c r="K501" s="363"/>
      <c r="L501" s="363"/>
      <c r="M501" s="367"/>
    </row>
    <row r="502" customFormat="false" ht="12.75" hidden="false" customHeight="true" outlineLevel="0" collapsed="false">
      <c r="B502" s="361"/>
      <c r="C502" s="369"/>
      <c r="D502" s="362"/>
      <c r="E502" s="363"/>
      <c r="F502" s="364"/>
      <c r="G502" s="363"/>
      <c r="H502" s="363"/>
      <c r="I502" s="370"/>
      <c r="J502" s="363"/>
      <c r="K502" s="363"/>
      <c r="L502" s="363"/>
      <c r="M502" s="367"/>
    </row>
    <row r="503" customFormat="false" ht="12.75" hidden="false" customHeight="true" outlineLevel="0" collapsed="false">
      <c r="B503" s="361"/>
      <c r="C503" s="369"/>
      <c r="D503" s="362"/>
      <c r="E503" s="363"/>
      <c r="F503" s="364"/>
      <c r="G503" s="363"/>
      <c r="H503" s="363"/>
      <c r="I503" s="370"/>
      <c r="J503" s="378"/>
      <c r="K503" s="363"/>
      <c r="L503" s="363"/>
      <c r="M503" s="367"/>
    </row>
    <row r="504" customFormat="false" ht="12.75" hidden="false" customHeight="true" outlineLevel="0" collapsed="false">
      <c r="B504" s="361"/>
      <c r="C504" s="362"/>
      <c r="D504" s="362"/>
      <c r="E504" s="363"/>
      <c r="F504" s="374"/>
      <c r="G504" s="363"/>
      <c r="H504" s="363"/>
      <c r="I504" s="363"/>
      <c r="J504" s="363"/>
      <c r="K504" s="363"/>
      <c r="L504" s="363"/>
      <c r="M504" s="367"/>
    </row>
    <row r="505" customFormat="false" ht="12.75" hidden="false" customHeight="true" outlineLevel="0" collapsed="false">
      <c r="B505" s="361"/>
      <c r="C505" s="362"/>
      <c r="D505" s="362"/>
      <c r="E505" s="363"/>
      <c r="F505" s="374"/>
      <c r="G505" s="363"/>
      <c r="H505" s="363"/>
      <c r="I505" s="363"/>
      <c r="J505" s="363"/>
      <c r="K505" s="363"/>
      <c r="L505" s="363"/>
      <c r="M505" s="367"/>
    </row>
    <row r="506" customFormat="false" ht="12.75" hidden="false" customHeight="true" outlineLevel="0" collapsed="false">
      <c r="B506" s="368"/>
      <c r="C506" s="362"/>
      <c r="D506" s="362"/>
      <c r="E506" s="363"/>
      <c r="F506" s="374"/>
      <c r="G506" s="363"/>
      <c r="H506" s="363"/>
      <c r="I506" s="363"/>
      <c r="J506" s="363"/>
      <c r="K506" s="363"/>
      <c r="L506" s="363"/>
      <c r="M506" s="367"/>
    </row>
    <row r="507" customFormat="false" ht="12.75" hidden="false" customHeight="true" outlineLevel="0" collapsed="false">
      <c r="B507" s="361"/>
      <c r="C507" s="362"/>
      <c r="D507" s="362"/>
      <c r="E507" s="363"/>
      <c r="F507" s="374"/>
      <c r="G507" s="363"/>
      <c r="H507" s="363"/>
      <c r="I507" s="363"/>
      <c r="J507" s="363"/>
      <c r="K507" s="363"/>
      <c r="L507" s="363"/>
      <c r="M507" s="367"/>
    </row>
    <row r="508" customFormat="false" ht="12.75" hidden="false" customHeight="true" outlineLevel="0" collapsed="false">
      <c r="B508" s="361"/>
      <c r="C508" s="362"/>
      <c r="D508" s="362"/>
      <c r="E508" s="363"/>
      <c r="F508" s="374"/>
      <c r="G508" s="363"/>
      <c r="H508" s="363"/>
      <c r="I508" s="363"/>
      <c r="J508" s="363"/>
      <c r="K508" s="363"/>
      <c r="L508" s="363"/>
      <c r="M508" s="367"/>
    </row>
    <row r="509" customFormat="false" ht="12.75" hidden="false" customHeight="true" outlineLevel="0" collapsed="false">
      <c r="B509" s="368"/>
      <c r="C509" s="362"/>
      <c r="D509" s="362"/>
      <c r="E509" s="363"/>
      <c r="F509" s="374"/>
      <c r="G509" s="363"/>
      <c r="H509" s="363"/>
      <c r="I509" s="363"/>
      <c r="J509" s="363"/>
      <c r="K509" s="363"/>
      <c r="L509" s="363"/>
      <c r="M509" s="367"/>
    </row>
    <row r="510" customFormat="false" ht="12.75" hidden="false" customHeight="true" outlineLevel="0" collapsed="false">
      <c r="B510" s="361"/>
      <c r="C510" s="362"/>
      <c r="D510" s="362"/>
      <c r="E510" s="363"/>
      <c r="F510" s="374"/>
      <c r="G510" s="363"/>
      <c r="H510" s="363"/>
      <c r="I510" s="363"/>
      <c r="J510" s="363"/>
      <c r="K510" s="363"/>
      <c r="L510" s="363"/>
      <c r="M510" s="367"/>
    </row>
    <row r="511" customFormat="false" ht="12.75" hidden="false" customHeight="true" outlineLevel="0" collapsed="false">
      <c r="B511" s="361"/>
      <c r="C511" s="362"/>
      <c r="D511" s="362"/>
      <c r="E511" s="363"/>
      <c r="F511" s="374"/>
      <c r="G511" s="363"/>
      <c r="H511" s="363"/>
      <c r="I511" s="363"/>
      <c r="J511" s="363"/>
      <c r="K511" s="363"/>
      <c r="L511" s="363"/>
      <c r="M511" s="367"/>
    </row>
    <row r="512" customFormat="false" ht="12.75" hidden="false" customHeight="true" outlineLevel="0" collapsed="false">
      <c r="B512" s="368"/>
      <c r="C512" s="362"/>
      <c r="D512" s="362"/>
      <c r="E512" s="363"/>
      <c r="F512" s="374"/>
      <c r="G512" s="363"/>
      <c r="H512" s="363"/>
      <c r="I512" s="363"/>
      <c r="J512" s="363"/>
      <c r="K512" s="363"/>
      <c r="L512" s="363"/>
      <c r="M512" s="367"/>
    </row>
    <row r="513" customFormat="false" ht="12.75" hidden="false" customHeight="true" outlineLevel="0" collapsed="false">
      <c r="B513" s="361"/>
      <c r="C513" s="362"/>
      <c r="D513" s="362"/>
      <c r="E513" s="363"/>
      <c r="F513" s="374"/>
      <c r="G513" s="363"/>
      <c r="H513" s="363"/>
      <c r="I513" s="363"/>
      <c r="J513" s="363"/>
      <c r="K513" s="363"/>
      <c r="L513" s="363"/>
      <c r="M513" s="367"/>
    </row>
    <row r="514" customFormat="false" ht="12.75" hidden="false" customHeight="true" outlineLevel="0" collapsed="false">
      <c r="B514" s="361"/>
      <c r="C514" s="369"/>
      <c r="D514" s="369"/>
      <c r="E514" s="370"/>
      <c r="F514" s="375"/>
      <c r="G514" s="370"/>
      <c r="H514" s="363"/>
      <c r="I514" s="370"/>
      <c r="J514" s="370"/>
      <c r="K514" s="370"/>
      <c r="L514" s="370"/>
      <c r="M514" s="367"/>
    </row>
    <row r="515" customFormat="false" ht="12.75" hidden="false" customHeight="true" outlineLevel="0" collapsed="false">
      <c r="B515" s="361"/>
      <c r="C515" s="369"/>
      <c r="D515" s="362"/>
      <c r="E515" s="363"/>
      <c r="F515" s="364"/>
      <c r="G515" s="363"/>
      <c r="H515" s="363"/>
      <c r="I515" s="370"/>
      <c r="J515" s="363"/>
      <c r="K515" s="370"/>
      <c r="L515" s="363"/>
      <c r="M515" s="367"/>
    </row>
    <row r="516" customFormat="false" ht="12.75" hidden="false" customHeight="true" outlineLevel="0" collapsed="false">
      <c r="B516" s="361"/>
      <c r="C516" s="369"/>
      <c r="D516" s="362"/>
      <c r="E516" s="363"/>
      <c r="F516" s="364"/>
      <c r="G516" s="363"/>
      <c r="H516" s="363"/>
      <c r="I516" s="370"/>
      <c r="J516" s="363"/>
      <c r="K516" s="363"/>
      <c r="L516" s="363"/>
      <c r="M516" s="367"/>
    </row>
    <row r="517" customFormat="false" ht="12.75" hidden="false" customHeight="true" outlineLevel="0" collapsed="false">
      <c r="B517" s="361"/>
      <c r="C517" s="369"/>
      <c r="D517" s="362"/>
      <c r="E517" s="363"/>
      <c r="F517" s="364"/>
      <c r="G517" s="363"/>
      <c r="H517" s="363"/>
      <c r="I517" s="370"/>
      <c r="J517" s="363"/>
      <c r="K517" s="363"/>
      <c r="L517" s="363"/>
      <c r="M517" s="367"/>
    </row>
    <row r="518" customFormat="false" ht="12.75" hidden="false" customHeight="true" outlineLevel="0" collapsed="false">
      <c r="B518" s="361"/>
      <c r="C518" s="369"/>
      <c r="D518" s="362"/>
      <c r="E518" s="363"/>
      <c r="F518" s="364"/>
      <c r="G518" s="363"/>
      <c r="H518" s="363"/>
      <c r="I518" s="370"/>
      <c r="J518" s="363"/>
      <c r="K518" s="363"/>
      <c r="L518" s="363"/>
      <c r="M518" s="367"/>
    </row>
    <row r="519" customFormat="false" ht="12.75" hidden="false" customHeight="true" outlineLevel="0" collapsed="false">
      <c r="B519" s="361"/>
      <c r="C519" s="369"/>
      <c r="D519" s="362"/>
      <c r="E519" s="363"/>
      <c r="F519" s="364"/>
      <c r="G519" s="363"/>
      <c r="H519" s="363"/>
      <c r="I519" s="370"/>
      <c r="J519" s="363"/>
      <c r="K519" s="363"/>
      <c r="L519" s="363"/>
      <c r="M519" s="367"/>
    </row>
    <row r="520" customFormat="false" ht="12.75" hidden="false" customHeight="true" outlineLevel="0" collapsed="false">
      <c r="B520" s="361"/>
      <c r="C520" s="369"/>
      <c r="D520" s="362"/>
      <c r="E520" s="363"/>
      <c r="F520" s="364"/>
      <c r="G520" s="363"/>
      <c r="H520" s="363"/>
      <c r="I520" s="370"/>
      <c r="J520" s="363"/>
      <c r="K520" s="363"/>
      <c r="L520" s="363"/>
      <c r="M520" s="367"/>
    </row>
    <row r="521" customFormat="false" ht="12.75" hidden="false" customHeight="true" outlineLevel="0" collapsed="false">
      <c r="B521" s="361"/>
      <c r="C521" s="369"/>
      <c r="D521" s="362"/>
      <c r="E521" s="363"/>
      <c r="F521" s="364"/>
      <c r="G521" s="363"/>
      <c r="H521" s="363"/>
      <c r="I521" s="370"/>
      <c r="J521" s="363"/>
      <c r="K521" s="363"/>
      <c r="L521" s="363"/>
      <c r="M521" s="367"/>
    </row>
    <row r="522" customFormat="false" ht="12.75" hidden="false" customHeight="true" outlineLevel="0" collapsed="false">
      <c r="B522" s="361"/>
      <c r="C522" s="369"/>
      <c r="D522" s="362"/>
      <c r="E522" s="363"/>
      <c r="F522" s="364"/>
      <c r="G522" s="363"/>
      <c r="H522" s="363"/>
      <c r="I522" s="370"/>
      <c r="J522" s="370"/>
      <c r="K522" s="363"/>
      <c r="L522" s="363"/>
      <c r="M522" s="367"/>
    </row>
    <row r="523" customFormat="false" ht="12.75" hidden="false" customHeight="true" outlineLevel="0" collapsed="false">
      <c r="B523" s="361"/>
      <c r="C523" s="369"/>
      <c r="D523" s="362"/>
      <c r="E523" s="363"/>
      <c r="F523" s="364"/>
      <c r="G523" s="363"/>
      <c r="H523" s="363"/>
      <c r="I523" s="370"/>
      <c r="J523" s="363"/>
      <c r="K523" s="363"/>
      <c r="L523" s="363"/>
      <c r="M523" s="367"/>
    </row>
    <row r="524" customFormat="false" ht="12.75" hidden="false" customHeight="true" outlineLevel="0" collapsed="false">
      <c r="B524" s="361"/>
      <c r="C524" s="369"/>
      <c r="D524" s="362"/>
      <c r="E524" s="363"/>
      <c r="F524" s="364"/>
      <c r="G524" s="363"/>
      <c r="H524" s="363"/>
      <c r="I524" s="370"/>
      <c r="J524" s="363"/>
      <c r="K524" s="363"/>
      <c r="L524" s="370"/>
      <c r="M524" s="367"/>
    </row>
    <row r="525" customFormat="false" ht="12.75" hidden="false" customHeight="true" outlineLevel="0" collapsed="false">
      <c r="B525" s="361"/>
      <c r="C525" s="369"/>
      <c r="D525" s="362"/>
      <c r="E525" s="363"/>
      <c r="F525" s="364"/>
      <c r="G525" s="363"/>
      <c r="H525" s="363"/>
      <c r="I525" s="370"/>
      <c r="J525" s="363"/>
      <c r="K525" s="363"/>
      <c r="L525" s="363"/>
      <c r="M525" s="367"/>
    </row>
    <row r="526" customFormat="false" ht="12.75" hidden="false" customHeight="true" outlineLevel="0" collapsed="false">
      <c r="B526" s="361"/>
      <c r="C526" s="369"/>
      <c r="D526" s="362"/>
      <c r="E526" s="363"/>
      <c r="F526" s="364"/>
      <c r="G526" s="363"/>
      <c r="H526" s="363"/>
      <c r="I526" s="370"/>
      <c r="J526" s="363"/>
      <c r="K526" s="363"/>
      <c r="L526" s="363"/>
      <c r="M526" s="367"/>
    </row>
    <row r="527" customFormat="false" ht="12.75" hidden="false" customHeight="true" outlineLevel="0" collapsed="false">
      <c r="B527" s="361"/>
      <c r="C527" s="369"/>
      <c r="D527" s="362"/>
      <c r="E527" s="363"/>
      <c r="F527" s="364"/>
      <c r="G527" s="363"/>
      <c r="H527" s="363"/>
      <c r="I527" s="370"/>
      <c r="J527" s="363"/>
      <c r="K527" s="363"/>
      <c r="L527" s="363"/>
      <c r="M527" s="367"/>
    </row>
    <row r="528" customFormat="false" ht="12.75" hidden="false" customHeight="true" outlineLevel="0" collapsed="false">
      <c r="B528" s="361"/>
      <c r="C528" s="369"/>
      <c r="D528" s="362"/>
      <c r="E528" s="363"/>
      <c r="F528" s="364"/>
      <c r="G528" s="363"/>
      <c r="H528" s="363"/>
      <c r="I528" s="370"/>
      <c r="J528" s="363"/>
      <c r="K528" s="363"/>
      <c r="L528" s="363"/>
      <c r="M528" s="367"/>
    </row>
    <row r="529" customFormat="false" ht="12.75" hidden="false" customHeight="true" outlineLevel="0" collapsed="false">
      <c r="B529" s="361"/>
      <c r="C529" s="369"/>
      <c r="D529" s="362"/>
      <c r="E529" s="363"/>
      <c r="F529" s="364"/>
      <c r="G529" s="363"/>
      <c r="H529" s="363"/>
      <c r="I529" s="370"/>
      <c r="J529" s="363"/>
      <c r="K529" s="363"/>
      <c r="L529" s="363"/>
      <c r="M529" s="367"/>
    </row>
    <row r="530" customFormat="false" ht="12.75" hidden="false" customHeight="true" outlineLevel="0" collapsed="false">
      <c r="B530" s="361"/>
      <c r="C530" s="369"/>
      <c r="D530" s="362"/>
      <c r="E530" s="363"/>
      <c r="F530" s="364"/>
      <c r="G530" s="363"/>
      <c r="H530" s="363"/>
      <c r="I530" s="370"/>
      <c r="J530" s="363"/>
      <c r="K530" s="363"/>
      <c r="L530" s="363"/>
      <c r="M530" s="367"/>
    </row>
    <row r="531" customFormat="false" ht="12.75" hidden="false" customHeight="true" outlineLevel="0" collapsed="false">
      <c r="B531" s="361"/>
      <c r="C531" s="369"/>
      <c r="D531" s="362"/>
      <c r="E531" s="363"/>
      <c r="F531" s="364"/>
      <c r="G531" s="363"/>
      <c r="H531" s="363"/>
      <c r="I531" s="370"/>
      <c r="J531" s="363"/>
      <c r="K531" s="363"/>
      <c r="L531" s="363"/>
      <c r="M531" s="367"/>
    </row>
    <row r="532" customFormat="false" ht="12.75" hidden="false" customHeight="true" outlineLevel="0" collapsed="false">
      <c r="B532" s="361"/>
      <c r="C532" s="369"/>
      <c r="D532" s="362"/>
      <c r="E532" s="363"/>
      <c r="F532" s="364"/>
      <c r="G532" s="363"/>
      <c r="H532" s="363"/>
      <c r="I532" s="370"/>
      <c r="J532" s="363"/>
      <c r="K532" s="363"/>
      <c r="L532" s="363"/>
      <c r="M532" s="367"/>
    </row>
    <row r="533" customFormat="false" ht="12.75" hidden="false" customHeight="true" outlineLevel="0" collapsed="false">
      <c r="B533" s="361"/>
      <c r="C533" s="369"/>
      <c r="D533" s="362"/>
      <c r="E533" s="363"/>
      <c r="F533" s="364"/>
      <c r="G533" s="363"/>
      <c r="H533" s="363"/>
      <c r="I533" s="370"/>
      <c r="J533" s="363"/>
      <c r="K533" s="363"/>
      <c r="L533" s="363"/>
      <c r="M533" s="367"/>
    </row>
    <row r="534" customFormat="false" ht="12.75" hidden="false" customHeight="true" outlineLevel="0" collapsed="false">
      <c r="B534" s="361"/>
      <c r="C534" s="369"/>
      <c r="D534" s="362"/>
      <c r="E534" s="363"/>
      <c r="F534" s="364"/>
      <c r="G534" s="363"/>
      <c r="H534" s="363"/>
      <c r="I534" s="370"/>
      <c r="J534" s="363"/>
      <c r="K534" s="363"/>
      <c r="L534" s="363"/>
      <c r="M534" s="367"/>
    </row>
    <row r="535" customFormat="false" ht="12.75" hidden="false" customHeight="true" outlineLevel="0" collapsed="false">
      <c r="B535" s="361"/>
      <c r="C535" s="369"/>
      <c r="D535" s="362"/>
      <c r="E535" s="363"/>
      <c r="F535" s="364"/>
      <c r="G535" s="363"/>
      <c r="H535" s="363"/>
      <c r="I535" s="370"/>
      <c r="J535" s="363"/>
      <c r="K535" s="363"/>
      <c r="L535" s="363"/>
      <c r="M535" s="367"/>
    </row>
    <row r="536" customFormat="false" ht="12.75" hidden="false" customHeight="true" outlineLevel="0" collapsed="false">
      <c r="B536" s="361"/>
      <c r="C536" s="369"/>
      <c r="D536" s="362"/>
      <c r="E536" s="363"/>
      <c r="F536" s="364"/>
      <c r="G536" s="363"/>
      <c r="H536" s="363"/>
      <c r="I536" s="370"/>
      <c r="J536" s="363"/>
      <c r="K536" s="363"/>
      <c r="L536" s="363"/>
      <c r="M536" s="367"/>
    </row>
    <row r="537" customFormat="false" ht="12.75" hidden="false" customHeight="true" outlineLevel="0" collapsed="false">
      <c r="B537" s="361"/>
      <c r="C537" s="369"/>
      <c r="D537" s="362"/>
      <c r="E537" s="363"/>
      <c r="F537" s="364"/>
      <c r="G537" s="363"/>
      <c r="H537" s="363"/>
      <c r="I537" s="370"/>
      <c r="J537" s="363"/>
      <c r="K537" s="363"/>
      <c r="L537" s="363"/>
      <c r="M537" s="367"/>
    </row>
    <row r="538" customFormat="false" ht="12.75" hidden="false" customHeight="true" outlineLevel="0" collapsed="false">
      <c r="B538" s="361"/>
      <c r="C538" s="369"/>
      <c r="D538" s="362"/>
      <c r="E538" s="363"/>
      <c r="F538" s="364"/>
      <c r="G538" s="363"/>
      <c r="H538" s="363"/>
      <c r="I538" s="370"/>
      <c r="J538" s="363"/>
      <c r="K538" s="363"/>
      <c r="L538" s="363"/>
      <c r="M538" s="367"/>
    </row>
    <row r="539" customFormat="false" ht="12.75" hidden="false" customHeight="true" outlineLevel="0" collapsed="false">
      <c r="B539" s="361"/>
      <c r="C539" s="369"/>
      <c r="D539" s="362"/>
      <c r="E539" s="363"/>
      <c r="F539" s="364"/>
      <c r="G539" s="363"/>
      <c r="H539" s="363"/>
      <c r="I539" s="370"/>
      <c r="J539" s="363"/>
      <c r="K539" s="363"/>
      <c r="L539" s="363"/>
      <c r="M539" s="367"/>
    </row>
    <row r="540" customFormat="false" ht="12.75" hidden="false" customHeight="true" outlineLevel="0" collapsed="false">
      <c r="B540" s="361"/>
      <c r="C540" s="369"/>
      <c r="D540" s="362"/>
      <c r="E540" s="363"/>
      <c r="F540" s="364"/>
      <c r="G540" s="363"/>
      <c r="H540" s="363"/>
      <c r="I540" s="370"/>
      <c r="J540" s="363"/>
      <c r="K540" s="363"/>
      <c r="L540" s="363"/>
      <c r="M540" s="367"/>
    </row>
    <row r="541" customFormat="false" ht="12.75" hidden="false" customHeight="true" outlineLevel="0" collapsed="false">
      <c r="B541" s="361"/>
      <c r="C541" s="369"/>
      <c r="D541" s="362"/>
      <c r="E541" s="363"/>
      <c r="F541" s="364"/>
      <c r="G541" s="363"/>
      <c r="H541" s="363"/>
      <c r="I541" s="370"/>
      <c r="J541" s="363"/>
      <c r="K541" s="363"/>
      <c r="L541" s="363"/>
      <c r="M541" s="367"/>
    </row>
    <row r="542" customFormat="false" ht="12.75" hidden="false" customHeight="true" outlineLevel="0" collapsed="false">
      <c r="B542" s="361"/>
      <c r="C542" s="369"/>
      <c r="D542" s="362"/>
      <c r="E542" s="363"/>
      <c r="F542" s="364"/>
      <c r="G542" s="363"/>
      <c r="H542" s="363"/>
      <c r="I542" s="370"/>
      <c r="J542" s="363"/>
      <c r="K542" s="363"/>
      <c r="L542" s="363"/>
      <c r="M542" s="367"/>
    </row>
    <row r="543" customFormat="false" ht="12.75" hidden="false" customHeight="true" outlineLevel="0" collapsed="false">
      <c r="B543" s="361"/>
      <c r="C543" s="362"/>
      <c r="D543" s="362"/>
      <c r="E543" s="363"/>
      <c r="F543" s="372"/>
      <c r="G543" s="363"/>
      <c r="H543" s="363"/>
      <c r="I543" s="363"/>
      <c r="J543" s="363"/>
      <c r="K543" s="363"/>
      <c r="L543" s="363"/>
      <c r="M543" s="367"/>
    </row>
    <row r="544" customFormat="false" ht="12.75" hidden="false" customHeight="true" outlineLevel="0" collapsed="false">
      <c r="B544" s="361"/>
      <c r="C544" s="362"/>
      <c r="D544" s="362"/>
      <c r="E544" s="363"/>
      <c r="F544" s="372"/>
      <c r="G544" s="363"/>
      <c r="H544" s="363"/>
      <c r="I544" s="363"/>
      <c r="J544" s="363"/>
      <c r="K544" s="363"/>
      <c r="L544" s="363"/>
      <c r="M544" s="367"/>
    </row>
    <row r="545" customFormat="false" ht="12.75" hidden="false" customHeight="true" outlineLevel="0" collapsed="false">
      <c r="B545" s="361"/>
      <c r="C545" s="362"/>
      <c r="D545" s="362"/>
      <c r="E545" s="363"/>
      <c r="F545" s="372"/>
      <c r="G545" s="363"/>
      <c r="H545" s="363"/>
      <c r="I545" s="363"/>
      <c r="J545" s="363"/>
      <c r="K545" s="363"/>
      <c r="L545" s="363"/>
      <c r="M545" s="367"/>
    </row>
    <row r="546" customFormat="false" ht="12.75" hidden="false" customHeight="true" outlineLevel="0" collapsed="false">
      <c r="B546" s="361"/>
      <c r="C546" s="362"/>
      <c r="D546" s="362"/>
      <c r="E546" s="363"/>
      <c r="F546" s="372"/>
      <c r="G546" s="363"/>
      <c r="H546" s="363"/>
      <c r="I546" s="363"/>
      <c r="J546" s="363"/>
      <c r="K546" s="363"/>
      <c r="L546" s="363"/>
      <c r="M546" s="367"/>
    </row>
    <row r="547" customFormat="false" ht="12.75" hidden="false" customHeight="true" outlineLevel="0" collapsed="false">
      <c r="B547" s="361"/>
      <c r="C547" s="362"/>
      <c r="D547" s="362"/>
      <c r="E547" s="363"/>
      <c r="F547" s="372"/>
      <c r="G547" s="363"/>
      <c r="H547" s="363"/>
      <c r="I547" s="363"/>
      <c r="J547" s="363"/>
      <c r="K547" s="363"/>
      <c r="L547" s="363"/>
      <c r="M547" s="367"/>
    </row>
    <row r="548" customFormat="false" ht="12.75" hidden="false" customHeight="true" outlineLevel="0" collapsed="false">
      <c r="B548" s="361"/>
      <c r="C548" s="362"/>
      <c r="D548" s="362"/>
      <c r="E548" s="363"/>
      <c r="F548" s="372"/>
      <c r="G548" s="363"/>
      <c r="H548" s="363"/>
      <c r="I548" s="363"/>
      <c r="J548" s="363"/>
      <c r="K548" s="363"/>
      <c r="L548" s="363"/>
      <c r="M548" s="367"/>
    </row>
    <row r="549" customFormat="false" ht="12.75" hidden="false" customHeight="true" outlineLevel="0" collapsed="false">
      <c r="B549" s="361"/>
      <c r="C549" s="362"/>
      <c r="D549" s="362"/>
      <c r="E549" s="363"/>
      <c r="F549" s="372"/>
      <c r="G549" s="363"/>
      <c r="H549" s="363"/>
      <c r="I549" s="363"/>
      <c r="J549" s="363"/>
      <c r="K549" s="363"/>
      <c r="L549" s="363"/>
      <c r="M549" s="367"/>
    </row>
    <row r="550" customFormat="false" ht="12.75" hidden="false" customHeight="true" outlineLevel="0" collapsed="false">
      <c r="B550" s="361"/>
      <c r="C550" s="362"/>
      <c r="D550" s="362"/>
      <c r="E550" s="363"/>
      <c r="F550" s="372"/>
      <c r="G550" s="363"/>
      <c r="H550" s="363"/>
      <c r="I550" s="363"/>
      <c r="J550" s="363"/>
      <c r="K550" s="363"/>
      <c r="L550" s="363"/>
      <c r="M550" s="367"/>
    </row>
    <row r="551" customFormat="false" ht="12.75" hidden="false" customHeight="true" outlineLevel="0" collapsed="false">
      <c r="B551" s="361"/>
      <c r="C551" s="362"/>
      <c r="D551" s="362"/>
      <c r="E551" s="363"/>
      <c r="F551" s="372"/>
      <c r="G551" s="363"/>
      <c r="H551" s="363"/>
      <c r="I551" s="363"/>
      <c r="J551" s="363"/>
      <c r="K551" s="363"/>
      <c r="L551" s="363"/>
      <c r="M551" s="367"/>
    </row>
    <row r="552" customFormat="false" ht="12.75" hidden="false" customHeight="true" outlineLevel="0" collapsed="false">
      <c r="B552" s="361"/>
      <c r="C552" s="362"/>
      <c r="D552" s="362"/>
      <c r="E552" s="363"/>
      <c r="F552" s="372"/>
      <c r="G552" s="363"/>
      <c r="H552" s="363"/>
      <c r="I552" s="363"/>
      <c r="J552" s="363"/>
      <c r="K552" s="363"/>
      <c r="L552" s="363"/>
      <c r="M552" s="367"/>
    </row>
    <row r="553" customFormat="false" ht="12.75" hidden="false" customHeight="true" outlineLevel="0" collapsed="false">
      <c r="B553" s="361"/>
      <c r="C553" s="362"/>
      <c r="D553" s="362"/>
      <c r="E553" s="363"/>
      <c r="F553" s="372"/>
      <c r="G553" s="363"/>
      <c r="H553" s="363"/>
      <c r="I553" s="363"/>
      <c r="J553" s="363"/>
      <c r="K553" s="363"/>
      <c r="L553" s="363"/>
      <c r="M553" s="367"/>
    </row>
    <row r="554" customFormat="false" ht="12.75" hidden="false" customHeight="true" outlineLevel="0" collapsed="false">
      <c r="B554" s="361"/>
      <c r="C554" s="362"/>
      <c r="D554" s="362"/>
      <c r="E554" s="363"/>
      <c r="F554" s="372"/>
      <c r="G554" s="363"/>
      <c r="H554" s="363"/>
      <c r="I554" s="363"/>
      <c r="J554" s="363"/>
      <c r="K554" s="363"/>
      <c r="L554" s="363"/>
      <c r="M554" s="367"/>
    </row>
    <row r="555" customFormat="false" ht="12.75" hidden="false" customHeight="true" outlineLevel="0" collapsed="false">
      <c r="B555" s="361"/>
      <c r="C555" s="362"/>
      <c r="D555" s="362"/>
      <c r="E555" s="363"/>
      <c r="F555" s="372"/>
      <c r="G555" s="363"/>
      <c r="H555" s="363"/>
      <c r="I555" s="363"/>
      <c r="J555" s="363"/>
      <c r="K555" s="363"/>
      <c r="L555" s="363"/>
      <c r="M555" s="367"/>
    </row>
    <row r="556" customFormat="false" ht="12.75" hidden="false" customHeight="true" outlineLevel="0" collapsed="false">
      <c r="B556" s="361"/>
      <c r="C556" s="362"/>
      <c r="D556" s="362"/>
      <c r="E556" s="363"/>
      <c r="F556" s="372"/>
      <c r="G556" s="363"/>
      <c r="H556" s="363"/>
      <c r="I556" s="363"/>
      <c r="J556" s="363"/>
      <c r="K556" s="363"/>
      <c r="L556" s="363"/>
      <c r="M556" s="367"/>
    </row>
    <row r="557" customFormat="false" ht="12.75" hidden="false" customHeight="true" outlineLevel="0" collapsed="false">
      <c r="B557" s="361"/>
      <c r="C557" s="362"/>
      <c r="D557" s="362"/>
      <c r="E557" s="363"/>
      <c r="F557" s="372"/>
      <c r="G557" s="363"/>
      <c r="H557" s="363"/>
      <c r="I557" s="363"/>
      <c r="J557" s="363"/>
      <c r="K557" s="363"/>
      <c r="L557" s="363"/>
      <c r="M557" s="367"/>
    </row>
    <row r="558" customFormat="false" ht="12.75" hidden="false" customHeight="true" outlineLevel="0" collapsed="false">
      <c r="B558" s="361"/>
      <c r="C558" s="362"/>
      <c r="D558" s="362"/>
      <c r="E558" s="363"/>
      <c r="F558" s="372"/>
      <c r="G558" s="363"/>
      <c r="H558" s="363"/>
      <c r="I558" s="363"/>
      <c r="J558" s="363"/>
      <c r="K558" s="363"/>
      <c r="L558" s="363"/>
      <c r="M558" s="367"/>
    </row>
    <row r="559" customFormat="false" ht="12.75" hidden="false" customHeight="true" outlineLevel="0" collapsed="false">
      <c r="B559" s="361"/>
      <c r="C559" s="362"/>
      <c r="D559" s="362"/>
      <c r="E559" s="363"/>
      <c r="F559" s="372"/>
      <c r="G559" s="363"/>
      <c r="H559" s="363"/>
      <c r="I559" s="363"/>
      <c r="J559" s="363"/>
      <c r="K559" s="363"/>
      <c r="L559" s="363"/>
      <c r="M559" s="367"/>
    </row>
    <row r="560" customFormat="false" ht="12.75" hidden="false" customHeight="true" outlineLevel="0" collapsed="false">
      <c r="B560" s="361"/>
      <c r="C560" s="362"/>
      <c r="D560" s="362"/>
      <c r="E560" s="363"/>
      <c r="F560" s="372"/>
      <c r="G560" s="363"/>
      <c r="H560" s="363"/>
      <c r="I560" s="363"/>
      <c r="J560" s="363"/>
      <c r="K560" s="363"/>
      <c r="L560" s="363"/>
      <c r="M560" s="367"/>
    </row>
    <row r="561" customFormat="false" ht="12.75" hidden="false" customHeight="true" outlineLevel="0" collapsed="false">
      <c r="B561" s="361"/>
      <c r="C561" s="362"/>
      <c r="D561" s="362"/>
      <c r="E561" s="363"/>
      <c r="F561" s="372"/>
      <c r="G561" s="363"/>
      <c r="H561" s="363"/>
      <c r="I561" s="363"/>
      <c r="J561" s="363"/>
      <c r="K561" s="363"/>
      <c r="L561" s="363"/>
      <c r="M561" s="367"/>
    </row>
    <row r="562" customFormat="false" ht="12.75" hidden="false" customHeight="true" outlineLevel="0" collapsed="false">
      <c r="B562" s="361"/>
      <c r="C562" s="362"/>
      <c r="D562" s="362"/>
      <c r="E562" s="363"/>
      <c r="F562" s="372"/>
      <c r="G562" s="363"/>
      <c r="H562" s="363"/>
      <c r="I562" s="363"/>
      <c r="J562" s="363"/>
      <c r="K562" s="363"/>
      <c r="L562" s="363"/>
      <c r="M562" s="367"/>
    </row>
    <row r="563" customFormat="false" ht="12.75" hidden="false" customHeight="true" outlineLevel="0" collapsed="false">
      <c r="B563" s="361"/>
      <c r="C563" s="362"/>
      <c r="D563" s="362"/>
      <c r="E563" s="363"/>
      <c r="F563" s="372"/>
      <c r="G563" s="363"/>
      <c r="H563" s="363"/>
      <c r="I563" s="363"/>
      <c r="J563" s="363"/>
      <c r="K563" s="363"/>
      <c r="L563" s="363"/>
      <c r="M563" s="367"/>
    </row>
    <row r="564" customFormat="false" ht="12.75" hidden="false" customHeight="true" outlineLevel="0" collapsed="false">
      <c r="B564" s="361"/>
      <c r="C564" s="362"/>
      <c r="D564" s="362"/>
      <c r="E564" s="363"/>
      <c r="F564" s="372"/>
      <c r="G564" s="363"/>
      <c r="H564" s="363"/>
      <c r="I564" s="363"/>
      <c r="J564" s="363"/>
      <c r="K564" s="363"/>
      <c r="L564" s="363"/>
      <c r="M564" s="367"/>
    </row>
    <row r="565" customFormat="false" ht="12.75" hidden="false" customHeight="true" outlineLevel="0" collapsed="false">
      <c r="B565" s="361"/>
      <c r="C565" s="362"/>
      <c r="D565" s="362"/>
      <c r="E565" s="363"/>
      <c r="F565" s="372"/>
      <c r="G565" s="363"/>
      <c r="H565" s="363"/>
      <c r="I565" s="363"/>
      <c r="J565" s="363"/>
      <c r="K565" s="363"/>
      <c r="L565" s="363"/>
      <c r="M565" s="367"/>
    </row>
    <row r="566" customFormat="false" ht="12.75" hidden="false" customHeight="true" outlineLevel="0" collapsed="false">
      <c r="B566" s="361"/>
      <c r="C566" s="362"/>
      <c r="D566" s="362"/>
      <c r="E566" s="363"/>
      <c r="F566" s="372"/>
      <c r="G566" s="363"/>
      <c r="H566" s="363"/>
      <c r="I566" s="363"/>
      <c r="J566" s="363"/>
      <c r="K566" s="363"/>
      <c r="L566" s="363"/>
      <c r="M566" s="367"/>
    </row>
    <row r="567" customFormat="false" ht="12.75" hidden="false" customHeight="true" outlineLevel="0" collapsed="false">
      <c r="B567" s="361"/>
      <c r="C567" s="362"/>
      <c r="D567" s="362"/>
      <c r="E567" s="363"/>
      <c r="F567" s="372"/>
      <c r="G567" s="363"/>
      <c r="H567" s="363"/>
      <c r="I567" s="363"/>
      <c r="J567" s="363"/>
      <c r="K567" s="363"/>
      <c r="L567" s="363"/>
      <c r="M567" s="367"/>
    </row>
    <row r="568" customFormat="false" ht="12.75" hidden="false" customHeight="true" outlineLevel="0" collapsed="false">
      <c r="B568" s="361"/>
      <c r="C568" s="362"/>
      <c r="D568" s="362"/>
      <c r="E568" s="363"/>
      <c r="F568" s="372"/>
      <c r="G568" s="363"/>
      <c r="H568" s="363"/>
      <c r="I568" s="363"/>
      <c r="J568" s="363"/>
      <c r="K568" s="363"/>
      <c r="L568" s="363"/>
      <c r="M568" s="367"/>
    </row>
    <row r="569" customFormat="false" ht="12.75" hidden="false" customHeight="true" outlineLevel="0" collapsed="false">
      <c r="B569" s="361"/>
      <c r="C569" s="362"/>
      <c r="D569" s="362"/>
      <c r="E569" s="363"/>
      <c r="F569" s="372"/>
      <c r="G569" s="363"/>
      <c r="H569" s="363"/>
      <c r="I569" s="363"/>
      <c r="J569" s="363"/>
      <c r="K569" s="363"/>
      <c r="L569" s="363"/>
      <c r="M569" s="367"/>
    </row>
    <row r="570" customFormat="false" ht="12.75" hidden="false" customHeight="true" outlineLevel="0" collapsed="false">
      <c r="B570" s="361"/>
      <c r="C570" s="362"/>
      <c r="D570" s="362"/>
      <c r="E570" s="363"/>
      <c r="F570" s="372"/>
      <c r="G570" s="363"/>
      <c r="H570" s="363"/>
      <c r="I570" s="363"/>
      <c r="J570" s="363"/>
      <c r="K570" s="363"/>
      <c r="L570" s="363"/>
      <c r="M570" s="367"/>
    </row>
    <row r="571" customFormat="false" ht="12.75" hidden="false" customHeight="true" outlineLevel="0" collapsed="false">
      <c r="B571" s="361"/>
      <c r="C571" s="362"/>
      <c r="D571" s="362"/>
      <c r="E571" s="363"/>
      <c r="F571" s="372"/>
      <c r="G571" s="363"/>
      <c r="H571" s="363"/>
      <c r="I571" s="363"/>
      <c r="J571" s="363"/>
      <c r="K571" s="363"/>
      <c r="L571" s="363"/>
      <c r="M571" s="367"/>
    </row>
    <row r="572" customFormat="false" ht="12.75" hidden="false" customHeight="true" outlineLevel="0" collapsed="false">
      <c r="B572" s="361"/>
      <c r="C572" s="362"/>
      <c r="D572" s="362"/>
      <c r="E572" s="363"/>
      <c r="F572" s="372"/>
      <c r="G572" s="363"/>
      <c r="H572" s="363"/>
      <c r="I572" s="363"/>
      <c r="J572" s="363"/>
      <c r="K572" s="363"/>
      <c r="L572" s="363"/>
      <c r="M572" s="367"/>
    </row>
    <row r="573" customFormat="false" ht="12.75" hidden="false" customHeight="true" outlineLevel="0" collapsed="false">
      <c r="B573" s="361"/>
      <c r="C573" s="362"/>
      <c r="D573" s="362"/>
      <c r="E573" s="363"/>
      <c r="F573" s="372"/>
      <c r="G573" s="363"/>
      <c r="H573" s="363"/>
      <c r="I573" s="363"/>
      <c r="J573" s="363"/>
      <c r="K573" s="363"/>
      <c r="L573" s="363"/>
      <c r="M573" s="367"/>
    </row>
    <row r="574" customFormat="false" ht="12.75" hidden="false" customHeight="true" outlineLevel="0" collapsed="false">
      <c r="B574" s="361"/>
      <c r="C574" s="362"/>
      <c r="D574" s="362"/>
      <c r="E574" s="363"/>
      <c r="F574" s="372"/>
      <c r="G574" s="363"/>
      <c r="H574" s="363"/>
      <c r="I574" s="363"/>
      <c r="J574" s="363"/>
      <c r="K574" s="363"/>
      <c r="L574" s="363"/>
      <c r="M574" s="367"/>
    </row>
    <row r="575" customFormat="false" ht="12.75" hidden="false" customHeight="true" outlineLevel="0" collapsed="false">
      <c r="B575" s="361"/>
      <c r="C575" s="362"/>
      <c r="D575" s="362"/>
      <c r="E575" s="363"/>
      <c r="F575" s="372"/>
      <c r="G575" s="363"/>
      <c r="H575" s="363"/>
      <c r="I575" s="363"/>
      <c r="J575" s="363"/>
      <c r="K575" s="363"/>
      <c r="L575" s="363"/>
      <c r="M575" s="367"/>
    </row>
    <row r="576" customFormat="false" ht="12.75" hidden="false" customHeight="true" outlineLevel="0" collapsed="false">
      <c r="B576" s="361"/>
      <c r="C576" s="362"/>
      <c r="D576" s="362"/>
      <c r="E576" s="363"/>
      <c r="F576" s="372"/>
      <c r="G576" s="363"/>
      <c r="H576" s="363"/>
      <c r="I576" s="363"/>
      <c r="J576" s="363"/>
      <c r="K576" s="363"/>
      <c r="L576" s="363"/>
      <c r="M576" s="367"/>
    </row>
    <row r="577" customFormat="false" ht="12.75" hidden="false" customHeight="true" outlineLevel="0" collapsed="false">
      <c r="B577" s="361"/>
      <c r="C577" s="362"/>
      <c r="D577" s="362"/>
      <c r="E577" s="363"/>
      <c r="F577" s="372"/>
      <c r="G577" s="363"/>
      <c r="H577" s="363"/>
      <c r="I577" s="363"/>
      <c r="J577" s="363"/>
      <c r="K577" s="363"/>
      <c r="L577" s="363"/>
      <c r="M577" s="367"/>
    </row>
    <row r="578" customFormat="false" ht="12.75" hidden="false" customHeight="true" outlineLevel="0" collapsed="false">
      <c r="B578" s="361"/>
      <c r="C578" s="362"/>
      <c r="D578" s="362"/>
      <c r="E578" s="363"/>
      <c r="F578" s="372"/>
      <c r="G578" s="363"/>
      <c r="H578" s="363"/>
      <c r="I578" s="363"/>
      <c r="J578" s="363"/>
      <c r="K578" s="363"/>
      <c r="L578" s="363"/>
      <c r="M578" s="367"/>
    </row>
    <row r="579" customFormat="false" ht="12.75" hidden="false" customHeight="true" outlineLevel="0" collapsed="false">
      <c r="B579" s="361"/>
      <c r="C579" s="362"/>
      <c r="D579" s="362"/>
      <c r="E579" s="363"/>
      <c r="F579" s="372"/>
      <c r="G579" s="363"/>
      <c r="H579" s="363"/>
      <c r="I579" s="363"/>
      <c r="J579" s="363"/>
      <c r="K579" s="363"/>
      <c r="L579" s="363"/>
      <c r="M579" s="367"/>
    </row>
    <row r="580" customFormat="false" ht="12.75" hidden="false" customHeight="true" outlineLevel="0" collapsed="false">
      <c r="B580" s="361"/>
      <c r="C580" s="362"/>
      <c r="D580" s="362"/>
      <c r="E580" s="363"/>
      <c r="F580" s="372"/>
      <c r="G580" s="363"/>
      <c r="H580" s="363"/>
      <c r="I580" s="363"/>
      <c r="J580" s="363"/>
      <c r="K580" s="363"/>
      <c r="L580" s="363"/>
      <c r="M580" s="367"/>
    </row>
    <row r="581" customFormat="false" ht="12.75" hidden="false" customHeight="true" outlineLevel="0" collapsed="false">
      <c r="B581" s="361"/>
      <c r="C581" s="362"/>
      <c r="D581" s="362"/>
      <c r="E581" s="363"/>
      <c r="F581" s="372"/>
      <c r="G581" s="363"/>
      <c r="H581" s="363"/>
      <c r="I581" s="363"/>
      <c r="J581" s="363"/>
      <c r="K581" s="363"/>
      <c r="L581" s="363"/>
      <c r="M581" s="367"/>
    </row>
    <row r="582" customFormat="false" ht="12.75" hidden="false" customHeight="true" outlineLevel="0" collapsed="false">
      <c r="B582" s="361"/>
      <c r="C582" s="362"/>
      <c r="D582" s="362"/>
      <c r="E582" s="363"/>
      <c r="F582" s="372"/>
      <c r="G582" s="363"/>
      <c r="H582" s="363"/>
      <c r="I582" s="363"/>
      <c r="J582" s="363"/>
      <c r="K582" s="363"/>
      <c r="L582" s="363"/>
      <c r="M582" s="367"/>
    </row>
    <row r="583" customFormat="false" ht="12.75" hidden="false" customHeight="true" outlineLevel="0" collapsed="false">
      <c r="B583" s="361"/>
      <c r="C583" s="362"/>
      <c r="D583" s="362"/>
      <c r="E583" s="363"/>
      <c r="F583" s="372"/>
      <c r="G583" s="363"/>
      <c r="H583" s="363"/>
      <c r="I583" s="363"/>
      <c r="J583" s="363"/>
      <c r="K583" s="363"/>
      <c r="L583" s="363"/>
      <c r="M583" s="367"/>
    </row>
    <row r="584" customFormat="false" ht="12.75" hidden="false" customHeight="true" outlineLevel="0" collapsed="false">
      <c r="B584" s="368"/>
      <c r="C584" s="369"/>
      <c r="D584" s="369"/>
      <c r="E584" s="370"/>
      <c r="F584" s="373"/>
      <c r="G584" s="370"/>
      <c r="H584" s="363"/>
      <c r="I584" s="370"/>
      <c r="J584" s="370"/>
      <c r="K584" s="370"/>
      <c r="L584" s="370"/>
      <c r="M584" s="367"/>
    </row>
    <row r="585" customFormat="false" ht="12.75" hidden="false" customHeight="true" outlineLevel="0" collapsed="false">
      <c r="B585" s="361"/>
      <c r="C585" s="362"/>
      <c r="D585" s="362"/>
      <c r="E585" s="363"/>
      <c r="F585" s="372"/>
      <c r="G585" s="363"/>
      <c r="H585" s="363"/>
      <c r="I585" s="363"/>
      <c r="J585" s="363"/>
      <c r="K585" s="363"/>
      <c r="L585" s="363"/>
      <c r="M585" s="367"/>
    </row>
    <row r="586" customFormat="false" ht="12.75" hidden="false" customHeight="true" outlineLevel="0" collapsed="false">
      <c r="B586" s="361"/>
      <c r="C586" s="362"/>
      <c r="D586" s="362"/>
      <c r="E586" s="363"/>
      <c r="F586" s="372"/>
      <c r="G586" s="363"/>
      <c r="H586" s="363"/>
      <c r="I586" s="363"/>
      <c r="J586" s="363"/>
      <c r="K586" s="363"/>
      <c r="L586" s="363"/>
      <c r="M586" s="367"/>
    </row>
    <row r="587" customFormat="false" ht="12.75" hidden="false" customHeight="true" outlineLevel="0" collapsed="false">
      <c r="B587" s="361"/>
      <c r="C587" s="362"/>
      <c r="D587" s="362"/>
      <c r="E587" s="363"/>
      <c r="F587" s="372"/>
      <c r="G587" s="363"/>
      <c r="H587" s="363"/>
      <c r="I587" s="363"/>
      <c r="J587" s="363"/>
      <c r="K587" s="363"/>
      <c r="L587" s="363"/>
      <c r="M587" s="367"/>
    </row>
    <row r="588" customFormat="false" ht="12.75" hidden="false" customHeight="true" outlineLevel="0" collapsed="false">
      <c r="B588" s="361"/>
      <c r="C588" s="362"/>
      <c r="D588" s="362"/>
      <c r="E588" s="363"/>
      <c r="F588" s="372"/>
      <c r="G588" s="363"/>
      <c r="H588" s="363"/>
      <c r="I588" s="363"/>
      <c r="J588" s="363"/>
      <c r="K588" s="363"/>
      <c r="L588" s="363"/>
      <c r="M588" s="367"/>
    </row>
    <row r="589" customFormat="false" ht="12.75" hidden="false" customHeight="true" outlineLevel="0" collapsed="false">
      <c r="B589" s="361"/>
      <c r="C589" s="362"/>
      <c r="D589" s="362"/>
      <c r="E589" s="363"/>
      <c r="F589" s="372"/>
      <c r="G589" s="363"/>
      <c r="H589" s="363"/>
      <c r="I589" s="363"/>
      <c r="J589" s="363"/>
      <c r="K589" s="363"/>
      <c r="L589" s="363"/>
      <c r="M589" s="367"/>
    </row>
    <row r="590" customFormat="false" ht="12.75" hidden="false" customHeight="true" outlineLevel="0" collapsed="false">
      <c r="B590" s="361"/>
      <c r="C590" s="362"/>
      <c r="D590" s="362"/>
      <c r="E590" s="363"/>
      <c r="F590" s="372"/>
      <c r="G590" s="363"/>
      <c r="H590" s="363"/>
      <c r="I590" s="363"/>
      <c r="J590" s="363"/>
      <c r="K590" s="363"/>
      <c r="L590" s="363"/>
      <c r="M590" s="367"/>
    </row>
    <row r="591" customFormat="false" ht="12.75" hidden="false" customHeight="true" outlineLevel="0" collapsed="false">
      <c r="B591" s="361"/>
      <c r="C591" s="362"/>
      <c r="D591" s="362"/>
      <c r="E591" s="363"/>
      <c r="F591" s="372"/>
      <c r="G591" s="363"/>
      <c r="H591" s="363"/>
      <c r="I591" s="363"/>
      <c r="J591" s="363"/>
      <c r="K591" s="363"/>
      <c r="L591" s="363"/>
      <c r="M591" s="367"/>
    </row>
    <row r="592" customFormat="false" ht="12.75" hidden="false" customHeight="true" outlineLevel="0" collapsed="false">
      <c r="B592" s="361"/>
      <c r="C592" s="362"/>
      <c r="D592" s="362"/>
      <c r="E592" s="363"/>
      <c r="F592" s="372"/>
      <c r="G592" s="363"/>
      <c r="H592" s="363"/>
      <c r="I592" s="363"/>
      <c r="J592" s="363"/>
      <c r="K592" s="363"/>
      <c r="L592" s="363"/>
      <c r="M592" s="367"/>
    </row>
    <row r="593" customFormat="false" ht="12.75" hidden="false" customHeight="true" outlineLevel="0" collapsed="false">
      <c r="B593" s="361"/>
      <c r="C593" s="362"/>
      <c r="D593" s="362"/>
      <c r="E593" s="363"/>
      <c r="F593" s="372"/>
      <c r="G593" s="363"/>
      <c r="H593" s="363"/>
      <c r="I593" s="363"/>
      <c r="J593" s="363"/>
      <c r="K593" s="363"/>
      <c r="L593" s="363"/>
      <c r="M593" s="367"/>
    </row>
    <row r="594" customFormat="false" ht="12.75" hidden="false" customHeight="true" outlineLevel="0" collapsed="false">
      <c r="B594" s="361"/>
      <c r="C594" s="362"/>
      <c r="D594" s="362"/>
      <c r="E594" s="363"/>
      <c r="F594" s="372"/>
      <c r="G594" s="363"/>
      <c r="H594" s="363"/>
      <c r="I594" s="363"/>
      <c r="J594" s="363"/>
      <c r="K594" s="363"/>
      <c r="L594" s="363"/>
      <c r="M594" s="367"/>
    </row>
    <row r="595" customFormat="false" ht="12.75" hidden="false" customHeight="true" outlineLevel="0" collapsed="false">
      <c r="B595" s="361"/>
      <c r="C595" s="362"/>
      <c r="D595" s="362"/>
      <c r="E595" s="363"/>
      <c r="F595" s="372"/>
      <c r="G595" s="363"/>
      <c r="H595" s="363"/>
      <c r="I595" s="363"/>
      <c r="J595" s="363"/>
      <c r="K595" s="363"/>
      <c r="L595" s="363"/>
      <c r="M595" s="367"/>
    </row>
    <row r="596" customFormat="false" ht="12.75" hidden="false" customHeight="true" outlineLevel="0" collapsed="false">
      <c r="B596" s="361"/>
      <c r="C596" s="362"/>
      <c r="D596" s="362"/>
      <c r="E596" s="363"/>
      <c r="F596" s="372"/>
      <c r="G596" s="363"/>
      <c r="H596" s="363"/>
      <c r="I596" s="363"/>
      <c r="J596" s="363"/>
      <c r="K596" s="363"/>
      <c r="L596" s="363"/>
      <c r="M596" s="367"/>
    </row>
    <row r="597" customFormat="false" ht="12.75" hidden="false" customHeight="true" outlineLevel="0" collapsed="false">
      <c r="B597" s="361"/>
      <c r="C597" s="362"/>
      <c r="D597" s="362"/>
      <c r="E597" s="363"/>
      <c r="F597" s="372"/>
      <c r="G597" s="363"/>
      <c r="H597" s="363"/>
      <c r="I597" s="363"/>
      <c r="J597" s="363"/>
      <c r="K597" s="363"/>
      <c r="L597" s="363"/>
      <c r="M597" s="367"/>
    </row>
    <row r="598" customFormat="false" ht="12.75" hidden="false" customHeight="true" outlineLevel="0" collapsed="false">
      <c r="B598" s="361"/>
      <c r="C598" s="362"/>
      <c r="D598" s="362"/>
      <c r="E598" s="363"/>
      <c r="F598" s="372"/>
      <c r="G598" s="363"/>
      <c r="H598" s="363"/>
      <c r="I598" s="363"/>
      <c r="J598" s="363"/>
      <c r="K598" s="363"/>
      <c r="L598" s="363"/>
      <c r="M598" s="367"/>
    </row>
    <row r="599" customFormat="false" ht="12.75" hidden="false" customHeight="true" outlineLevel="0" collapsed="false">
      <c r="B599" s="361"/>
      <c r="C599" s="362"/>
      <c r="D599" s="362"/>
      <c r="E599" s="363"/>
      <c r="F599" s="372"/>
      <c r="G599" s="363"/>
      <c r="H599" s="363"/>
      <c r="I599" s="363"/>
      <c r="J599" s="363"/>
      <c r="K599" s="363"/>
      <c r="L599" s="363"/>
      <c r="M599" s="367"/>
    </row>
    <row r="600" customFormat="false" ht="12.75" hidden="false" customHeight="true" outlineLevel="0" collapsed="false">
      <c r="B600" s="361"/>
      <c r="C600" s="362"/>
      <c r="D600" s="362"/>
      <c r="E600" s="363"/>
      <c r="F600" s="372"/>
      <c r="G600" s="363"/>
      <c r="H600" s="363"/>
      <c r="I600" s="363"/>
      <c r="J600" s="363"/>
      <c r="K600" s="363"/>
      <c r="L600" s="363"/>
      <c r="M600" s="367"/>
    </row>
    <row r="601" customFormat="false" ht="12.75" hidden="false" customHeight="true" outlineLevel="0" collapsed="false">
      <c r="B601" s="361"/>
      <c r="C601" s="362"/>
      <c r="D601" s="362"/>
      <c r="E601" s="363"/>
      <c r="F601" s="372"/>
      <c r="G601" s="363"/>
      <c r="H601" s="363"/>
      <c r="I601" s="363"/>
      <c r="J601" s="363"/>
      <c r="K601" s="363"/>
      <c r="L601" s="363"/>
      <c r="M601" s="367"/>
    </row>
    <row r="602" customFormat="false" ht="12.75" hidden="false" customHeight="true" outlineLevel="0" collapsed="false">
      <c r="B602" s="361"/>
      <c r="C602" s="362"/>
      <c r="D602" s="362"/>
      <c r="E602" s="363"/>
      <c r="F602" s="372"/>
      <c r="G602" s="363"/>
      <c r="H602" s="363"/>
      <c r="I602" s="363"/>
      <c r="J602" s="363"/>
      <c r="K602" s="363"/>
      <c r="L602" s="363"/>
      <c r="M602" s="367"/>
    </row>
    <row r="603" customFormat="false" ht="12.75" hidden="false" customHeight="true" outlineLevel="0" collapsed="false">
      <c r="B603" s="361"/>
      <c r="C603" s="362"/>
      <c r="D603" s="362"/>
      <c r="E603" s="363"/>
      <c r="F603" s="372"/>
      <c r="G603" s="363"/>
      <c r="H603" s="363"/>
      <c r="I603" s="363"/>
      <c r="J603" s="363"/>
      <c r="K603" s="363"/>
      <c r="L603" s="363"/>
      <c r="M603" s="367"/>
    </row>
    <row r="604" customFormat="false" ht="12.75" hidden="false" customHeight="true" outlineLevel="0" collapsed="false">
      <c r="B604" s="361"/>
      <c r="C604" s="362"/>
      <c r="D604" s="362"/>
      <c r="E604" s="363"/>
      <c r="F604" s="372"/>
      <c r="G604" s="363"/>
      <c r="H604" s="363"/>
      <c r="I604" s="363"/>
      <c r="J604" s="363"/>
      <c r="K604" s="363"/>
      <c r="L604" s="363"/>
      <c r="M604" s="367"/>
    </row>
    <row r="605" customFormat="false" ht="12.75" hidden="false" customHeight="true" outlineLevel="0" collapsed="false">
      <c r="B605" s="361"/>
      <c r="C605" s="362"/>
      <c r="D605" s="362"/>
      <c r="E605" s="363"/>
      <c r="F605" s="372"/>
      <c r="G605" s="363"/>
      <c r="H605" s="363"/>
      <c r="I605" s="363"/>
      <c r="J605" s="363"/>
      <c r="K605" s="363"/>
      <c r="L605" s="363"/>
      <c r="M605" s="367"/>
    </row>
    <row r="606" customFormat="false" ht="12.75" hidden="false" customHeight="true" outlineLevel="0" collapsed="false">
      <c r="B606" s="361"/>
      <c r="C606" s="362"/>
      <c r="D606" s="362"/>
      <c r="E606" s="363"/>
      <c r="F606" s="372"/>
      <c r="G606" s="363"/>
      <c r="H606" s="363"/>
      <c r="I606" s="363"/>
      <c r="J606" s="363"/>
      <c r="K606" s="363"/>
      <c r="L606" s="363"/>
      <c r="M606" s="367"/>
    </row>
    <row r="607" customFormat="false" ht="12.75" hidden="false" customHeight="true" outlineLevel="0" collapsed="false">
      <c r="B607" s="361"/>
      <c r="C607" s="362"/>
      <c r="D607" s="362"/>
      <c r="E607" s="363"/>
      <c r="F607" s="372"/>
      <c r="G607" s="363"/>
      <c r="H607" s="363"/>
      <c r="I607" s="363"/>
      <c r="J607" s="363"/>
      <c r="K607" s="363"/>
      <c r="L607" s="363"/>
      <c r="M607" s="367"/>
    </row>
    <row r="608" customFormat="false" ht="12.75" hidden="false" customHeight="true" outlineLevel="0" collapsed="false">
      <c r="B608" s="361"/>
      <c r="C608" s="362"/>
      <c r="D608" s="362"/>
      <c r="E608" s="363"/>
      <c r="F608" s="372"/>
      <c r="G608" s="363"/>
      <c r="H608" s="363"/>
      <c r="I608" s="363"/>
      <c r="J608" s="363"/>
      <c r="K608" s="363"/>
      <c r="L608" s="363"/>
      <c r="M608" s="367"/>
    </row>
    <row r="609" customFormat="false" ht="12.75" hidden="false" customHeight="true" outlineLevel="0" collapsed="false">
      <c r="B609" s="361"/>
      <c r="C609" s="362"/>
      <c r="D609" s="362"/>
      <c r="E609" s="363"/>
      <c r="F609" s="372"/>
      <c r="G609" s="363"/>
      <c r="H609" s="363"/>
      <c r="I609" s="363"/>
      <c r="J609" s="363"/>
      <c r="K609" s="363"/>
      <c r="L609" s="363"/>
      <c r="M609" s="367"/>
    </row>
    <row r="610" customFormat="false" ht="12.75" hidden="false" customHeight="true" outlineLevel="0" collapsed="false">
      <c r="B610" s="361"/>
      <c r="C610" s="362"/>
      <c r="D610" s="362"/>
      <c r="E610" s="363"/>
      <c r="F610" s="372"/>
      <c r="G610" s="363"/>
      <c r="H610" s="363"/>
      <c r="I610" s="363"/>
      <c r="J610" s="363"/>
      <c r="K610" s="363"/>
      <c r="L610" s="363"/>
      <c r="M610" s="367"/>
    </row>
    <row r="611" customFormat="false" ht="12.75" hidden="false" customHeight="true" outlineLevel="0" collapsed="false">
      <c r="B611" s="361"/>
      <c r="C611" s="362"/>
      <c r="D611" s="362"/>
      <c r="E611" s="363"/>
      <c r="F611" s="372"/>
      <c r="G611" s="363"/>
      <c r="H611" s="363"/>
      <c r="I611" s="363"/>
      <c r="J611" s="363"/>
      <c r="K611" s="363"/>
      <c r="L611" s="363"/>
      <c r="M611" s="367"/>
    </row>
    <row r="612" customFormat="false" ht="12.75" hidden="false" customHeight="true" outlineLevel="0" collapsed="false">
      <c r="B612" s="361"/>
      <c r="C612" s="362"/>
      <c r="D612" s="362"/>
      <c r="E612" s="363"/>
      <c r="F612" s="372"/>
      <c r="G612" s="363"/>
      <c r="H612" s="363"/>
      <c r="I612" s="363"/>
      <c r="J612" s="363"/>
      <c r="K612" s="363"/>
      <c r="L612" s="363"/>
      <c r="M612" s="367"/>
    </row>
    <row r="613" customFormat="false" ht="12.75" hidden="false" customHeight="true" outlineLevel="0" collapsed="false">
      <c r="B613" s="361"/>
      <c r="C613" s="362"/>
      <c r="D613" s="362"/>
      <c r="E613" s="363"/>
      <c r="F613" s="372"/>
      <c r="G613" s="363"/>
      <c r="H613" s="363"/>
      <c r="I613" s="363"/>
      <c r="J613" s="363"/>
      <c r="K613" s="363"/>
      <c r="L613" s="363"/>
      <c r="M613" s="367"/>
    </row>
    <row r="614" customFormat="false" ht="12.75" hidden="false" customHeight="true" outlineLevel="0" collapsed="false">
      <c r="B614" s="361"/>
      <c r="C614" s="362"/>
      <c r="D614" s="362"/>
      <c r="E614" s="363"/>
      <c r="F614" s="372"/>
      <c r="G614" s="363"/>
      <c r="H614" s="363"/>
      <c r="I614" s="363"/>
      <c r="J614" s="363"/>
      <c r="K614" s="363"/>
      <c r="L614" s="363"/>
      <c r="M614" s="367"/>
    </row>
    <row r="615" customFormat="false" ht="12.75" hidden="false" customHeight="true" outlineLevel="0" collapsed="false">
      <c r="B615" s="361"/>
      <c r="C615" s="362"/>
      <c r="D615" s="362"/>
      <c r="E615" s="363"/>
      <c r="F615" s="372"/>
      <c r="G615" s="363"/>
      <c r="H615" s="363"/>
      <c r="I615" s="363"/>
      <c r="J615" s="363"/>
      <c r="K615" s="363"/>
      <c r="L615" s="363"/>
      <c r="M615" s="367"/>
    </row>
    <row r="616" customFormat="false" ht="12.75" hidden="false" customHeight="true" outlineLevel="0" collapsed="false">
      <c r="B616" s="361"/>
      <c r="C616" s="362"/>
      <c r="D616" s="362"/>
      <c r="E616" s="363"/>
      <c r="F616" s="372"/>
      <c r="G616" s="363"/>
      <c r="H616" s="363"/>
      <c r="I616" s="363"/>
      <c r="J616" s="363"/>
      <c r="K616" s="363"/>
      <c r="L616" s="363"/>
      <c r="M616" s="367"/>
    </row>
    <row r="617" customFormat="false" ht="12.75" hidden="false" customHeight="true" outlineLevel="0" collapsed="false">
      <c r="B617" s="361"/>
      <c r="C617" s="362"/>
      <c r="D617" s="362"/>
      <c r="E617" s="363"/>
      <c r="F617" s="372"/>
      <c r="G617" s="363"/>
      <c r="H617" s="363"/>
      <c r="I617" s="363"/>
      <c r="J617" s="363"/>
      <c r="K617" s="363"/>
      <c r="L617" s="363"/>
      <c r="M617" s="367"/>
    </row>
    <row r="618" customFormat="false" ht="12.75" hidden="false" customHeight="true" outlineLevel="0" collapsed="false">
      <c r="B618" s="361"/>
      <c r="C618" s="362"/>
      <c r="D618" s="362"/>
      <c r="E618" s="363"/>
      <c r="F618" s="372"/>
      <c r="G618" s="363"/>
      <c r="H618" s="363"/>
      <c r="I618" s="363"/>
      <c r="J618" s="363"/>
      <c r="K618" s="363"/>
      <c r="L618" s="363"/>
      <c r="M618" s="367"/>
    </row>
    <row r="619" customFormat="false" ht="12.75" hidden="false" customHeight="true" outlineLevel="0" collapsed="false">
      <c r="B619" s="361"/>
      <c r="C619" s="362"/>
      <c r="D619" s="362"/>
      <c r="E619" s="363"/>
      <c r="F619" s="372"/>
      <c r="G619" s="363"/>
      <c r="H619" s="363"/>
      <c r="I619" s="363"/>
      <c r="J619" s="363"/>
      <c r="K619" s="363"/>
      <c r="L619" s="363"/>
      <c r="M619" s="367"/>
    </row>
    <row r="620" customFormat="false" ht="12.75" hidden="false" customHeight="true" outlineLevel="0" collapsed="false">
      <c r="B620" s="361"/>
      <c r="C620" s="362"/>
      <c r="D620" s="362"/>
      <c r="E620" s="363"/>
      <c r="F620" s="372"/>
      <c r="G620" s="363"/>
      <c r="H620" s="363"/>
      <c r="I620" s="363"/>
      <c r="J620" s="363"/>
      <c r="K620" s="363"/>
      <c r="L620" s="363"/>
      <c r="M620" s="367"/>
    </row>
    <row r="621" customFormat="false" ht="12.75" hidden="false" customHeight="true" outlineLevel="0" collapsed="false">
      <c r="B621" s="361"/>
      <c r="C621" s="362"/>
      <c r="D621" s="362"/>
      <c r="E621" s="363"/>
      <c r="F621" s="372"/>
      <c r="G621" s="363"/>
      <c r="H621" s="363"/>
      <c r="I621" s="363"/>
      <c r="J621" s="363"/>
      <c r="K621" s="363"/>
      <c r="L621" s="363"/>
      <c r="M621" s="367"/>
    </row>
    <row r="622" customFormat="false" ht="12.75" hidden="false" customHeight="true" outlineLevel="0" collapsed="false">
      <c r="B622" s="361"/>
      <c r="C622" s="362"/>
      <c r="D622" s="362"/>
      <c r="E622" s="363"/>
      <c r="F622" s="372"/>
      <c r="G622" s="363"/>
      <c r="H622" s="363"/>
      <c r="I622" s="363"/>
      <c r="J622" s="363"/>
      <c r="K622" s="363"/>
      <c r="L622" s="363"/>
      <c r="M622" s="367"/>
    </row>
    <row r="623" customFormat="false" ht="12.75" hidden="false" customHeight="true" outlineLevel="0" collapsed="false">
      <c r="B623" s="361"/>
      <c r="C623" s="362"/>
      <c r="D623" s="362"/>
      <c r="E623" s="363"/>
      <c r="F623" s="372"/>
      <c r="G623" s="363"/>
      <c r="H623" s="363"/>
      <c r="I623" s="363"/>
      <c r="J623" s="363"/>
      <c r="K623" s="363"/>
      <c r="L623" s="363"/>
      <c r="M623" s="367"/>
    </row>
    <row r="624" customFormat="false" ht="12.75" hidden="false" customHeight="true" outlineLevel="0" collapsed="false">
      <c r="B624" s="361"/>
      <c r="C624" s="362"/>
      <c r="D624" s="362"/>
      <c r="E624" s="363"/>
      <c r="F624" s="372"/>
      <c r="G624" s="363"/>
      <c r="H624" s="363"/>
      <c r="I624" s="363"/>
      <c r="J624" s="363"/>
      <c r="K624" s="363"/>
      <c r="L624" s="363"/>
      <c r="M624" s="367"/>
    </row>
    <row r="625" customFormat="false" ht="12.75" hidden="false" customHeight="true" outlineLevel="0" collapsed="false">
      <c r="B625" s="361"/>
      <c r="C625" s="362"/>
      <c r="D625" s="362"/>
      <c r="E625" s="363"/>
      <c r="F625" s="372"/>
      <c r="G625" s="363"/>
      <c r="H625" s="363"/>
      <c r="I625" s="363"/>
      <c r="J625" s="363"/>
      <c r="K625" s="363"/>
      <c r="L625" s="363"/>
      <c r="M625" s="367"/>
    </row>
    <row r="626" customFormat="false" ht="12.75" hidden="false" customHeight="true" outlineLevel="0" collapsed="false">
      <c r="B626" s="361"/>
      <c r="C626" s="362"/>
      <c r="D626" s="362"/>
      <c r="E626" s="363"/>
      <c r="F626" s="372"/>
      <c r="G626" s="363"/>
      <c r="H626" s="363"/>
      <c r="I626" s="363"/>
      <c r="J626" s="363"/>
      <c r="K626" s="363"/>
      <c r="L626" s="363"/>
      <c r="M626" s="367"/>
    </row>
    <row r="627" customFormat="false" ht="12.75" hidden="false" customHeight="true" outlineLevel="0" collapsed="false">
      <c r="B627" s="361"/>
      <c r="C627" s="362"/>
      <c r="D627" s="362"/>
      <c r="E627" s="363"/>
      <c r="F627" s="372"/>
      <c r="G627" s="363"/>
      <c r="H627" s="363"/>
      <c r="I627" s="363"/>
      <c r="J627" s="363"/>
      <c r="K627" s="363"/>
      <c r="L627" s="363"/>
      <c r="M627" s="367"/>
    </row>
    <row r="628" customFormat="false" ht="12.75" hidden="false" customHeight="true" outlineLevel="0" collapsed="false">
      <c r="B628" s="368"/>
      <c r="C628" s="369"/>
      <c r="D628" s="369"/>
      <c r="E628" s="370"/>
      <c r="F628" s="373"/>
      <c r="G628" s="370"/>
      <c r="H628" s="363"/>
      <c r="I628" s="370"/>
      <c r="J628" s="370"/>
      <c r="K628" s="370"/>
      <c r="L628" s="370"/>
      <c r="M628" s="367"/>
    </row>
    <row r="629" customFormat="false" ht="12.75" hidden="false" customHeight="true" outlineLevel="0" collapsed="false">
      <c r="B629" s="361"/>
      <c r="C629" s="369"/>
      <c r="D629" s="362"/>
      <c r="E629" s="370"/>
      <c r="F629" s="372"/>
      <c r="G629" s="370"/>
      <c r="H629" s="363"/>
      <c r="I629" s="370"/>
      <c r="J629" s="363"/>
      <c r="K629" s="363"/>
      <c r="L629" s="370"/>
      <c r="M629" s="367"/>
    </row>
    <row r="630" customFormat="false" ht="12.75" hidden="false" customHeight="true" outlineLevel="0" collapsed="false">
      <c r="B630" s="361"/>
      <c r="C630" s="362"/>
      <c r="D630" s="362"/>
      <c r="E630" s="363"/>
      <c r="F630" s="374"/>
      <c r="G630" s="363"/>
      <c r="H630" s="363"/>
      <c r="I630" s="363"/>
      <c r="J630" s="363"/>
      <c r="K630" s="363"/>
      <c r="L630" s="363"/>
      <c r="M630" s="367"/>
    </row>
    <row r="631" customFormat="false" ht="12.75" hidden="false" customHeight="true" outlineLevel="0" collapsed="false">
      <c r="B631" s="361"/>
      <c r="C631" s="362"/>
      <c r="D631" s="362"/>
      <c r="E631" s="363"/>
      <c r="F631" s="374"/>
      <c r="G631" s="363"/>
      <c r="H631" s="363"/>
      <c r="I631" s="363"/>
      <c r="J631" s="363"/>
      <c r="K631" s="363"/>
      <c r="L631" s="363"/>
      <c r="M631" s="367"/>
    </row>
    <row r="632" customFormat="false" ht="12.75" hidden="false" customHeight="true" outlineLevel="0" collapsed="false">
      <c r="B632" s="368"/>
      <c r="C632" s="362"/>
      <c r="D632" s="362"/>
      <c r="E632" s="363"/>
      <c r="F632" s="374"/>
      <c r="G632" s="363"/>
      <c r="H632" s="363"/>
      <c r="I632" s="363"/>
      <c r="J632" s="363"/>
      <c r="K632" s="363"/>
      <c r="L632" s="363"/>
      <c r="M632" s="367"/>
    </row>
    <row r="633" customFormat="false" ht="12.75" hidden="false" customHeight="true" outlineLevel="0" collapsed="false">
      <c r="B633" s="361"/>
      <c r="C633" s="362"/>
      <c r="D633" s="362"/>
      <c r="E633" s="363"/>
      <c r="F633" s="374"/>
      <c r="G633" s="363"/>
      <c r="H633" s="363"/>
      <c r="I633" s="363"/>
      <c r="J633" s="363"/>
      <c r="K633" s="363"/>
      <c r="L633" s="363"/>
      <c r="M633" s="367"/>
    </row>
    <row r="634" customFormat="false" ht="12.75" hidden="false" customHeight="true" outlineLevel="0" collapsed="false">
      <c r="B634" s="361"/>
      <c r="C634" s="362"/>
      <c r="D634" s="362"/>
      <c r="E634" s="363"/>
      <c r="F634" s="374"/>
      <c r="G634" s="363"/>
      <c r="H634" s="363"/>
      <c r="I634" s="363"/>
      <c r="J634" s="363"/>
      <c r="K634" s="363"/>
      <c r="L634" s="363"/>
      <c r="M634" s="367"/>
    </row>
    <row r="635" customFormat="false" ht="12.75" hidden="false" customHeight="true" outlineLevel="0" collapsed="false">
      <c r="B635" s="368"/>
      <c r="C635" s="362"/>
      <c r="D635" s="362"/>
      <c r="E635" s="363"/>
      <c r="F635" s="374"/>
      <c r="G635" s="363"/>
      <c r="H635" s="363"/>
      <c r="I635" s="363"/>
      <c r="J635" s="363"/>
      <c r="K635" s="363"/>
      <c r="L635" s="363"/>
      <c r="M635" s="367"/>
    </row>
    <row r="636" customFormat="false" ht="12.75" hidden="false" customHeight="true" outlineLevel="0" collapsed="false">
      <c r="B636" s="361"/>
      <c r="C636" s="362"/>
      <c r="D636" s="362"/>
      <c r="E636" s="363"/>
      <c r="F636" s="374"/>
      <c r="G636" s="363"/>
      <c r="H636" s="363"/>
      <c r="I636" s="363"/>
      <c r="J636" s="363"/>
      <c r="K636" s="363"/>
      <c r="L636" s="363"/>
      <c r="M636" s="367"/>
    </row>
    <row r="637" customFormat="false" ht="12.75" hidden="false" customHeight="true" outlineLevel="0" collapsed="false">
      <c r="B637" s="361"/>
      <c r="C637" s="362"/>
      <c r="D637" s="362"/>
      <c r="E637" s="363"/>
      <c r="F637" s="374"/>
      <c r="G637" s="363"/>
      <c r="H637" s="363"/>
      <c r="I637" s="363"/>
      <c r="J637" s="363"/>
      <c r="K637" s="363"/>
      <c r="L637" s="363"/>
      <c r="M637" s="367"/>
    </row>
    <row r="638" customFormat="false" ht="12.75" hidden="false" customHeight="true" outlineLevel="0" collapsed="false">
      <c r="B638" s="368"/>
      <c r="C638" s="362"/>
      <c r="D638" s="362"/>
      <c r="E638" s="363"/>
      <c r="F638" s="374"/>
      <c r="G638" s="363"/>
      <c r="H638" s="363"/>
      <c r="I638" s="363"/>
      <c r="J638" s="363"/>
      <c r="K638" s="363"/>
      <c r="L638" s="363"/>
      <c r="M638" s="367"/>
    </row>
    <row r="639" customFormat="false" ht="12.75" hidden="false" customHeight="true" outlineLevel="0" collapsed="false">
      <c r="B639" s="361"/>
      <c r="C639" s="362"/>
      <c r="D639" s="362"/>
      <c r="E639" s="363"/>
      <c r="F639" s="374"/>
      <c r="G639" s="363"/>
      <c r="H639" s="363"/>
      <c r="I639" s="363"/>
      <c r="J639" s="363"/>
      <c r="K639" s="363"/>
      <c r="L639" s="363"/>
      <c r="M639" s="367"/>
    </row>
    <row r="640" customFormat="false" ht="12.75" hidden="false" customHeight="true" outlineLevel="0" collapsed="false">
      <c r="B640" s="361"/>
      <c r="C640" s="369"/>
      <c r="D640" s="369"/>
      <c r="E640" s="370"/>
      <c r="F640" s="375"/>
      <c r="G640" s="370"/>
      <c r="H640" s="370"/>
      <c r="I640" s="370"/>
      <c r="J640" s="370"/>
      <c r="K640" s="370"/>
      <c r="L640" s="370"/>
      <c r="M640" s="367"/>
    </row>
    <row r="641" customFormat="false" ht="12.75" hidden="false" customHeight="true" outlineLevel="0" collapsed="false">
      <c r="B641" s="361"/>
      <c r="C641" s="369"/>
      <c r="D641" s="362"/>
      <c r="E641" s="363"/>
      <c r="F641" s="364"/>
      <c r="G641" s="363"/>
      <c r="H641" s="363"/>
      <c r="I641" s="370"/>
      <c r="J641" s="363"/>
      <c r="K641" s="370"/>
      <c r="L641" s="363"/>
      <c r="M641" s="367"/>
    </row>
    <row r="642" customFormat="false" ht="12.75" hidden="false" customHeight="true" outlineLevel="0" collapsed="false">
      <c r="B642" s="361"/>
      <c r="C642" s="369"/>
      <c r="D642" s="362"/>
      <c r="E642" s="363"/>
      <c r="F642" s="364"/>
      <c r="G642" s="363"/>
      <c r="H642" s="363"/>
      <c r="I642" s="370"/>
      <c r="J642" s="363"/>
      <c r="K642" s="363"/>
      <c r="L642" s="363"/>
      <c r="M642" s="367"/>
    </row>
    <row r="643" customFormat="false" ht="12.75" hidden="false" customHeight="true" outlineLevel="0" collapsed="false">
      <c r="B643" s="361"/>
      <c r="C643" s="369"/>
      <c r="D643" s="362"/>
      <c r="E643" s="363"/>
      <c r="F643" s="364"/>
      <c r="G643" s="363"/>
      <c r="H643" s="363"/>
      <c r="I643" s="370"/>
      <c r="J643" s="363"/>
      <c r="K643" s="363"/>
      <c r="L643" s="363"/>
      <c r="M643" s="367"/>
    </row>
    <row r="644" customFormat="false" ht="12.75" hidden="false" customHeight="true" outlineLevel="0" collapsed="false">
      <c r="B644" s="361"/>
      <c r="C644" s="369"/>
      <c r="D644" s="362"/>
      <c r="E644" s="363"/>
      <c r="F644" s="364"/>
      <c r="G644" s="363"/>
      <c r="H644" s="363"/>
      <c r="I644" s="370"/>
      <c r="J644" s="363"/>
      <c r="K644" s="363"/>
      <c r="L644" s="363"/>
      <c r="M644" s="367"/>
    </row>
    <row r="645" customFormat="false" ht="12.75" hidden="false" customHeight="true" outlineLevel="0" collapsed="false">
      <c r="B645" s="361"/>
      <c r="C645" s="369"/>
      <c r="D645" s="362"/>
      <c r="E645" s="363"/>
      <c r="F645" s="364"/>
      <c r="G645" s="363"/>
      <c r="H645" s="363"/>
      <c r="I645" s="370"/>
      <c r="J645" s="363"/>
      <c r="K645" s="363"/>
      <c r="L645" s="363"/>
      <c r="M645" s="367"/>
    </row>
    <row r="646" customFormat="false" ht="12.75" hidden="false" customHeight="true" outlineLevel="0" collapsed="false">
      <c r="B646" s="361"/>
      <c r="C646" s="369"/>
      <c r="D646" s="362"/>
      <c r="E646" s="363"/>
      <c r="F646" s="364"/>
      <c r="G646" s="363"/>
      <c r="H646" s="363"/>
      <c r="I646" s="370"/>
      <c r="J646" s="363"/>
      <c r="K646" s="363"/>
      <c r="L646" s="363"/>
      <c r="M646" s="367"/>
    </row>
    <row r="647" customFormat="false" ht="12.75" hidden="false" customHeight="true" outlineLevel="0" collapsed="false">
      <c r="B647" s="361"/>
      <c r="C647" s="369"/>
      <c r="D647" s="362"/>
      <c r="E647" s="363"/>
      <c r="F647" s="364"/>
      <c r="G647" s="363"/>
      <c r="H647" s="363"/>
      <c r="I647" s="370"/>
      <c r="J647" s="363"/>
      <c r="K647" s="363"/>
      <c r="L647" s="363"/>
      <c r="M647" s="367"/>
    </row>
    <row r="648" customFormat="false" ht="12.75" hidden="false" customHeight="true" outlineLevel="0" collapsed="false">
      <c r="B648" s="361"/>
      <c r="C648" s="369"/>
      <c r="D648" s="362"/>
      <c r="E648" s="363"/>
      <c r="F648" s="364"/>
      <c r="G648" s="363"/>
      <c r="H648" s="363"/>
      <c r="I648" s="370"/>
      <c r="J648" s="370"/>
      <c r="K648" s="363"/>
      <c r="L648" s="363"/>
      <c r="M648" s="367"/>
    </row>
    <row r="649" customFormat="false" ht="12.75" hidden="false" customHeight="true" outlineLevel="0" collapsed="false">
      <c r="B649" s="361"/>
      <c r="C649" s="369"/>
      <c r="D649" s="362"/>
      <c r="E649" s="363"/>
      <c r="F649" s="364"/>
      <c r="G649" s="363"/>
      <c r="H649" s="363"/>
      <c r="I649" s="370"/>
      <c r="J649" s="363"/>
      <c r="K649" s="363"/>
      <c r="L649" s="363"/>
      <c r="M649" s="367"/>
    </row>
    <row r="650" customFormat="false" ht="12.75" hidden="false" customHeight="true" outlineLevel="0" collapsed="false">
      <c r="B650" s="361"/>
      <c r="C650" s="369"/>
      <c r="D650" s="362"/>
      <c r="E650" s="363"/>
      <c r="F650" s="364"/>
      <c r="G650" s="363"/>
      <c r="H650" s="363"/>
      <c r="I650" s="370"/>
      <c r="J650" s="363"/>
      <c r="K650" s="363"/>
      <c r="L650" s="370"/>
      <c r="M650" s="367"/>
    </row>
    <row r="651" customFormat="false" ht="12.75" hidden="false" customHeight="true" outlineLevel="0" collapsed="false">
      <c r="B651" s="361"/>
      <c r="C651" s="369"/>
      <c r="D651" s="362"/>
      <c r="E651" s="363"/>
      <c r="F651" s="364"/>
      <c r="G651" s="363"/>
      <c r="H651" s="363"/>
      <c r="I651" s="370"/>
      <c r="J651" s="363"/>
      <c r="K651" s="363"/>
      <c r="L651" s="363"/>
      <c r="M651" s="367"/>
    </row>
    <row r="652" customFormat="false" ht="12.75" hidden="false" customHeight="true" outlineLevel="0" collapsed="false">
      <c r="B652" s="361"/>
      <c r="C652" s="369"/>
      <c r="D652" s="362"/>
      <c r="E652" s="363"/>
      <c r="F652" s="364"/>
      <c r="G652" s="363"/>
      <c r="H652" s="363"/>
      <c r="I652" s="370"/>
      <c r="J652" s="363"/>
      <c r="K652" s="363"/>
      <c r="L652" s="363"/>
      <c r="M652" s="367"/>
    </row>
    <row r="653" customFormat="false" ht="12.75" hidden="false" customHeight="true" outlineLevel="0" collapsed="false">
      <c r="B653" s="361"/>
      <c r="C653" s="369"/>
      <c r="D653" s="362"/>
      <c r="E653" s="363"/>
      <c r="F653" s="364"/>
      <c r="G653" s="363"/>
      <c r="H653" s="363"/>
      <c r="I653" s="370"/>
      <c r="J653" s="363"/>
      <c r="K653" s="363"/>
      <c r="L653" s="363"/>
      <c r="M653" s="367"/>
    </row>
    <row r="654" customFormat="false" ht="12.75" hidden="false" customHeight="true" outlineLevel="0" collapsed="false">
      <c r="B654" s="361"/>
      <c r="C654" s="369"/>
      <c r="D654" s="362"/>
      <c r="E654" s="363"/>
      <c r="F654" s="364"/>
      <c r="G654" s="363"/>
      <c r="H654" s="363"/>
      <c r="I654" s="370"/>
      <c r="J654" s="363"/>
      <c r="K654" s="363"/>
      <c r="L654" s="363"/>
      <c r="M654" s="367"/>
    </row>
    <row r="655" customFormat="false" ht="12.75" hidden="false" customHeight="true" outlineLevel="0" collapsed="false">
      <c r="B655" s="361"/>
      <c r="C655" s="369"/>
      <c r="D655" s="362"/>
      <c r="E655" s="363"/>
      <c r="F655" s="364"/>
      <c r="G655" s="363"/>
      <c r="H655" s="363"/>
      <c r="I655" s="370"/>
      <c r="J655" s="363"/>
      <c r="K655" s="363"/>
      <c r="L655" s="363"/>
      <c r="M655" s="367"/>
    </row>
    <row r="656" customFormat="false" ht="12.75" hidden="false" customHeight="true" outlineLevel="0" collapsed="false">
      <c r="B656" s="361"/>
      <c r="C656" s="369"/>
      <c r="D656" s="362"/>
      <c r="E656" s="363"/>
      <c r="F656" s="364"/>
      <c r="G656" s="363"/>
      <c r="H656" s="363"/>
      <c r="I656" s="370"/>
      <c r="J656" s="363"/>
      <c r="K656" s="363"/>
      <c r="L656" s="363"/>
      <c r="M656" s="367"/>
    </row>
    <row r="657" customFormat="false" ht="12.75" hidden="false" customHeight="true" outlineLevel="0" collapsed="false">
      <c r="B657" s="361"/>
      <c r="C657" s="369"/>
      <c r="D657" s="362"/>
      <c r="E657" s="363"/>
      <c r="F657" s="364"/>
      <c r="G657" s="363"/>
      <c r="H657" s="363"/>
      <c r="I657" s="370"/>
      <c r="J657" s="363"/>
      <c r="K657" s="363"/>
      <c r="L657" s="363"/>
      <c r="M657" s="367"/>
    </row>
    <row r="658" customFormat="false" ht="12.75" hidden="false" customHeight="true" outlineLevel="0" collapsed="false">
      <c r="B658" s="361"/>
      <c r="C658" s="369"/>
      <c r="D658" s="362"/>
      <c r="E658" s="363"/>
      <c r="F658" s="364"/>
      <c r="G658" s="363"/>
      <c r="H658" s="363"/>
      <c r="I658" s="370"/>
      <c r="J658" s="363"/>
      <c r="K658" s="363"/>
      <c r="L658" s="363"/>
      <c r="M658" s="367"/>
    </row>
    <row r="659" customFormat="false" ht="12.75" hidden="false" customHeight="true" outlineLevel="0" collapsed="false">
      <c r="B659" s="361"/>
      <c r="C659" s="369"/>
      <c r="D659" s="362"/>
      <c r="E659" s="363"/>
      <c r="F659" s="364"/>
      <c r="G659" s="363"/>
      <c r="H659" s="363"/>
      <c r="I659" s="370"/>
      <c r="J659" s="363"/>
      <c r="K659" s="363"/>
      <c r="L659" s="363"/>
      <c r="M659" s="367"/>
    </row>
    <row r="660" customFormat="false" ht="12.75" hidden="false" customHeight="true" outlineLevel="0" collapsed="false">
      <c r="B660" s="361"/>
      <c r="C660" s="369"/>
      <c r="D660" s="362"/>
      <c r="E660" s="363"/>
      <c r="F660" s="364"/>
      <c r="G660" s="363"/>
      <c r="H660" s="363"/>
      <c r="I660" s="370"/>
      <c r="J660" s="363"/>
      <c r="K660" s="363"/>
      <c r="L660" s="363"/>
      <c r="M660" s="367"/>
    </row>
    <row r="661" customFormat="false" ht="12.75" hidden="false" customHeight="true" outlineLevel="0" collapsed="false">
      <c r="B661" s="361"/>
      <c r="C661" s="369"/>
      <c r="D661" s="362"/>
      <c r="E661" s="363"/>
      <c r="F661" s="364"/>
      <c r="G661" s="363"/>
      <c r="H661" s="363"/>
      <c r="I661" s="370"/>
      <c r="J661" s="363"/>
      <c r="K661" s="363"/>
      <c r="L661" s="363"/>
      <c r="M661" s="367"/>
    </row>
    <row r="662" customFormat="false" ht="12.75" hidden="false" customHeight="true" outlineLevel="0" collapsed="false">
      <c r="B662" s="361"/>
      <c r="C662" s="369"/>
      <c r="D662" s="362"/>
      <c r="E662" s="363"/>
      <c r="F662" s="364"/>
      <c r="G662" s="363"/>
      <c r="H662" s="363"/>
      <c r="I662" s="370"/>
      <c r="J662" s="363"/>
      <c r="K662" s="363"/>
      <c r="L662" s="363"/>
      <c r="M662" s="367"/>
    </row>
    <row r="663" customFormat="false" ht="12.75" hidden="false" customHeight="true" outlineLevel="0" collapsed="false">
      <c r="B663" s="361"/>
      <c r="C663" s="369"/>
      <c r="D663" s="362"/>
      <c r="E663" s="363"/>
      <c r="F663" s="364"/>
      <c r="G663" s="363"/>
      <c r="H663" s="363"/>
      <c r="I663" s="370"/>
      <c r="J663" s="363"/>
      <c r="K663" s="363"/>
      <c r="L663" s="363"/>
      <c r="M663" s="367"/>
    </row>
    <row r="664" customFormat="false" ht="12.75" hidden="false" customHeight="true" outlineLevel="0" collapsed="false">
      <c r="B664" s="361"/>
      <c r="C664" s="369"/>
      <c r="D664" s="362"/>
      <c r="E664" s="363"/>
      <c r="F664" s="364"/>
      <c r="G664" s="363"/>
      <c r="H664" s="363"/>
      <c r="I664" s="370"/>
      <c r="J664" s="363"/>
      <c r="K664" s="363"/>
      <c r="L664" s="363"/>
      <c r="M664" s="367"/>
    </row>
    <row r="665" customFormat="false" ht="12.75" hidden="false" customHeight="true" outlineLevel="0" collapsed="false">
      <c r="B665" s="361"/>
      <c r="C665" s="369"/>
      <c r="D665" s="362"/>
      <c r="E665" s="363"/>
      <c r="F665" s="364"/>
      <c r="G665" s="363"/>
      <c r="H665" s="363"/>
      <c r="I665" s="370"/>
      <c r="J665" s="363"/>
      <c r="K665" s="363"/>
      <c r="L665" s="363"/>
      <c r="M665" s="367"/>
    </row>
    <row r="666" customFormat="false" ht="12.75" hidden="false" customHeight="true" outlineLevel="0" collapsed="false">
      <c r="B666" s="361"/>
      <c r="C666" s="369"/>
      <c r="D666" s="362"/>
      <c r="E666" s="363"/>
      <c r="F666" s="364"/>
      <c r="G666" s="363"/>
      <c r="H666" s="363"/>
      <c r="I666" s="370"/>
      <c r="J666" s="363"/>
      <c r="K666" s="363"/>
      <c r="L666" s="363"/>
      <c r="M666" s="367"/>
    </row>
    <row r="667" customFormat="false" ht="12.75" hidden="false" customHeight="true" outlineLevel="0" collapsed="false">
      <c r="B667" s="361"/>
      <c r="C667" s="369"/>
      <c r="D667" s="362"/>
      <c r="E667" s="363"/>
      <c r="F667" s="364"/>
      <c r="G667" s="363"/>
      <c r="H667" s="363"/>
      <c r="I667" s="370"/>
      <c r="J667" s="363"/>
      <c r="K667" s="363"/>
      <c r="L667" s="363"/>
      <c r="M667" s="367"/>
    </row>
    <row r="668" customFormat="false" ht="12.75" hidden="false" customHeight="true" outlineLevel="0" collapsed="false">
      <c r="B668" s="361"/>
      <c r="C668" s="369"/>
      <c r="D668" s="362"/>
      <c r="E668" s="363"/>
      <c r="F668" s="364"/>
      <c r="G668" s="363"/>
      <c r="H668" s="363"/>
      <c r="I668" s="370"/>
      <c r="J668" s="363"/>
      <c r="K668" s="363"/>
      <c r="L668" s="363"/>
      <c r="M668" s="367"/>
    </row>
    <row r="669" customFormat="false" ht="12.75" hidden="false" customHeight="true" outlineLevel="0" collapsed="false">
      <c r="B669" s="361"/>
      <c r="C669" s="362"/>
      <c r="D669" s="362"/>
      <c r="E669" s="363"/>
      <c r="F669" s="374"/>
      <c r="G669" s="363"/>
      <c r="H669" s="363"/>
      <c r="I669" s="363"/>
      <c r="J669" s="363"/>
      <c r="K669" s="363"/>
      <c r="L669" s="363"/>
      <c r="M669" s="367"/>
    </row>
    <row r="670" customFormat="false" ht="12.75" hidden="false" customHeight="true" outlineLevel="0" collapsed="false">
      <c r="B670" s="361"/>
      <c r="C670" s="362"/>
      <c r="D670" s="362"/>
      <c r="E670" s="363"/>
      <c r="F670" s="374"/>
      <c r="G670" s="363"/>
      <c r="H670" s="363"/>
      <c r="I670" s="363"/>
      <c r="J670" s="363"/>
      <c r="K670" s="363"/>
      <c r="L670" s="363"/>
      <c r="M670" s="367"/>
    </row>
    <row r="671" customFormat="false" ht="12.75" hidden="false" customHeight="true" outlineLevel="0" collapsed="false">
      <c r="B671" s="368"/>
      <c r="C671" s="362"/>
      <c r="D671" s="362"/>
      <c r="E671" s="363"/>
      <c r="F671" s="374"/>
      <c r="G671" s="363"/>
      <c r="H671" s="363"/>
      <c r="I671" s="363"/>
      <c r="J671" s="363"/>
      <c r="K671" s="363"/>
      <c r="L671" s="363"/>
      <c r="M671" s="367"/>
    </row>
    <row r="672" customFormat="false" ht="12.75" hidden="false" customHeight="true" outlineLevel="0" collapsed="false">
      <c r="B672" s="361"/>
      <c r="C672" s="362"/>
      <c r="D672" s="362"/>
      <c r="E672" s="363"/>
      <c r="F672" s="374"/>
      <c r="G672" s="363"/>
      <c r="H672" s="363"/>
      <c r="I672" s="363"/>
      <c r="J672" s="363"/>
      <c r="K672" s="363"/>
      <c r="L672" s="363"/>
      <c r="M672" s="367"/>
    </row>
    <row r="673" customFormat="false" ht="12.75" hidden="false" customHeight="true" outlineLevel="0" collapsed="false">
      <c r="B673" s="361"/>
      <c r="C673" s="362"/>
      <c r="D673" s="362"/>
      <c r="E673" s="363"/>
      <c r="F673" s="374"/>
      <c r="G673" s="363"/>
      <c r="H673" s="363"/>
      <c r="I673" s="363"/>
      <c r="J673" s="363"/>
      <c r="K673" s="363"/>
      <c r="L673" s="363"/>
      <c r="M673" s="367"/>
    </row>
    <row r="674" customFormat="false" ht="12.75" hidden="false" customHeight="true" outlineLevel="0" collapsed="false">
      <c r="B674" s="368"/>
      <c r="C674" s="362"/>
      <c r="D674" s="362"/>
      <c r="E674" s="363"/>
      <c r="F674" s="374"/>
      <c r="G674" s="363"/>
      <c r="H674" s="363"/>
      <c r="I674" s="363"/>
      <c r="J674" s="363"/>
      <c r="K674" s="363"/>
      <c r="L674" s="363"/>
      <c r="M674" s="367"/>
    </row>
    <row r="675" customFormat="false" ht="12.75" hidden="false" customHeight="true" outlineLevel="0" collapsed="false">
      <c r="B675" s="361"/>
      <c r="C675" s="362"/>
      <c r="D675" s="362"/>
      <c r="E675" s="363"/>
      <c r="F675" s="374"/>
      <c r="G675" s="363"/>
      <c r="H675" s="363"/>
      <c r="I675" s="363"/>
      <c r="J675" s="363"/>
      <c r="K675" s="363"/>
      <c r="L675" s="363"/>
      <c r="M675" s="367"/>
    </row>
    <row r="676" customFormat="false" ht="12.75" hidden="false" customHeight="true" outlineLevel="0" collapsed="false">
      <c r="B676" s="361"/>
      <c r="C676" s="362"/>
      <c r="D676" s="362"/>
      <c r="E676" s="363"/>
      <c r="F676" s="374"/>
      <c r="G676" s="363"/>
      <c r="H676" s="363"/>
      <c r="I676" s="363"/>
      <c r="J676" s="363"/>
      <c r="K676" s="363"/>
      <c r="L676" s="363"/>
      <c r="M676" s="367"/>
    </row>
    <row r="677" customFormat="false" ht="12.75" hidden="false" customHeight="true" outlineLevel="0" collapsed="false">
      <c r="B677" s="368"/>
      <c r="C677" s="362"/>
      <c r="D677" s="362"/>
      <c r="E677" s="363"/>
      <c r="F677" s="374"/>
      <c r="G677" s="363"/>
      <c r="H677" s="363"/>
      <c r="I677" s="363"/>
      <c r="J677" s="363"/>
      <c r="K677" s="363"/>
      <c r="L677" s="363"/>
      <c r="M677" s="367"/>
    </row>
    <row r="678" customFormat="false" ht="12.75" hidden="false" customHeight="true" outlineLevel="0" collapsed="false">
      <c r="B678" s="361"/>
      <c r="C678" s="362"/>
      <c r="D678" s="362"/>
      <c r="E678" s="363"/>
      <c r="F678" s="374"/>
      <c r="G678" s="363"/>
      <c r="H678" s="363"/>
      <c r="I678" s="363"/>
      <c r="J678" s="363"/>
      <c r="K678" s="363"/>
      <c r="L678" s="363"/>
      <c r="M678" s="367"/>
    </row>
    <row r="679" customFormat="false" ht="12.75" hidden="false" customHeight="true" outlineLevel="0" collapsed="false">
      <c r="B679" s="361"/>
      <c r="C679" s="369"/>
      <c r="D679" s="369"/>
      <c r="E679" s="370"/>
      <c r="F679" s="375"/>
      <c r="G679" s="370"/>
      <c r="H679" s="370"/>
      <c r="I679" s="370"/>
      <c r="J679" s="370"/>
      <c r="K679" s="370"/>
      <c r="L679" s="370"/>
      <c r="M679" s="367"/>
    </row>
    <row r="680" customFormat="false" ht="12.75" hidden="false" customHeight="true" outlineLevel="0" collapsed="false">
      <c r="B680" s="361"/>
      <c r="C680" s="369"/>
      <c r="D680" s="362"/>
      <c r="E680" s="363"/>
      <c r="F680" s="364"/>
      <c r="G680" s="363"/>
      <c r="H680" s="363"/>
      <c r="I680" s="370"/>
      <c r="J680" s="363"/>
      <c r="K680" s="370"/>
      <c r="L680" s="363"/>
      <c r="M680" s="367"/>
    </row>
    <row r="681" customFormat="false" ht="12.75" hidden="false" customHeight="true" outlineLevel="0" collapsed="false">
      <c r="B681" s="361"/>
      <c r="C681" s="369"/>
      <c r="D681" s="362"/>
      <c r="E681" s="363"/>
      <c r="F681" s="364"/>
      <c r="G681" s="363"/>
      <c r="H681" s="363"/>
      <c r="I681" s="370"/>
      <c r="J681" s="363"/>
      <c r="K681" s="363"/>
      <c r="L681" s="363"/>
      <c r="M681" s="367"/>
    </row>
    <row r="682" customFormat="false" ht="12.75" hidden="false" customHeight="true" outlineLevel="0" collapsed="false">
      <c r="B682" s="361"/>
      <c r="C682" s="369"/>
      <c r="D682" s="362"/>
      <c r="E682" s="363"/>
      <c r="F682" s="364"/>
      <c r="G682" s="363"/>
      <c r="H682" s="363"/>
      <c r="I682" s="370"/>
      <c r="J682" s="363"/>
      <c r="K682" s="363"/>
      <c r="L682" s="363"/>
      <c r="M682" s="367"/>
    </row>
    <row r="683" customFormat="false" ht="12.75" hidden="false" customHeight="true" outlineLevel="0" collapsed="false">
      <c r="B683" s="361"/>
      <c r="C683" s="369"/>
      <c r="D683" s="362"/>
      <c r="E683" s="363"/>
      <c r="F683" s="364"/>
      <c r="G683" s="363"/>
      <c r="H683" s="363"/>
      <c r="I683" s="370"/>
      <c r="J683" s="363"/>
      <c r="K683" s="363"/>
      <c r="L683" s="363"/>
      <c r="M683" s="367"/>
    </row>
    <row r="684" customFormat="false" ht="12.75" hidden="false" customHeight="true" outlineLevel="0" collapsed="false">
      <c r="B684" s="361"/>
      <c r="C684" s="369"/>
      <c r="D684" s="362"/>
      <c r="E684" s="363"/>
      <c r="F684" s="364"/>
      <c r="G684" s="363"/>
      <c r="H684" s="363"/>
      <c r="I684" s="370"/>
      <c r="J684" s="363"/>
      <c r="K684" s="363"/>
      <c r="L684" s="363"/>
      <c r="M684" s="367"/>
    </row>
    <row r="685" customFormat="false" ht="12.75" hidden="false" customHeight="true" outlineLevel="0" collapsed="false">
      <c r="B685" s="361"/>
      <c r="C685" s="369"/>
      <c r="D685" s="362"/>
      <c r="E685" s="363"/>
      <c r="F685" s="364"/>
      <c r="G685" s="363"/>
      <c r="H685" s="363"/>
      <c r="I685" s="370"/>
      <c r="J685" s="363"/>
      <c r="K685" s="363"/>
      <c r="L685" s="363"/>
      <c r="M685" s="367"/>
    </row>
    <row r="686" customFormat="false" ht="12.75" hidden="false" customHeight="true" outlineLevel="0" collapsed="false">
      <c r="B686" s="361"/>
      <c r="C686" s="369"/>
      <c r="D686" s="362"/>
      <c r="E686" s="363"/>
      <c r="F686" s="364"/>
      <c r="G686" s="363"/>
      <c r="H686" s="363"/>
      <c r="I686" s="370"/>
      <c r="J686" s="363"/>
      <c r="K686" s="363"/>
      <c r="L686" s="363"/>
      <c r="M686" s="367"/>
    </row>
    <row r="687" customFormat="false" ht="12.75" hidden="false" customHeight="true" outlineLevel="0" collapsed="false">
      <c r="B687" s="361"/>
      <c r="C687" s="369"/>
      <c r="D687" s="362"/>
      <c r="E687" s="363"/>
      <c r="F687" s="364"/>
      <c r="G687" s="363"/>
      <c r="H687" s="363"/>
      <c r="I687" s="370"/>
      <c r="J687" s="370"/>
      <c r="K687" s="363"/>
      <c r="L687" s="363"/>
      <c r="M687" s="367"/>
    </row>
    <row r="688" customFormat="false" ht="12.75" hidden="false" customHeight="true" outlineLevel="0" collapsed="false">
      <c r="B688" s="361"/>
      <c r="C688" s="369"/>
      <c r="D688" s="362"/>
      <c r="E688" s="363"/>
      <c r="F688" s="364"/>
      <c r="G688" s="363"/>
      <c r="H688" s="363"/>
      <c r="I688" s="370"/>
      <c r="J688" s="363"/>
      <c r="K688" s="363"/>
      <c r="L688" s="363"/>
      <c r="M688" s="367"/>
    </row>
    <row r="689" customFormat="false" ht="12.75" hidden="false" customHeight="true" outlineLevel="0" collapsed="false">
      <c r="B689" s="361"/>
      <c r="C689" s="369"/>
      <c r="D689" s="362"/>
      <c r="E689" s="363"/>
      <c r="F689" s="364"/>
      <c r="G689" s="363"/>
      <c r="H689" s="363"/>
      <c r="I689" s="370"/>
      <c r="J689" s="363"/>
      <c r="K689" s="363"/>
      <c r="L689" s="370"/>
      <c r="M689" s="367"/>
    </row>
    <row r="690" customFormat="false" ht="12.75" hidden="false" customHeight="true" outlineLevel="0" collapsed="false">
      <c r="B690" s="361"/>
      <c r="C690" s="369"/>
      <c r="D690" s="362"/>
      <c r="E690" s="363"/>
      <c r="F690" s="364"/>
      <c r="G690" s="363"/>
      <c r="H690" s="363"/>
      <c r="I690" s="370"/>
      <c r="J690" s="363"/>
      <c r="K690" s="363"/>
      <c r="L690" s="363"/>
      <c r="M690" s="367"/>
    </row>
    <row r="691" customFormat="false" ht="12.75" hidden="false" customHeight="true" outlineLevel="0" collapsed="false">
      <c r="B691" s="361"/>
      <c r="C691" s="369"/>
      <c r="D691" s="362"/>
      <c r="E691" s="363"/>
      <c r="F691" s="364"/>
      <c r="G691" s="363"/>
      <c r="H691" s="363"/>
      <c r="I691" s="370"/>
      <c r="J691" s="363"/>
      <c r="K691" s="363"/>
      <c r="L691" s="363"/>
      <c r="M691" s="367"/>
    </row>
    <row r="692" customFormat="false" ht="12.75" hidden="false" customHeight="true" outlineLevel="0" collapsed="false">
      <c r="B692" s="361"/>
      <c r="C692" s="369"/>
      <c r="D692" s="362"/>
      <c r="E692" s="363"/>
      <c r="F692" s="364"/>
      <c r="G692" s="363"/>
      <c r="H692" s="363"/>
      <c r="I692" s="370"/>
      <c r="J692" s="363"/>
      <c r="K692" s="363"/>
      <c r="L692" s="363"/>
      <c r="M692" s="367"/>
    </row>
    <row r="693" customFormat="false" ht="12.75" hidden="false" customHeight="true" outlineLevel="0" collapsed="false">
      <c r="B693" s="361"/>
      <c r="C693" s="369"/>
      <c r="D693" s="362"/>
      <c r="E693" s="363"/>
      <c r="F693" s="364"/>
      <c r="G693" s="363"/>
      <c r="H693" s="363"/>
      <c r="I693" s="370"/>
      <c r="J693" s="363"/>
      <c r="K693" s="363"/>
      <c r="L693" s="363"/>
      <c r="M693" s="367"/>
    </row>
    <row r="694" customFormat="false" ht="12.75" hidden="false" customHeight="true" outlineLevel="0" collapsed="false">
      <c r="B694" s="361"/>
      <c r="C694" s="369"/>
      <c r="D694" s="362"/>
      <c r="E694" s="363"/>
      <c r="F694" s="364"/>
      <c r="G694" s="363"/>
      <c r="H694" s="363"/>
      <c r="I694" s="370"/>
      <c r="J694" s="363"/>
      <c r="K694" s="363"/>
      <c r="L694" s="363"/>
      <c r="M694" s="367"/>
    </row>
    <row r="695" customFormat="false" ht="12.75" hidden="false" customHeight="true" outlineLevel="0" collapsed="false">
      <c r="B695" s="361"/>
      <c r="C695" s="369"/>
      <c r="D695" s="362"/>
      <c r="E695" s="363"/>
      <c r="F695" s="364"/>
      <c r="G695" s="363"/>
      <c r="H695" s="363"/>
      <c r="I695" s="370"/>
      <c r="J695" s="363"/>
      <c r="K695" s="363"/>
      <c r="L695" s="363"/>
      <c r="M695" s="367"/>
    </row>
    <row r="696" customFormat="false" ht="12.75" hidden="false" customHeight="true" outlineLevel="0" collapsed="false">
      <c r="B696" s="361"/>
      <c r="C696" s="369"/>
      <c r="D696" s="362"/>
      <c r="E696" s="363"/>
      <c r="F696" s="364"/>
      <c r="G696" s="363"/>
      <c r="H696" s="363"/>
      <c r="I696" s="370"/>
      <c r="J696" s="363"/>
      <c r="K696" s="363"/>
      <c r="L696" s="363"/>
      <c r="M696" s="367"/>
    </row>
    <row r="697" customFormat="false" ht="12.75" hidden="false" customHeight="true" outlineLevel="0" collapsed="false">
      <c r="B697" s="361"/>
      <c r="C697" s="369"/>
      <c r="D697" s="362"/>
      <c r="E697" s="363"/>
      <c r="F697" s="364"/>
      <c r="G697" s="363"/>
      <c r="H697" s="363"/>
      <c r="I697" s="370"/>
      <c r="J697" s="363"/>
      <c r="K697" s="363"/>
      <c r="L697" s="363"/>
      <c r="M697" s="367"/>
    </row>
    <row r="698" customFormat="false" ht="12.75" hidden="false" customHeight="true" outlineLevel="0" collapsed="false">
      <c r="B698" s="361"/>
      <c r="C698" s="369"/>
      <c r="D698" s="362"/>
      <c r="E698" s="363"/>
      <c r="F698" s="364"/>
      <c r="G698" s="363"/>
      <c r="H698" s="363"/>
      <c r="I698" s="370"/>
      <c r="J698" s="363"/>
      <c r="K698" s="363"/>
      <c r="L698" s="363"/>
      <c r="M698" s="367"/>
    </row>
    <row r="699" customFormat="false" ht="12.75" hidden="false" customHeight="true" outlineLevel="0" collapsed="false">
      <c r="B699" s="361"/>
      <c r="C699" s="369"/>
      <c r="D699" s="362"/>
      <c r="E699" s="363"/>
      <c r="F699" s="364"/>
      <c r="G699" s="363"/>
      <c r="H699" s="363"/>
      <c r="I699" s="370"/>
      <c r="J699" s="363"/>
      <c r="K699" s="363"/>
      <c r="L699" s="363"/>
      <c r="M699" s="367"/>
    </row>
    <row r="700" customFormat="false" ht="12.75" hidden="false" customHeight="true" outlineLevel="0" collapsed="false">
      <c r="B700" s="361"/>
      <c r="C700" s="369"/>
      <c r="D700" s="362"/>
      <c r="E700" s="363"/>
      <c r="F700" s="364"/>
      <c r="G700" s="363"/>
      <c r="H700" s="363"/>
      <c r="I700" s="370"/>
      <c r="J700" s="363"/>
      <c r="K700" s="363"/>
      <c r="L700" s="363"/>
      <c r="M700" s="367"/>
    </row>
    <row r="701" customFormat="false" ht="12.75" hidden="false" customHeight="true" outlineLevel="0" collapsed="false">
      <c r="B701" s="361"/>
      <c r="C701" s="369"/>
      <c r="D701" s="362"/>
      <c r="E701" s="363"/>
      <c r="F701" s="364"/>
      <c r="G701" s="363"/>
      <c r="H701" s="363"/>
      <c r="I701" s="370"/>
      <c r="J701" s="363"/>
      <c r="K701" s="363"/>
      <c r="L701" s="363"/>
      <c r="M701" s="367"/>
    </row>
    <row r="702" customFormat="false" ht="12.75" hidden="false" customHeight="true" outlineLevel="0" collapsed="false">
      <c r="B702" s="361"/>
      <c r="C702" s="369"/>
      <c r="D702" s="362"/>
      <c r="E702" s="363"/>
      <c r="F702" s="364"/>
      <c r="G702" s="363"/>
      <c r="H702" s="363"/>
      <c r="I702" s="370"/>
      <c r="J702" s="363"/>
      <c r="K702" s="363"/>
      <c r="L702" s="363"/>
      <c r="M702" s="367"/>
    </row>
    <row r="703" customFormat="false" ht="12.75" hidden="false" customHeight="true" outlineLevel="0" collapsed="false">
      <c r="B703" s="361"/>
      <c r="C703" s="369"/>
      <c r="D703" s="362"/>
      <c r="E703" s="363"/>
      <c r="F703" s="364"/>
      <c r="G703" s="363"/>
      <c r="H703" s="363"/>
      <c r="I703" s="370"/>
      <c r="J703" s="363"/>
      <c r="K703" s="363"/>
      <c r="L703" s="363"/>
      <c r="M703" s="367"/>
    </row>
    <row r="704" customFormat="false" ht="12.75" hidden="false" customHeight="true" outlineLevel="0" collapsed="false">
      <c r="B704" s="361"/>
      <c r="C704" s="369"/>
      <c r="D704" s="362"/>
      <c r="E704" s="363"/>
      <c r="F704" s="364"/>
      <c r="G704" s="363"/>
      <c r="H704" s="363"/>
      <c r="I704" s="370"/>
      <c r="J704" s="363"/>
      <c r="K704" s="363"/>
      <c r="L704" s="363"/>
      <c r="M704" s="367"/>
    </row>
    <row r="705" customFormat="false" ht="12.75" hidden="false" customHeight="true" outlineLevel="0" collapsed="false">
      <c r="B705" s="361"/>
      <c r="C705" s="369"/>
      <c r="D705" s="362"/>
      <c r="E705" s="363"/>
      <c r="F705" s="364"/>
      <c r="G705" s="363"/>
      <c r="H705" s="363"/>
      <c r="I705" s="370"/>
      <c r="J705" s="363"/>
      <c r="K705" s="363"/>
      <c r="L705" s="363"/>
      <c r="M705" s="367"/>
    </row>
    <row r="706" customFormat="false" ht="12.75" hidden="false" customHeight="true" outlineLevel="0" collapsed="false">
      <c r="B706" s="361"/>
      <c r="C706" s="369"/>
      <c r="D706" s="362"/>
      <c r="E706" s="363"/>
      <c r="F706" s="364"/>
      <c r="G706" s="363"/>
      <c r="H706" s="363"/>
      <c r="I706" s="370"/>
      <c r="J706" s="363"/>
      <c r="K706" s="363"/>
      <c r="L706" s="363"/>
      <c r="M706" s="367"/>
    </row>
    <row r="707" customFormat="false" ht="12.75" hidden="false" customHeight="true" outlineLevel="0" collapsed="false">
      <c r="B707" s="361"/>
      <c r="C707" s="369"/>
      <c r="D707" s="362"/>
      <c r="E707" s="363"/>
      <c r="F707" s="364"/>
      <c r="G707" s="363"/>
      <c r="H707" s="363"/>
      <c r="I707" s="370"/>
      <c r="J707" s="363"/>
      <c r="K707" s="363"/>
      <c r="L707" s="363"/>
      <c r="M707" s="367"/>
    </row>
    <row r="708" customFormat="false" ht="12.75" hidden="false" customHeight="true" outlineLevel="0" collapsed="false">
      <c r="B708" s="361"/>
      <c r="C708" s="362"/>
      <c r="D708" s="362"/>
      <c r="E708" s="363"/>
      <c r="F708" s="374"/>
      <c r="G708" s="363"/>
      <c r="H708" s="363"/>
      <c r="I708" s="363"/>
      <c r="J708" s="363"/>
      <c r="K708" s="363"/>
      <c r="L708" s="363"/>
      <c r="M708" s="367"/>
    </row>
    <row r="709" customFormat="false" ht="12.75" hidden="false" customHeight="true" outlineLevel="0" collapsed="false">
      <c r="B709" s="361"/>
      <c r="C709" s="362"/>
      <c r="D709" s="362"/>
      <c r="E709" s="363"/>
      <c r="F709" s="374"/>
      <c r="G709" s="363"/>
      <c r="H709" s="363"/>
      <c r="I709" s="363"/>
      <c r="J709" s="363"/>
      <c r="K709" s="363"/>
      <c r="L709" s="363"/>
      <c r="M709" s="367"/>
    </row>
    <row r="710" customFormat="false" ht="12.75" hidden="false" customHeight="true" outlineLevel="0" collapsed="false">
      <c r="B710" s="368"/>
      <c r="C710" s="362"/>
      <c r="D710" s="362"/>
      <c r="E710" s="363"/>
      <c r="F710" s="374"/>
      <c r="G710" s="363"/>
      <c r="H710" s="363"/>
      <c r="I710" s="363"/>
      <c r="J710" s="363"/>
      <c r="K710" s="363"/>
      <c r="L710" s="363"/>
      <c r="M710" s="367"/>
    </row>
    <row r="711" customFormat="false" ht="12.75" hidden="false" customHeight="true" outlineLevel="0" collapsed="false">
      <c r="B711" s="361"/>
      <c r="C711" s="362"/>
      <c r="D711" s="362"/>
      <c r="E711" s="363"/>
      <c r="F711" s="374"/>
      <c r="G711" s="363"/>
      <c r="H711" s="363"/>
      <c r="I711" s="363"/>
      <c r="J711" s="363"/>
      <c r="K711" s="363"/>
      <c r="L711" s="363"/>
      <c r="M711" s="367"/>
    </row>
    <row r="712" customFormat="false" ht="12.75" hidden="false" customHeight="true" outlineLevel="0" collapsed="false">
      <c r="B712" s="361"/>
      <c r="C712" s="362"/>
      <c r="D712" s="362"/>
      <c r="E712" s="363"/>
      <c r="F712" s="374"/>
      <c r="G712" s="363"/>
      <c r="H712" s="363"/>
      <c r="I712" s="363"/>
      <c r="J712" s="363"/>
      <c r="K712" s="363"/>
      <c r="L712" s="363"/>
      <c r="M712" s="367"/>
    </row>
    <row r="713" customFormat="false" ht="12.75" hidden="false" customHeight="true" outlineLevel="0" collapsed="false">
      <c r="B713" s="368"/>
      <c r="C713" s="362"/>
      <c r="D713" s="362"/>
      <c r="E713" s="363"/>
      <c r="F713" s="374"/>
      <c r="G713" s="363"/>
      <c r="H713" s="363"/>
      <c r="I713" s="363"/>
      <c r="J713" s="363"/>
      <c r="K713" s="363"/>
      <c r="L713" s="363"/>
      <c r="M713" s="367"/>
    </row>
    <row r="714" customFormat="false" ht="12.75" hidden="false" customHeight="true" outlineLevel="0" collapsed="false">
      <c r="B714" s="361"/>
      <c r="C714" s="362"/>
      <c r="D714" s="362"/>
      <c r="E714" s="363"/>
      <c r="F714" s="374"/>
      <c r="G714" s="363"/>
      <c r="H714" s="363"/>
      <c r="I714" s="363"/>
      <c r="J714" s="363"/>
      <c r="K714" s="363"/>
      <c r="L714" s="363"/>
      <c r="M714" s="367"/>
    </row>
    <row r="715" customFormat="false" ht="12.75" hidden="false" customHeight="true" outlineLevel="0" collapsed="false">
      <c r="B715" s="361"/>
      <c r="C715" s="362"/>
      <c r="D715" s="362"/>
      <c r="E715" s="363"/>
      <c r="F715" s="374"/>
      <c r="G715" s="363"/>
      <c r="H715" s="363"/>
      <c r="I715" s="363"/>
      <c r="J715" s="363"/>
      <c r="K715" s="363"/>
      <c r="L715" s="363"/>
      <c r="M715" s="367"/>
    </row>
    <row r="716" customFormat="false" ht="12.75" hidden="false" customHeight="true" outlineLevel="0" collapsed="false">
      <c r="B716" s="368"/>
      <c r="C716" s="362"/>
      <c r="D716" s="362"/>
      <c r="E716" s="363"/>
      <c r="F716" s="374"/>
      <c r="G716" s="363"/>
      <c r="H716" s="363"/>
      <c r="I716" s="363"/>
      <c r="J716" s="363"/>
      <c r="K716" s="363"/>
      <c r="L716" s="363"/>
      <c r="M716" s="367"/>
    </row>
    <row r="717" customFormat="false" ht="12.75" hidden="false" customHeight="true" outlineLevel="0" collapsed="false">
      <c r="B717" s="361"/>
      <c r="C717" s="362"/>
      <c r="D717" s="362"/>
      <c r="E717" s="363"/>
      <c r="F717" s="374"/>
      <c r="G717" s="363"/>
      <c r="H717" s="363"/>
      <c r="I717" s="363"/>
      <c r="J717" s="363"/>
      <c r="K717" s="363"/>
      <c r="L717" s="363"/>
      <c r="M717" s="367"/>
    </row>
    <row r="718" customFormat="false" ht="12.75" hidden="false" customHeight="true" outlineLevel="0" collapsed="false">
      <c r="B718" s="361"/>
      <c r="C718" s="369"/>
      <c r="D718" s="369"/>
      <c r="E718" s="370"/>
      <c r="F718" s="375"/>
      <c r="G718" s="370"/>
      <c r="H718" s="370"/>
      <c r="I718" s="370"/>
      <c r="J718" s="370"/>
      <c r="K718" s="370"/>
      <c r="L718" s="370"/>
      <c r="M718" s="367"/>
    </row>
    <row r="719" customFormat="false" ht="12.75" hidden="false" customHeight="true" outlineLevel="0" collapsed="false">
      <c r="B719" s="361"/>
      <c r="C719" s="369"/>
      <c r="D719" s="362"/>
      <c r="E719" s="363"/>
      <c r="F719" s="364"/>
      <c r="G719" s="363"/>
      <c r="H719" s="363"/>
      <c r="I719" s="370"/>
      <c r="J719" s="363"/>
      <c r="K719" s="370"/>
      <c r="L719" s="363"/>
      <c r="M719" s="367"/>
    </row>
    <row r="720" customFormat="false" ht="12.75" hidden="false" customHeight="true" outlineLevel="0" collapsed="false">
      <c r="B720" s="361"/>
      <c r="C720" s="369"/>
      <c r="D720" s="362"/>
      <c r="E720" s="363"/>
      <c r="F720" s="364"/>
      <c r="G720" s="363"/>
      <c r="H720" s="363"/>
      <c r="I720" s="370"/>
      <c r="J720" s="363"/>
      <c r="K720" s="363"/>
      <c r="L720" s="363"/>
      <c r="M720" s="367"/>
    </row>
    <row r="721" customFormat="false" ht="12.75" hidden="false" customHeight="true" outlineLevel="0" collapsed="false">
      <c r="B721" s="361"/>
      <c r="C721" s="369"/>
      <c r="D721" s="362"/>
      <c r="E721" s="363"/>
      <c r="F721" s="364"/>
      <c r="G721" s="363"/>
      <c r="H721" s="363"/>
      <c r="I721" s="370"/>
      <c r="J721" s="363"/>
      <c r="K721" s="363"/>
      <c r="L721" s="363"/>
      <c r="M721" s="367"/>
    </row>
    <row r="722" customFormat="false" ht="12.75" hidden="false" customHeight="true" outlineLevel="0" collapsed="false">
      <c r="B722" s="361"/>
      <c r="C722" s="369"/>
      <c r="D722" s="362"/>
      <c r="E722" s="363"/>
      <c r="F722" s="364"/>
      <c r="G722" s="363"/>
      <c r="H722" s="363"/>
      <c r="I722" s="370"/>
      <c r="J722" s="363"/>
      <c r="K722" s="363"/>
      <c r="L722" s="363"/>
      <c r="M722" s="367"/>
    </row>
    <row r="723" customFormat="false" ht="12.75" hidden="false" customHeight="true" outlineLevel="0" collapsed="false">
      <c r="B723" s="361"/>
      <c r="C723" s="369"/>
      <c r="D723" s="362"/>
      <c r="E723" s="363"/>
      <c r="F723" s="364"/>
      <c r="G723" s="363"/>
      <c r="H723" s="363"/>
      <c r="I723" s="370"/>
      <c r="J723" s="363"/>
      <c r="K723" s="363"/>
      <c r="L723" s="363"/>
      <c r="M723" s="367"/>
    </row>
    <row r="724" customFormat="false" ht="12.75" hidden="false" customHeight="true" outlineLevel="0" collapsed="false">
      <c r="B724" s="361"/>
      <c r="C724" s="369"/>
      <c r="D724" s="362"/>
      <c r="E724" s="363"/>
      <c r="F724" s="364"/>
      <c r="G724" s="363"/>
      <c r="H724" s="363"/>
      <c r="I724" s="370"/>
      <c r="J724" s="363"/>
      <c r="K724" s="363"/>
      <c r="L724" s="363"/>
      <c r="M724" s="367"/>
    </row>
    <row r="725" customFormat="false" ht="12.75" hidden="false" customHeight="true" outlineLevel="0" collapsed="false">
      <c r="B725" s="361"/>
      <c r="C725" s="369"/>
      <c r="D725" s="362"/>
      <c r="E725" s="363"/>
      <c r="F725" s="364"/>
      <c r="G725" s="363"/>
      <c r="H725" s="363"/>
      <c r="I725" s="370"/>
      <c r="J725" s="363"/>
      <c r="K725" s="363"/>
      <c r="L725" s="363"/>
      <c r="M725" s="367"/>
    </row>
    <row r="726" customFormat="false" ht="12.75" hidden="false" customHeight="true" outlineLevel="0" collapsed="false">
      <c r="B726" s="361"/>
      <c r="C726" s="369"/>
      <c r="D726" s="362"/>
      <c r="E726" s="363"/>
      <c r="F726" s="364"/>
      <c r="G726" s="363"/>
      <c r="H726" s="363"/>
      <c r="I726" s="370"/>
      <c r="J726" s="370"/>
      <c r="K726" s="363"/>
      <c r="L726" s="363"/>
      <c r="M726" s="367"/>
    </row>
    <row r="727" customFormat="false" ht="12.75" hidden="false" customHeight="true" outlineLevel="0" collapsed="false">
      <c r="B727" s="361"/>
      <c r="C727" s="369"/>
      <c r="D727" s="362"/>
      <c r="E727" s="363"/>
      <c r="F727" s="364"/>
      <c r="G727" s="363"/>
      <c r="H727" s="363"/>
      <c r="I727" s="370"/>
      <c r="J727" s="363"/>
      <c r="K727" s="363"/>
      <c r="L727" s="363"/>
      <c r="M727" s="367"/>
    </row>
    <row r="728" customFormat="false" ht="12.75" hidden="false" customHeight="true" outlineLevel="0" collapsed="false">
      <c r="B728" s="361"/>
      <c r="C728" s="369"/>
      <c r="D728" s="362"/>
      <c r="E728" s="363"/>
      <c r="F728" s="364"/>
      <c r="G728" s="363"/>
      <c r="H728" s="363"/>
      <c r="I728" s="370"/>
      <c r="J728" s="363"/>
      <c r="K728" s="363"/>
      <c r="L728" s="370"/>
      <c r="M728" s="367"/>
    </row>
    <row r="729" customFormat="false" ht="12.75" hidden="false" customHeight="true" outlineLevel="0" collapsed="false">
      <c r="B729" s="361"/>
      <c r="C729" s="369"/>
      <c r="D729" s="362"/>
      <c r="E729" s="363"/>
      <c r="F729" s="364"/>
      <c r="G729" s="363"/>
      <c r="H729" s="363"/>
      <c r="I729" s="370"/>
      <c r="J729" s="363"/>
      <c r="K729" s="363"/>
      <c r="L729" s="363"/>
      <c r="M729" s="367"/>
    </row>
    <row r="730" customFormat="false" ht="12.75" hidden="false" customHeight="true" outlineLevel="0" collapsed="false">
      <c r="B730" s="361"/>
      <c r="C730" s="369"/>
      <c r="D730" s="362"/>
      <c r="E730" s="363"/>
      <c r="F730" s="364"/>
      <c r="G730" s="363"/>
      <c r="H730" s="363"/>
      <c r="I730" s="370"/>
      <c r="J730" s="363"/>
      <c r="K730" s="363"/>
      <c r="L730" s="363"/>
      <c r="M730" s="367"/>
    </row>
    <row r="731" customFormat="false" ht="12.75" hidden="false" customHeight="true" outlineLevel="0" collapsed="false">
      <c r="B731" s="361"/>
      <c r="C731" s="369"/>
      <c r="D731" s="362"/>
      <c r="E731" s="363"/>
      <c r="F731" s="364"/>
      <c r="G731" s="363"/>
      <c r="H731" s="363"/>
      <c r="I731" s="370"/>
      <c r="J731" s="363"/>
      <c r="K731" s="363"/>
      <c r="L731" s="363"/>
      <c r="M731" s="367"/>
    </row>
    <row r="732" customFormat="false" ht="12.75" hidden="false" customHeight="true" outlineLevel="0" collapsed="false">
      <c r="B732" s="361"/>
      <c r="C732" s="369"/>
      <c r="D732" s="362"/>
      <c r="E732" s="363"/>
      <c r="F732" s="364"/>
      <c r="G732" s="363"/>
      <c r="H732" s="363"/>
      <c r="I732" s="370"/>
      <c r="J732" s="363"/>
      <c r="K732" s="363"/>
      <c r="L732" s="363"/>
      <c r="M732" s="367"/>
    </row>
    <row r="733" customFormat="false" ht="12.75" hidden="false" customHeight="true" outlineLevel="0" collapsed="false">
      <c r="B733" s="361"/>
      <c r="C733" s="369"/>
      <c r="D733" s="362"/>
      <c r="E733" s="363"/>
      <c r="F733" s="364"/>
      <c r="G733" s="363"/>
      <c r="H733" s="363"/>
      <c r="I733" s="370"/>
      <c r="J733" s="363"/>
      <c r="K733" s="363"/>
      <c r="L733" s="363"/>
      <c r="M733" s="367"/>
    </row>
    <row r="734" customFormat="false" ht="12.75" hidden="false" customHeight="true" outlineLevel="0" collapsed="false">
      <c r="B734" s="361"/>
      <c r="C734" s="369"/>
      <c r="D734" s="362"/>
      <c r="E734" s="363"/>
      <c r="F734" s="364"/>
      <c r="G734" s="363"/>
      <c r="H734" s="363"/>
      <c r="I734" s="370"/>
      <c r="J734" s="363"/>
      <c r="K734" s="363"/>
      <c r="L734" s="363"/>
      <c r="M734" s="367"/>
    </row>
    <row r="735" customFormat="false" ht="12.75" hidden="false" customHeight="true" outlineLevel="0" collapsed="false">
      <c r="B735" s="361"/>
      <c r="C735" s="369"/>
      <c r="D735" s="362"/>
      <c r="E735" s="363"/>
      <c r="F735" s="364"/>
      <c r="G735" s="363"/>
      <c r="H735" s="363"/>
      <c r="I735" s="370"/>
      <c r="J735" s="363"/>
      <c r="K735" s="363"/>
      <c r="L735" s="363"/>
      <c r="M735" s="367"/>
    </row>
    <row r="736" customFormat="false" ht="12.75" hidden="false" customHeight="true" outlineLevel="0" collapsed="false">
      <c r="B736" s="361"/>
      <c r="C736" s="369"/>
      <c r="D736" s="362"/>
      <c r="E736" s="363"/>
      <c r="F736" s="364"/>
      <c r="G736" s="363"/>
      <c r="H736" s="363"/>
      <c r="I736" s="370"/>
      <c r="J736" s="363"/>
      <c r="K736" s="363"/>
      <c r="L736" s="363"/>
      <c r="M736" s="367"/>
    </row>
    <row r="737" customFormat="false" ht="12.75" hidden="false" customHeight="true" outlineLevel="0" collapsed="false">
      <c r="B737" s="361"/>
      <c r="C737" s="369"/>
      <c r="D737" s="362"/>
      <c r="E737" s="363"/>
      <c r="F737" s="364"/>
      <c r="G737" s="363"/>
      <c r="H737" s="363"/>
      <c r="I737" s="370"/>
      <c r="J737" s="363"/>
      <c r="K737" s="363"/>
      <c r="L737" s="363"/>
      <c r="M737" s="367"/>
    </row>
    <row r="738" customFormat="false" ht="12.75" hidden="false" customHeight="true" outlineLevel="0" collapsed="false">
      <c r="B738" s="361"/>
      <c r="C738" s="369"/>
      <c r="D738" s="362"/>
      <c r="E738" s="363"/>
      <c r="F738" s="364"/>
      <c r="G738" s="363"/>
      <c r="H738" s="363"/>
      <c r="I738" s="370"/>
      <c r="J738" s="363"/>
      <c r="K738" s="363"/>
      <c r="L738" s="363"/>
      <c r="M738" s="367"/>
    </row>
    <row r="739" customFormat="false" ht="12.75" hidden="false" customHeight="true" outlineLevel="0" collapsed="false">
      <c r="B739" s="361"/>
      <c r="C739" s="369"/>
      <c r="D739" s="362"/>
      <c r="E739" s="363"/>
      <c r="F739" s="364"/>
      <c r="G739" s="363"/>
      <c r="H739" s="363"/>
      <c r="I739" s="370"/>
      <c r="J739" s="363"/>
      <c r="K739" s="363"/>
      <c r="L739" s="363"/>
      <c r="M739" s="367"/>
    </row>
    <row r="740" customFormat="false" ht="12.75" hidden="false" customHeight="true" outlineLevel="0" collapsed="false">
      <c r="B740" s="361"/>
      <c r="C740" s="369"/>
      <c r="D740" s="362"/>
      <c r="E740" s="363"/>
      <c r="F740" s="364"/>
      <c r="G740" s="363"/>
      <c r="H740" s="363"/>
      <c r="I740" s="370"/>
      <c r="J740" s="363"/>
      <c r="K740" s="363"/>
      <c r="L740" s="363"/>
      <c r="M740" s="367"/>
    </row>
    <row r="741" customFormat="false" ht="12.75" hidden="false" customHeight="true" outlineLevel="0" collapsed="false">
      <c r="B741" s="361"/>
      <c r="C741" s="369"/>
      <c r="D741" s="362"/>
      <c r="E741" s="363"/>
      <c r="F741" s="364"/>
      <c r="G741" s="363"/>
      <c r="H741" s="363"/>
      <c r="I741" s="370"/>
      <c r="J741" s="363"/>
      <c r="K741" s="363"/>
      <c r="L741" s="363"/>
      <c r="M741" s="367"/>
    </row>
    <row r="742" customFormat="false" ht="12.75" hidden="false" customHeight="true" outlineLevel="0" collapsed="false">
      <c r="B742" s="361"/>
      <c r="C742" s="369"/>
      <c r="D742" s="362"/>
      <c r="E742" s="363"/>
      <c r="F742" s="364"/>
      <c r="G742" s="363"/>
      <c r="H742" s="363"/>
      <c r="I742" s="370"/>
      <c r="J742" s="363"/>
      <c r="K742" s="363"/>
      <c r="L742" s="363"/>
      <c r="M742" s="367"/>
    </row>
    <row r="743" customFormat="false" ht="12.75" hidden="false" customHeight="true" outlineLevel="0" collapsed="false">
      <c r="B743" s="361"/>
      <c r="C743" s="369"/>
      <c r="D743" s="362"/>
      <c r="E743" s="363"/>
      <c r="F743" s="364"/>
      <c r="G743" s="363"/>
      <c r="H743" s="363"/>
      <c r="I743" s="370"/>
      <c r="J743" s="363"/>
      <c r="K743" s="363"/>
      <c r="L743" s="363"/>
      <c r="M743" s="367"/>
    </row>
    <row r="744" customFormat="false" ht="12.75" hidden="false" customHeight="true" outlineLevel="0" collapsed="false">
      <c r="B744" s="361"/>
      <c r="C744" s="369"/>
      <c r="D744" s="362"/>
      <c r="E744" s="363"/>
      <c r="F744" s="364"/>
      <c r="G744" s="363"/>
      <c r="H744" s="363"/>
      <c r="I744" s="370"/>
      <c r="J744" s="363"/>
      <c r="K744" s="363"/>
      <c r="L744" s="363"/>
      <c r="M744" s="367"/>
    </row>
    <row r="745" customFormat="false" ht="12.75" hidden="false" customHeight="true" outlineLevel="0" collapsed="false">
      <c r="B745" s="361"/>
      <c r="C745" s="369"/>
      <c r="D745" s="362"/>
      <c r="E745" s="363"/>
      <c r="F745" s="364"/>
      <c r="G745" s="363"/>
      <c r="H745" s="363"/>
      <c r="I745" s="370"/>
      <c r="J745" s="363"/>
      <c r="K745" s="363"/>
      <c r="L745" s="363"/>
      <c r="M745" s="367"/>
    </row>
    <row r="746" customFormat="false" ht="12.75" hidden="false" customHeight="true" outlineLevel="0" collapsed="false">
      <c r="B746" s="361"/>
      <c r="C746" s="369"/>
      <c r="D746" s="362"/>
      <c r="E746" s="363"/>
      <c r="F746" s="364"/>
      <c r="G746" s="363"/>
      <c r="H746" s="363"/>
      <c r="I746" s="370"/>
      <c r="J746" s="363"/>
      <c r="K746" s="363"/>
      <c r="L746" s="363"/>
      <c r="M746" s="367"/>
    </row>
    <row r="747" customFormat="false" ht="12.75" hidden="false" customHeight="true" outlineLevel="0" collapsed="false">
      <c r="B747" s="361"/>
      <c r="C747" s="362"/>
      <c r="D747" s="362"/>
      <c r="E747" s="363"/>
      <c r="F747" s="374"/>
      <c r="G747" s="363"/>
      <c r="H747" s="363"/>
      <c r="I747" s="363"/>
      <c r="J747" s="363"/>
      <c r="K747" s="363"/>
      <c r="L747" s="363"/>
      <c r="M747" s="367"/>
    </row>
    <row r="748" customFormat="false" ht="12.75" hidden="false" customHeight="true" outlineLevel="0" collapsed="false">
      <c r="B748" s="361"/>
      <c r="C748" s="362"/>
      <c r="D748" s="362"/>
      <c r="E748" s="363"/>
      <c r="F748" s="374"/>
      <c r="G748" s="363"/>
      <c r="H748" s="363"/>
      <c r="I748" s="363"/>
      <c r="J748" s="363"/>
      <c r="K748" s="363"/>
      <c r="L748" s="363"/>
      <c r="M748" s="367"/>
    </row>
    <row r="749" customFormat="false" ht="12.75" hidden="false" customHeight="true" outlineLevel="0" collapsed="false">
      <c r="B749" s="368"/>
      <c r="C749" s="362"/>
      <c r="D749" s="362"/>
      <c r="E749" s="363"/>
      <c r="F749" s="374"/>
      <c r="G749" s="363"/>
      <c r="H749" s="363"/>
      <c r="I749" s="363"/>
      <c r="J749" s="363"/>
      <c r="K749" s="363"/>
      <c r="L749" s="363"/>
      <c r="M749" s="367"/>
    </row>
    <row r="750" customFormat="false" ht="12.75" hidden="false" customHeight="true" outlineLevel="0" collapsed="false">
      <c r="B750" s="361"/>
      <c r="C750" s="362"/>
      <c r="D750" s="362"/>
      <c r="E750" s="363"/>
      <c r="F750" s="374"/>
      <c r="G750" s="363"/>
      <c r="H750" s="363"/>
      <c r="I750" s="363"/>
      <c r="J750" s="363"/>
      <c r="K750" s="363"/>
      <c r="L750" s="363"/>
      <c r="M750" s="367"/>
    </row>
    <row r="751" customFormat="false" ht="12.75" hidden="false" customHeight="true" outlineLevel="0" collapsed="false">
      <c r="B751" s="361"/>
      <c r="C751" s="362"/>
      <c r="D751" s="362"/>
      <c r="E751" s="363"/>
      <c r="F751" s="374"/>
      <c r="G751" s="363"/>
      <c r="H751" s="363"/>
      <c r="I751" s="363"/>
      <c r="J751" s="363"/>
      <c r="K751" s="363"/>
      <c r="L751" s="363"/>
      <c r="M751" s="367"/>
    </row>
    <row r="752" customFormat="false" ht="12.75" hidden="false" customHeight="true" outlineLevel="0" collapsed="false">
      <c r="B752" s="368"/>
      <c r="C752" s="362"/>
      <c r="D752" s="362"/>
      <c r="E752" s="363"/>
      <c r="F752" s="374"/>
      <c r="G752" s="363"/>
      <c r="H752" s="363"/>
      <c r="I752" s="363"/>
      <c r="J752" s="363"/>
      <c r="K752" s="363"/>
      <c r="L752" s="363"/>
      <c r="M752" s="367"/>
    </row>
    <row r="753" customFormat="false" ht="12.75" hidden="false" customHeight="true" outlineLevel="0" collapsed="false">
      <c r="B753" s="361"/>
      <c r="C753" s="362"/>
      <c r="D753" s="362"/>
      <c r="E753" s="363"/>
      <c r="F753" s="374"/>
      <c r="G753" s="363"/>
      <c r="H753" s="363"/>
      <c r="I753" s="363"/>
      <c r="J753" s="363"/>
      <c r="K753" s="363"/>
      <c r="L753" s="363"/>
      <c r="M753" s="367"/>
    </row>
    <row r="754" customFormat="false" ht="12.75" hidden="false" customHeight="true" outlineLevel="0" collapsed="false">
      <c r="B754" s="361"/>
      <c r="C754" s="362"/>
      <c r="D754" s="362"/>
      <c r="E754" s="363"/>
      <c r="F754" s="374"/>
      <c r="G754" s="363"/>
      <c r="H754" s="363"/>
      <c r="I754" s="363"/>
      <c r="J754" s="363"/>
      <c r="K754" s="363"/>
      <c r="L754" s="363"/>
      <c r="M754" s="367"/>
    </row>
    <row r="755" customFormat="false" ht="12.75" hidden="false" customHeight="true" outlineLevel="0" collapsed="false">
      <c r="B755" s="368"/>
      <c r="C755" s="362"/>
      <c r="D755" s="362"/>
      <c r="E755" s="363"/>
      <c r="F755" s="374"/>
      <c r="G755" s="363"/>
      <c r="H755" s="363"/>
      <c r="I755" s="363"/>
      <c r="J755" s="363"/>
      <c r="K755" s="363"/>
      <c r="L755" s="363"/>
      <c r="M755" s="367"/>
    </row>
    <row r="756" customFormat="false" ht="12.75" hidden="false" customHeight="true" outlineLevel="0" collapsed="false">
      <c r="B756" s="361"/>
      <c r="C756" s="362"/>
      <c r="D756" s="362"/>
      <c r="E756" s="363"/>
      <c r="F756" s="374"/>
      <c r="G756" s="363"/>
      <c r="H756" s="363"/>
      <c r="I756" s="363"/>
      <c r="J756" s="363"/>
      <c r="K756" s="363"/>
      <c r="L756" s="363"/>
      <c r="M756" s="367"/>
    </row>
    <row r="757" customFormat="false" ht="12.75" hidden="false" customHeight="true" outlineLevel="0" collapsed="false">
      <c r="B757" s="361"/>
      <c r="C757" s="369"/>
      <c r="D757" s="369"/>
      <c r="E757" s="370"/>
      <c r="F757" s="375"/>
      <c r="G757" s="370"/>
      <c r="H757" s="370"/>
      <c r="I757" s="370"/>
      <c r="J757" s="370"/>
      <c r="K757" s="370"/>
      <c r="L757" s="370"/>
      <c r="M757" s="367"/>
    </row>
    <row r="758" customFormat="false" ht="12.75" hidden="false" customHeight="true" outlineLevel="0" collapsed="false">
      <c r="B758" s="361"/>
      <c r="C758" s="369"/>
      <c r="D758" s="362"/>
      <c r="E758" s="363"/>
      <c r="F758" s="364"/>
      <c r="G758" s="363"/>
      <c r="H758" s="363"/>
      <c r="I758" s="370"/>
      <c r="J758" s="363"/>
      <c r="K758" s="370"/>
      <c r="L758" s="363"/>
      <c r="M758" s="367"/>
    </row>
    <row r="759" customFormat="false" ht="12.75" hidden="false" customHeight="true" outlineLevel="0" collapsed="false">
      <c r="B759" s="361"/>
      <c r="C759" s="369"/>
      <c r="D759" s="362"/>
      <c r="E759" s="363"/>
      <c r="F759" s="364"/>
      <c r="G759" s="363"/>
      <c r="H759" s="363"/>
      <c r="I759" s="370"/>
      <c r="J759" s="363"/>
      <c r="K759" s="363"/>
      <c r="L759" s="363"/>
      <c r="M759" s="367"/>
    </row>
    <row r="760" customFormat="false" ht="12.75" hidden="false" customHeight="true" outlineLevel="0" collapsed="false">
      <c r="B760" s="361"/>
      <c r="C760" s="369"/>
      <c r="D760" s="362"/>
      <c r="E760" s="363"/>
      <c r="F760" s="364"/>
      <c r="G760" s="363"/>
      <c r="H760" s="363"/>
      <c r="I760" s="370"/>
      <c r="J760" s="363"/>
      <c r="K760" s="363"/>
      <c r="L760" s="363"/>
      <c r="M760" s="367"/>
    </row>
    <row r="761" customFormat="false" ht="12.75" hidden="false" customHeight="true" outlineLevel="0" collapsed="false">
      <c r="B761" s="361"/>
      <c r="C761" s="369"/>
      <c r="D761" s="362"/>
      <c r="E761" s="363"/>
      <c r="F761" s="364"/>
      <c r="G761" s="363"/>
      <c r="H761" s="363"/>
      <c r="I761" s="370"/>
      <c r="J761" s="363"/>
      <c r="K761" s="363"/>
      <c r="L761" s="363"/>
      <c r="M761" s="367"/>
    </row>
    <row r="762" customFormat="false" ht="12.75" hidden="false" customHeight="true" outlineLevel="0" collapsed="false">
      <c r="B762" s="361"/>
      <c r="C762" s="369"/>
      <c r="D762" s="362"/>
      <c r="E762" s="363"/>
      <c r="F762" s="364"/>
      <c r="G762" s="363"/>
      <c r="H762" s="363"/>
      <c r="I762" s="370"/>
      <c r="J762" s="363"/>
      <c r="K762" s="363"/>
      <c r="L762" s="363"/>
      <c r="M762" s="367"/>
    </row>
    <row r="763" customFormat="false" ht="12.75" hidden="false" customHeight="true" outlineLevel="0" collapsed="false">
      <c r="B763" s="361"/>
      <c r="C763" s="369"/>
      <c r="D763" s="362"/>
      <c r="E763" s="363"/>
      <c r="F763" s="364"/>
      <c r="G763" s="363"/>
      <c r="H763" s="363"/>
      <c r="I763" s="370"/>
      <c r="J763" s="363"/>
      <c r="K763" s="363"/>
      <c r="L763" s="363"/>
      <c r="M763" s="367"/>
    </row>
    <row r="764" customFormat="false" ht="12.75" hidden="false" customHeight="true" outlineLevel="0" collapsed="false">
      <c r="B764" s="361"/>
      <c r="C764" s="369"/>
      <c r="D764" s="362"/>
      <c r="E764" s="363"/>
      <c r="F764" s="364"/>
      <c r="G764" s="363"/>
      <c r="H764" s="363"/>
      <c r="I764" s="370"/>
      <c r="J764" s="363"/>
      <c r="K764" s="363"/>
      <c r="L764" s="363"/>
      <c r="M764" s="367"/>
    </row>
    <row r="765" customFormat="false" ht="12.75" hidden="false" customHeight="true" outlineLevel="0" collapsed="false">
      <c r="B765" s="361"/>
      <c r="C765" s="369"/>
      <c r="D765" s="362"/>
      <c r="E765" s="363"/>
      <c r="F765" s="364"/>
      <c r="G765" s="363"/>
      <c r="H765" s="363"/>
      <c r="I765" s="370"/>
      <c r="J765" s="370"/>
      <c r="K765" s="363"/>
      <c r="L765" s="363"/>
      <c r="M765" s="367"/>
    </row>
    <row r="766" customFormat="false" ht="12.75" hidden="false" customHeight="true" outlineLevel="0" collapsed="false">
      <c r="B766" s="361"/>
      <c r="C766" s="369"/>
      <c r="D766" s="362"/>
      <c r="E766" s="363"/>
      <c r="F766" s="364"/>
      <c r="G766" s="363"/>
      <c r="H766" s="363"/>
      <c r="I766" s="370"/>
      <c r="J766" s="363"/>
      <c r="K766" s="363"/>
      <c r="L766" s="363"/>
      <c r="M766" s="367"/>
    </row>
    <row r="767" customFormat="false" ht="12.75" hidden="false" customHeight="true" outlineLevel="0" collapsed="false">
      <c r="B767" s="361"/>
      <c r="C767" s="369"/>
      <c r="D767" s="362"/>
      <c r="E767" s="363"/>
      <c r="F767" s="364"/>
      <c r="G767" s="363"/>
      <c r="H767" s="363"/>
      <c r="I767" s="370"/>
      <c r="J767" s="363"/>
      <c r="K767" s="363"/>
      <c r="L767" s="370"/>
      <c r="M767" s="367"/>
    </row>
    <row r="768" customFormat="false" ht="12.75" hidden="false" customHeight="true" outlineLevel="0" collapsed="false">
      <c r="B768" s="361"/>
      <c r="C768" s="369"/>
      <c r="D768" s="362"/>
      <c r="E768" s="363"/>
      <c r="F768" s="364"/>
      <c r="G768" s="363"/>
      <c r="H768" s="363"/>
      <c r="I768" s="370"/>
      <c r="J768" s="363"/>
      <c r="K768" s="363"/>
      <c r="L768" s="363"/>
      <c r="M768" s="367"/>
    </row>
    <row r="769" customFormat="false" ht="12.75" hidden="false" customHeight="true" outlineLevel="0" collapsed="false">
      <c r="B769" s="361"/>
      <c r="C769" s="369"/>
      <c r="D769" s="362"/>
      <c r="E769" s="363"/>
      <c r="F769" s="364"/>
      <c r="G769" s="363"/>
      <c r="H769" s="363"/>
      <c r="I769" s="370"/>
      <c r="J769" s="363"/>
      <c r="K769" s="363"/>
      <c r="L769" s="363"/>
      <c r="M769" s="367"/>
    </row>
    <row r="770" customFormat="false" ht="12.75" hidden="false" customHeight="true" outlineLevel="0" collapsed="false">
      <c r="B770" s="361"/>
      <c r="C770" s="369"/>
      <c r="D770" s="362"/>
      <c r="E770" s="363"/>
      <c r="F770" s="364"/>
      <c r="G770" s="363"/>
      <c r="H770" s="363"/>
      <c r="I770" s="370"/>
      <c r="J770" s="363"/>
      <c r="K770" s="363"/>
      <c r="L770" s="363"/>
      <c r="M770" s="367"/>
    </row>
    <row r="771" customFormat="false" ht="12.75" hidden="false" customHeight="true" outlineLevel="0" collapsed="false">
      <c r="B771" s="361"/>
      <c r="C771" s="369"/>
      <c r="D771" s="362"/>
      <c r="E771" s="363"/>
      <c r="F771" s="364"/>
      <c r="G771" s="363"/>
      <c r="H771" s="363"/>
      <c r="I771" s="370"/>
      <c r="J771" s="363"/>
      <c r="K771" s="363"/>
      <c r="L771" s="363"/>
      <c r="M771" s="367"/>
    </row>
    <row r="772" customFormat="false" ht="12.75" hidden="false" customHeight="true" outlineLevel="0" collapsed="false">
      <c r="B772" s="361"/>
      <c r="C772" s="369"/>
      <c r="D772" s="362"/>
      <c r="E772" s="363"/>
      <c r="F772" s="364"/>
      <c r="G772" s="363"/>
      <c r="H772" s="363"/>
      <c r="I772" s="370"/>
      <c r="J772" s="363"/>
      <c r="K772" s="363"/>
      <c r="L772" s="363"/>
      <c r="M772" s="367"/>
    </row>
    <row r="773" customFormat="false" ht="12.75" hidden="false" customHeight="true" outlineLevel="0" collapsed="false">
      <c r="B773" s="361"/>
      <c r="C773" s="369"/>
      <c r="D773" s="362"/>
      <c r="E773" s="363"/>
      <c r="F773" s="364"/>
      <c r="G773" s="363"/>
      <c r="H773" s="363"/>
      <c r="I773" s="370"/>
      <c r="J773" s="363"/>
      <c r="K773" s="363"/>
      <c r="L773" s="363"/>
      <c r="M773" s="367"/>
    </row>
    <row r="774" customFormat="false" ht="12.75" hidden="false" customHeight="true" outlineLevel="0" collapsed="false">
      <c r="B774" s="361"/>
      <c r="C774" s="369"/>
      <c r="D774" s="362"/>
      <c r="E774" s="363"/>
      <c r="F774" s="364"/>
      <c r="G774" s="363"/>
      <c r="H774" s="363"/>
      <c r="I774" s="370"/>
      <c r="J774" s="363"/>
      <c r="K774" s="363"/>
      <c r="L774" s="363"/>
      <c r="M774" s="367"/>
    </row>
    <row r="775" customFormat="false" ht="12.75" hidden="false" customHeight="true" outlineLevel="0" collapsed="false">
      <c r="B775" s="361"/>
      <c r="C775" s="369"/>
      <c r="D775" s="362"/>
      <c r="E775" s="363"/>
      <c r="F775" s="364"/>
      <c r="G775" s="363"/>
      <c r="H775" s="363"/>
      <c r="I775" s="370"/>
      <c r="J775" s="363"/>
      <c r="K775" s="363"/>
      <c r="L775" s="363"/>
      <c r="M775" s="367"/>
    </row>
    <row r="776" customFormat="false" ht="12.75" hidden="false" customHeight="true" outlineLevel="0" collapsed="false">
      <c r="B776" s="361"/>
      <c r="C776" s="369"/>
      <c r="D776" s="362"/>
      <c r="E776" s="363"/>
      <c r="F776" s="364"/>
      <c r="G776" s="363"/>
      <c r="H776" s="363"/>
      <c r="I776" s="370"/>
      <c r="J776" s="363"/>
      <c r="K776" s="363"/>
      <c r="L776" s="363"/>
      <c r="M776" s="367"/>
    </row>
    <row r="777" customFormat="false" ht="12.75" hidden="false" customHeight="true" outlineLevel="0" collapsed="false">
      <c r="B777" s="361"/>
      <c r="C777" s="369"/>
      <c r="D777" s="362"/>
      <c r="E777" s="363"/>
      <c r="F777" s="364"/>
      <c r="G777" s="363"/>
      <c r="H777" s="363"/>
      <c r="I777" s="370"/>
      <c r="J777" s="363"/>
      <c r="K777" s="363"/>
      <c r="L777" s="363"/>
      <c r="M777" s="367"/>
    </row>
    <row r="778" customFormat="false" ht="12.75" hidden="false" customHeight="true" outlineLevel="0" collapsed="false">
      <c r="B778" s="361"/>
      <c r="C778" s="369"/>
      <c r="D778" s="362"/>
      <c r="E778" s="363"/>
      <c r="F778" s="364"/>
      <c r="G778" s="363"/>
      <c r="H778" s="363"/>
      <c r="I778" s="370"/>
      <c r="J778" s="363"/>
      <c r="K778" s="363"/>
      <c r="L778" s="363"/>
      <c r="M778" s="367"/>
    </row>
    <row r="779" customFormat="false" ht="12.75" hidden="false" customHeight="true" outlineLevel="0" collapsed="false">
      <c r="B779" s="361"/>
      <c r="C779" s="369"/>
      <c r="D779" s="362"/>
      <c r="E779" s="363"/>
      <c r="F779" s="364"/>
      <c r="G779" s="363"/>
      <c r="H779" s="363"/>
      <c r="I779" s="370"/>
      <c r="J779" s="363"/>
      <c r="K779" s="363"/>
      <c r="L779" s="363"/>
      <c r="M779" s="367"/>
    </row>
    <row r="780" customFormat="false" ht="12.75" hidden="false" customHeight="true" outlineLevel="0" collapsed="false">
      <c r="B780" s="361"/>
      <c r="C780" s="369"/>
      <c r="D780" s="362"/>
      <c r="E780" s="363"/>
      <c r="F780" s="364"/>
      <c r="G780" s="363"/>
      <c r="H780" s="363"/>
      <c r="I780" s="370"/>
      <c r="J780" s="363"/>
      <c r="K780" s="363"/>
      <c r="L780" s="363"/>
      <c r="M780" s="367"/>
    </row>
    <row r="781" customFormat="false" ht="12.75" hidden="false" customHeight="true" outlineLevel="0" collapsed="false">
      <c r="B781" s="361"/>
      <c r="C781" s="369"/>
      <c r="D781" s="362"/>
      <c r="E781" s="363"/>
      <c r="F781" s="364"/>
      <c r="G781" s="363"/>
      <c r="H781" s="363"/>
      <c r="I781" s="370"/>
      <c r="J781" s="363"/>
      <c r="K781" s="363"/>
      <c r="L781" s="363"/>
      <c r="M781" s="367"/>
    </row>
    <row r="782" customFormat="false" ht="12.75" hidden="false" customHeight="true" outlineLevel="0" collapsed="false">
      <c r="B782" s="361"/>
      <c r="C782" s="369"/>
      <c r="D782" s="362"/>
      <c r="E782" s="363"/>
      <c r="F782" s="364"/>
      <c r="G782" s="363"/>
      <c r="H782" s="363"/>
      <c r="I782" s="370"/>
      <c r="J782" s="363"/>
      <c r="K782" s="363"/>
      <c r="L782" s="363"/>
      <c r="M782" s="367"/>
    </row>
    <row r="783" customFormat="false" ht="12.75" hidden="false" customHeight="true" outlineLevel="0" collapsed="false">
      <c r="B783" s="361"/>
      <c r="C783" s="369"/>
      <c r="D783" s="362"/>
      <c r="E783" s="363"/>
      <c r="F783" s="364"/>
      <c r="G783" s="363"/>
      <c r="H783" s="363"/>
      <c r="I783" s="370"/>
      <c r="J783" s="363"/>
      <c r="K783" s="363"/>
      <c r="L783" s="363"/>
      <c r="M783" s="367"/>
    </row>
    <row r="784" customFormat="false" ht="12.75" hidden="false" customHeight="true" outlineLevel="0" collapsed="false">
      <c r="B784" s="361"/>
      <c r="C784" s="369"/>
      <c r="D784" s="362"/>
      <c r="E784" s="363"/>
      <c r="F784" s="364"/>
      <c r="G784" s="363"/>
      <c r="H784" s="363"/>
      <c r="I784" s="370"/>
      <c r="J784" s="363"/>
      <c r="K784" s="363"/>
      <c r="L784" s="363"/>
      <c r="M784" s="367"/>
    </row>
    <row r="785" customFormat="false" ht="12.75" hidden="false" customHeight="true" outlineLevel="0" collapsed="false">
      <c r="B785" s="361"/>
      <c r="C785" s="362"/>
      <c r="D785" s="362"/>
      <c r="E785" s="363"/>
      <c r="F785" s="374"/>
      <c r="G785" s="363"/>
      <c r="H785" s="363"/>
      <c r="I785" s="363"/>
      <c r="J785" s="363"/>
      <c r="K785" s="363"/>
      <c r="L785" s="363"/>
      <c r="M785" s="367"/>
    </row>
    <row r="786" customFormat="false" ht="12.75" hidden="false" customHeight="true" outlineLevel="0" collapsed="false">
      <c r="B786" s="361"/>
      <c r="C786" s="362"/>
      <c r="D786" s="362"/>
      <c r="E786" s="363"/>
      <c r="F786" s="374"/>
      <c r="G786" s="363"/>
      <c r="H786" s="363"/>
      <c r="I786" s="363"/>
      <c r="J786" s="363"/>
      <c r="K786" s="363"/>
      <c r="L786" s="363"/>
      <c r="M786" s="367"/>
    </row>
    <row r="787" customFormat="false" ht="12.75" hidden="false" customHeight="true" outlineLevel="0" collapsed="false">
      <c r="B787" s="368"/>
      <c r="C787" s="362"/>
      <c r="D787" s="362"/>
      <c r="E787" s="363"/>
      <c r="F787" s="374"/>
      <c r="G787" s="363"/>
      <c r="H787" s="363"/>
      <c r="I787" s="363"/>
      <c r="J787" s="363"/>
      <c r="K787" s="363"/>
      <c r="L787" s="363"/>
      <c r="M787" s="367"/>
    </row>
    <row r="788" customFormat="false" ht="12.75" hidden="false" customHeight="true" outlineLevel="0" collapsed="false">
      <c r="B788" s="361"/>
      <c r="C788" s="362"/>
      <c r="D788" s="362"/>
      <c r="E788" s="363"/>
      <c r="F788" s="374"/>
      <c r="G788" s="363"/>
      <c r="H788" s="363"/>
      <c r="I788" s="363"/>
      <c r="J788" s="363"/>
      <c r="K788" s="363"/>
      <c r="L788" s="363"/>
      <c r="M788" s="367"/>
    </row>
    <row r="789" customFormat="false" ht="12.75" hidden="false" customHeight="true" outlineLevel="0" collapsed="false">
      <c r="B789" s="361"/>
      <c r="C789" s="362"/>
      <c r="D789" s="362"/>
      <c r="E789" s="363"/>
      <c r="F789" s="374"/>
      <c r="G789" s="363"/>
      <c r="H789" s="363"/>
      <c r="I789" s="363"/>
      <c r="J789" s="363"/>
      <c r="K789" s="363"/>
      <c r="L789" s="363"/>
      <c r="M789" s="367"/>
    </row>
    <row r="790" customFormat="false" ht="12.75" hidden="false" customHeight="true" outlineLevel="0" collapsed="false">
      <c r="B790" s="368"/>
      <c r="C790" s="362"/>
      <c r="D790" s="362"/>
      <c r="E790" s="363"/>
      <c r="F790" s="374"/>
      <c r="G790" s="363"/>
      <c r="H790" s="363"/>
      <c r="I790" s="363"/>
      <c r="J790" s="363"/>
      <c r="K790" s="363"/>
      <c r="L790" s="363"/>
      <c r="M790" s="367"/>
    </row>
    <row r="791" customFormat="false" ht="12.75" hidden="false" customHeight="true" outlineLevel="0" collapsed="false">
      <c r="B791" s="361"/>
      <c r="C791" s="362"/>
      <c r="D791" s="362"/>
      <c r="E791" s="363"/>
      <c r="F791" s="374"/>
      <c r="G791" s="363"/>
      <c r="H791" s="363"/>
      <c r="I791" s="363"/>
      <c r="J791" s="363"/>
      <c r="K791" s="363"/>
      <c r="L791" s="363"/>
      <c r="M791" s="367"/>
    </row>
    <row r="792" customFormat="false" ht="12.75" hidden="false" customHeight="true" outlineLevel="0" collapsed="false">
      <c r="B792" s="361"/>
      <c r="C792" s="362"/>
      <c r="D792" s="362"/>
      <c r="E792" s="363"/>
      <c r="F792" s="374"/>
      <c r="G792" s="363"/>
      <c r="H792" s="363"/>
      <c r="I792" s="363"/>
      <c r="J792" s="363"/>
      <c r="K792" s="363"/>
      <c r="L792" s="363"/>
      <c r="M792" s="367"/>
    </row>
    <row r="793" customFormat="false" ht="12.75" hidden="false" customHeight="true" outlineLevel="0" collapsed="false">
      <c r="B793" s="368"/>
      <c r="C793" s="362"/>
      <c r="D793" s="362"/>
      <c r="E793" s="363"/>
      <c r="F793" s="374"/>
      <c r="G793" s="363"/>
      <c r="H793" s="363"/>
      <c r="I793" s="363"/>
      <c r="J793" s="363"/>
      <c r="K793" s="363"/>
      <c r="L793" s="363"/>
      <c r="M793" s="367"/>
    </row>
    <row r="794" customFormat="false" ht="12.75" hidden="false" customHeight="true" outlineLevel="0" collapsed="false">
      <c r="B794" s="361"/>
      <c r="C794" s="362"/>
      <c r="D794" s="362"/>
      <c r="E794" s="363"/>
      <c r="F794" s="374"/>
      <c r="G794" s="363"/>
      <c r="H794" s="363"/>
      <c r="I794" s="363"/>
      <c r="J794" s="363"/>
      <c r="K794" s="363"/>
      <c r="L794" s="363"/>
      <c r="M794" s="367"/>
    </row>
    <row r="795" customFormat="false" ht="12.75" hidden="false" customHeight="true" outlineLevel="0" collapsed="false">
      <c r="B795" s="361"/>
      <c r="C795" s="369"/>
      <c r="D795" s="369"/>
      <c r="E795" s="370"/>
      <c r="F795" s="375"/>
      <c r="G795" s="370"/>
      <c r="H795" s="370"/>
      <c r="I795" s="370"/>
      <c r="J795" s="370"/>
      <c r="K795" s="370"/>
      <c r="L795" s="370"/>
      <c r="M795" s="367"/>
    </row>
    <row r="796" customFormat="false" ht="12.75" hidden="false" customHeight="true" outlineLevel="0" collapsed="false">
      <c r="B796" s="361"/>
      <c r="C796" s="369"/>
      <c r="D796" s="362"/>
      <c r="E796" s="363"/>
      <c r="F796" s="364"/>
      <c r="G796" s="363"/>
      <c r="H796" s="363"/>
      <c r="I796" s="370"/>
      <c r="J796" s="363"/>
      <c r="K796" s="370"/>
      <c r="L796" s="363"/>
      <c r="M796" s="367"/>
    </row>
    <row r="797" customFormat="false" ht="12.75" hidden="false" customHeight="true" outlineLevel="0" collapsed="false">
      <c r="B797" s="361"/>
      <c r="C797" s="369"/>
      <c r="D797" s="362"/>
      <c r="E797" s="363"/>
      <c r="F797" s="364"/>
      <c r="G797" s="363"/>
      <c r="H797" s="363"/>
      <c r="I797" s="370"/>
      <c r="J797" s="363"/>
      <c r="K797" s="363"/>
      <c r="L797" s="363"/>
      <c r="M797" s="367"/>
    </row>
    <row r="798" customFormat="false" ht="12.75" hidden="false" customHeight="true" outlineLevel="0" collapsed="false">
      <c r="B798" s="361"/>
      <c r="C798" s="369"/>
      <c r="D798" s="362"/>
      <c r="E798" s="363"/>
      <c r="F798" s="364"/>
      <c r="G798" s="363"/>
      <c r="H798" s="363"/>
      <c r="I798" s="370"/>
      <c r="J798" s="363"/>
      <c r="K798" s="363"/>
      <c r="L798" s="363"/>
      <c r="M798" s="367"/>
    </row>
    <row r="799" customFormat="false" ht="12.75" hidden="false" customHeight="true" outlineLevel="0" collapsed="false">
      <c r="B799" s="361"/>
      <c r="C799" s="369"/>
      <c r="D799" s="362"/>
      <c r="E799" s="363"/>
      <c r="F799" s="364"/>
      <c r="G799" s="363"/>
      <c r="H799" s="363"/>
      <c r="I799" s="370"/>
      <c r="J799" s="363"/>
      <c r="K799" s="363"/>
      <c r="L799" s="363"/>
      <c r="M799" s="367"/>
    </row>
    <row r="800" customFormat="false" ht="12.75" hidden="false" customHeight="true" outlineLevel="0" collapsed="false">
      <c r="B800" s="361"/>
      <c r="C800" s="369"/>
      <c r="D800" s="362"/>
      <c r="E800" s="363"/>
      <c r="F800" s="364"/>
      <c r="G800" s="363"/>
      <c r="H800" s="363"/>
      <c r="I800" s="370"/>
      <c r="J800" s="363"/>
      <c r="K800" s="363"/>
      <c r="L800" s="363"/>
      <c r="M800" s="367"/>
    </row>
    <row r="801" customFormat="false" ht="12.75" hidden="false" customHeight="true" outlineLevel="0" collapsed="false">
      <c r="B801" s="361"/>
      <c r="C801" s="369"/>
      <c r="D801" s="362"/>
      <c r="E801" s="363"/>
      <c r="F801" s="364"/>
      <c r="G801" s="363"/>
      <c r="H801" s="363"/>
      <c r="I801" s="370"/>
      <c r="J801" s="363"/>
      <c r="K801" s="363"/>
      <c r="L801" s="363"/>
      <c r="M801" s="367"/>
    </row>
    <row r="802" customFormat="false" ht="12.75" hidden="false" customHeight="true" outlineLevel="0" collapsed="false">
      <c r="B802" s="361"/>
      <c r="C802" s="369"/>
      <c r="D802" s="362"/>
      <c r="E802" s="363"/>
      <c r="F802" s="364"/>
      <c r="G802" s="363"/>
      <c r="H802" s="363"/>
      <c r="I802" s="370"/>
      <c r="J802" s="363"/>
      <c r="K802" s="363"/>
      <c r="L802" s="363"/>
      <c r="M802" s="367"/>
    </row>
    <row r="803" customFormat="false" ht="12.75" hidden="false" customHeight="true" outlineLevel="0" collapsed="false">
      <c r="B803" s="361"/>
      <c r="C803" s="369"/>
      <c r="D803" s="362"/>
      <c r="E803" s="363"/>
      <c r="F803" s="364"/>
      <c r="G803" s="363"/>
      <c r="H803" s="363"/>
      <c r="I803" s="370"/>
      <c r="J803" s="370"/>
      <c r="K803" s="363"/>
      <c r="L803" s="363"/>
      <c r="M803" s="367"/>
    </row>
    <row r="804" customFormat="false" ht="12.75" hidden="false" customHeight="true" outlineLevel="0" collapsed="false">
      <c r="B804" s="361"/>
      <c r="C804" s="369"/>
      <c r="D804" s="362"/>
      <c r="E804" s="363"/>
      <c r="F804" s="364"/>
      <c r="G804" s="363"/>
      <c r="H804" s="363"/>
      <c r="I804" s="370"/>
      <c r="J804" s="363"/>
      <c r="K804" s="363"/>
      <c r="L804" s="363"/>
      <c r="M804" s="367"/>
    </row>
    <row r="805" customFormat="false" ht="12.75" hidden="false" customHeight="true" outlineLevel="0" collapsed="false">
      <c r="B805" s="361"/>
      <c r="C805" s="369"/>
      <c r="D805" s="362"/>
      <c r="E805" s="363"/>
      <c r="F805" s="364"/>
      <c r="G805" s="363"/>
      <c r="H805" s="363"/>
      <c r="I805" s="370"/>
      <c r="J805" s="363"/>
      <c r="K805" s="363"/>
      <c r="L805" s="370"/>
      <c r="M805" s="367"/>
    </row>
    <row r="806" customFormat="false" ht="12.75" hidden="false" customHeight="true" outlineLevel="0" collapsed="false">
      <c r="B806" s="361"/>
      <c r="C806" s="369"/>
      <c r="D806" s="362"/>
      <c r="E806" s="363"/>
      <c r="F806" s="364"/>
      <c r="G806" s="363"/>
      <c r="H806" s="363"/>
      <c r="I806" s="370"/>
      <c r="J806" s="363"/>
      <c r="K806" s="363"/>
      <c r="L806" s="363"/>
      <c r="M806" s="367"/>
    </row>
    <row r="807" customFormat="false" ht="12.75" hidden="false" customHeight="true" outlineLevel="0" collapsed="false">
      <c r="B807" s="361"/>
      <c r="C807" s="369"/>
      <c r="D807" s="362"/>
      <c r="E807" s="363"/>
      <c r="F807" s="364"/>
      <c r="G807" s="363"/>
      <c r="H807" s="363"/>
      <c r="I807" s="370"/>
      <c r="J807" s="363"/>
      <c r="K807" s="363"/>
      <c r="L807" s="363"/>
      <c r="M807" s="367"/>
    </row>
    <row r="808" customFormat="false" ht="12.75" hidden="false" customHeight="true" outlineLevel="0" collapsed="false">
      <c r="B808" s="361"/>
      <c r="C808" s="369"/>
      <c r="D808" s="362"/>
      <c r="E808" s="363"/>
      <c r="F808" s="364"/>
      <c r="G808" s="363"/>
      <c r="H808" s="363"/>
      <c r="I808" s="370"/>
      <c r="J808" s="363"/>
      <c r="K808" s="363"/>
      <c r="L808" s="363"/>
      <c r="M808" s="367"/>
    </row>
    <row r="809" customFormat="false" ht="12.75" hidden="false" customHeight="true" outlineLevel="0" collapsed="false">
      <c r="B809" s="361"/>
      <c r="C809" s="369"/>
      <c r="D809" s="362"/>
      <c r="E809" s="363"/>
      <c r="F809" s="364"/>
      <c r="G809" s="363"/>
      <c r="H809" s="363"/>
      <c r="I809" s="370"/>
      <c r="J809" s="363"/>
      <c r="K809" s="363"/>
      <c r="L809" s="363"/>
      <c r="M809" s="367"/>
    </row>
    <row r="810" customFormat="false" ht="12.75" hidden="false" customHeight="true" outlineLevel="0" collapsed="false">
      <c r="B810" s="361"/>
      <c r="C810" s="369"/>
      <c r="D810" s="362"/>
      <c r="E810" s="363"/>
      <c r="F810" s="364"/>
      <c r="G810" s="363"/>
      <c r="H810" s="363"/>
      <c r="I810" s="370"/>
      <c r="J810" s="363"/>
      <c r="K810" s="363"/>
      <c r="L810" s="363"/>
      <c r="M810" s="367"/>
    </row>
    <row r="811" customFormat="false" ht="12.75" hidden="false" customHeight="true" outlineLevel="0" collapsed="false">
      <c r="B811" s="361"/>
      <c r="C811" s="369"/>
      <c r="D811" s="362"/>
      <c r="E811" s="363"/>
      <c r="F811" s="364"/>
      <c r="G811" s="363"/>
      <c r="H811" s="363"/>
      <c r="I811" s="370"/>
      <c r="J811" s="363"/>
      <c r="K811" s="363"/>
      <c r="L811" s="363"/>
      <c r="M811" s="367"/>
    </row>
    <row r="812" customFormat="false" ht="12.75" hidden="false" customHeight="true" outlineLevel="0" collapsed="false">
      <c r="B812" s="361"/>
      <c r="C812" s="369"/>
      <c r="D812" s="362"/>
      <c r="E812" s="363"/>
      <c r="F812" s="364"/>
      <c r="G812" s="363"/>
      <c r="H812" s="363"/>
      <c r="I812" s="370"/>
      <c r="J812" s="363"/>
      <c r="K812" s="363"/>
      <c r="L812" s="363"/>
      <c r="M812" s="367"/>
    </row>
    <row r="813" customFormat="false" ht="12.75" hidden="false" customHeight="true" outlineLevel="0" collapsed="false">
      <c r="B813" s="361"/>
      <c r="C813" s="369"/>
      <c r="D813" s="362"/>
      <c r="E813" s="363"/>
      <c r="F813" s="364"/>
      <c r="G813" s="363"/>
      <c r="H813" s="363"/>
      <c r="I813" s="370"/>
      <c r="J813" s="363"/>
      <c r="K813" s="363"/>
      <c r="L813" s="363"/>
      <c r="M813" s="367"/>
    </row>
    <row r="814" customFormat="false" ht="12.75" hidden="false" customHeight="true" outlineLevel="0" collapsed="false">
      <c r="B814" s="361"/>
      <c r="C814" s="369"/>
      <c r="D814" s="362"/>
      <c r="E814" s="363"/>
      <c r="F814" s="364"/>
      <c r="G814" s="363"/>
      <c r="H814" s="363"/>
      <c r="I814" s="370"/>
      <c r="J814" s="363"/>
      <c r="K814" s="363"/>
      <c r="L814" s="363"/>
      <c r="M814" s="367"/>
    </row>
    <row r="815" customFormat="false" ht="12.75" hidden="false" customHeight="true" outlineLevel="0" collapsed="false">
      <c r="B815" s="361"/>
      <c r="C815" s="369"/>
      <c r="D815" s="362"/>
      <c r="E815" s="363"/>
      <c r="F815" s="364"/>
      <c r="G815" s="363"/>
      <c r="H815" s="363"/>
      <c r="I815" s="370"/>
      <c r="J815" s="363"/>
      <c r="K815" s="363"/>
      <c r="L815" s="363"/>
      <c r="M815" s="367"/>
    </row>
    <row r="816" customFormat="false" ht="12.75" hidden="false" customHeight="true" outlineLevel="0" collapsed="false">
      <c r="B816" s="361"/>
      <c r="C816" s="369"/>
      <c r="D816" s="362"/>
      <c r="E816" s="363"/>
      <c r="F816" s="364"/>
      <c r="G816" s="363"/>
      <c r="H816" s="363"/>
      <c r="I816" s="370"/>
      <c r="J816" s="363"/>
      <c r="K816" s="363"/>
      <c r="L816" s="363"/>
      <c r="M816" s="367"/>
    </row>
    <row r="817" customFormat="false" ht="12.75" hidden="false" customHeight="true" outlineLevel="0" collapsed="false">
      <c r="B817" s="361"/>
      <c r="C817" s="369"/>
      <c r="D817" s="362"/>
      <c r="E817" s="363"/>
      <c r="F817" s="364"/>
      <c r="G817" s="363"/>
      <c r="H817" s="363"/>
      <c r="I817" s="370"/>
      <c r="J817" s="363"/>
      <c r="K817" s="363"/>
      <c r="L817" s="363"/>
      <c r="M817" s="367"/>
    </row>
    <row r="818" customFormat="false" ht="12.75" hidden="false" customHeight="true" outlineLevel="0" collapsed="false">
      <c r="B818" s="361"/>
      <c r="C818" s="369"/>
      <c r="D818" s="362"/>
      <c r="E818" s="363"/>
      <c r="F818" s="364"/>
      <c r="G818" s="363"/>
      <c r="H818" s="363"/>
      <c r="I818" s="370"/>
      <c r="J818" s="363"/>
      <c r="K818" s="363"/>
      <c r="L818" s="363"/>
      <c r="M818" s="367"/>
    </row>
    <row r="819" customFormat="false" ht="12.75" hidden="false" customHeight="true" outlineLevel="0" collapsed="false">
      <c r="B819" s="361"/>
      <c r="C819" s="369"/>
      <c r="D819" s="362"/>
      <c r="E819" s="363"/>
      <c r="F819" s="364"/>
      <c r="G819" s="363"/>
      <c r="H819" s="363"/>
      <c r="I819" s="370"/>
      <c r="J819" s="363"/>
      <c r="K819" s="363"/>
      <c r="L819" s="363"/>
      <c r="M819" s="367"/>
    </row>
    <row r="820" customFormat="false" ht="12.75" hidden="false" customHeight="true" outlineLevel="0" collapsed="false">
      <c r="B820" s="361"/>
      <c r="C820" s="369"/>
      <c r="D820" s="362"/>
      <c r="E820" s="363"/>
      <c r="F820" s="364"/>
      <c r="G820" s="363"/>
      <c r="H820" s="363"/>
      <c r="I820" s="370"/>
      <c r="J820" s="363"/>
      <c r="K820" s="363"/>
      <c r="L820" s="363"/>
      <c r="M820" s="367"/>
    </row>
    <row r="821" customFormat="false" ht="12.75" hidden="false" customHeight="true" outlineLevel="0" collapsed="false">
      <c r="B821" s="361"/>
      <c r="C821" s="369"/>
      <c r="D821" s="362"/>
      <c r="E821" s="363"/>
      <c r="F821" s="364"/>
      <c r="G821" s="363"/>
      <c r="H821" s="363"/>
      <c r="I821" s="370"/>
      <c r="J821" s="363"/>
      <c r="K821" s="363"/>
      <c r="L821" s="363"/>
      <c r="M821" s="367"/>
    </row>
    <row r="822" customFormat="false" ht="12.75" hidden="false" customHeight="true" outlineLevel="0" collapsed="false">
      <c r="B822" s="361"/>
      <c r="C822" s="369"/>
      <c r="D822" s="362"/>
      <c r="E822" s="363"/>
      <c r="F822" s="364"/>
      <c r="G822" s="363"/>
      <c r="H822" s="363"/>
      <c r="I822" s="370"/>
      <c r="J822" s="363"/>
      <c r="K822" s="363"/>
      <c r="L822" s="363"/>
      <c r="M822" s="367"/>
    </row>
    <row r="823" customFormat="false" ht="12.75" hidden="false" customHeight="true" outlineLevel="0" collapsed="false">
      <c r="B823" s="361"/>
      <c r="C823" s="369"/>
      <c r="D823" s="362"/>
      <c r="E823" s="363"/>
      <c r="F823" s="364"/>
      <c r="G823" s="363"/>
      <c r="H823" s="363"/>
      <c r="I823" s="370"/>
      <c r="J823" s="363"/>
      <c r="K823" s="363"/>
      <c r="L823" s="363"/>
      <c r="M823" s="367"/>
    </row>
    <row r="824" customFormat="false" ht="12.75" hidden="false" customHeight="true" outlineLevel="0" collapsed="false">
      <c r="B824" s="361"/>
      <c r="C824" s="369"/>
      <c r="D824" s="362"/>
      <c r="E824" s="363"/>
      <c r="F824" s="364"/>
      <c r="G824" s="363"/>
      <c r="H824" s="363"/>
      <c r="I824" s="370"/>
      <c r="J824" s="363"/>
      <c r="K824" s="363"/>
      <c r="L824" s="363"/>
      <c r="M824" s="367"/>
    </row>
    <row r="825" customFormat="false" ht="12.75" hidden="false" customHeight="true" outlineLevel="0" collapsed="false">
      <c r="B825" s="361"/>
      <c r="C825" s="362"/>
      <c r="D825" s="362"/>
      <c r="E825" s="363"/>
      <c r="F825" s="374"/>
      <c r="G825" s="363"/>
      <c r="H825" s="363"/>
      <c r="I825" s="363"/>
      <c r="J825" s="363"/>
      <c r="K825" s="363"/>
      <c r="L825" s="363"/>
      <c r="M825" s="367"/>
    </row>
    <row r="826" customFormat="false" ht="12.75" hidden="false" customHeight="true" outlineLevel="0" collapsed="false">
      <c r="B826" s="361"/>
      <c r="C826" s="362"/>
      <c r="D826" s="362"/>
      <c r="E826" s="363"/>
      <c r="F826" s="374"/>
      <c r="G826" s="363"/>
      <c r="H826" s="363"/>
      <c r="I826" s="363"/>
      <c r="J826" s="363"/>
      <c r="K826" s="363"/>
      <c r="L826" s="363"/>
      <c r="M826" s="367"/>
    </row>
    <row r="827" customFormat="false" ht="12.75" hidden="false" customHeight="true" outlineLevel="0" collapsed="false">
      <c r="B827" s="368"/>
      <c r="C827" s="362"/>
      <c r="D827" s="362"/>
      <c r="E827" s="363"/>
      <c r="F827" s="374"/>
      <c r="G827" s="363"/>
      <c r="H827" s="363"/>
      <c r="I827" s="363"/>
      <c r="J827" s="363"/>
      <c r="K827" s="363"/>
      <c r="L827" s="363"/>
      <c r="M827" s="367"/>
    </row>
    <row r="828" customFormat="false" ht="12.75" hidden="false" customHeight="true" outlineLevel="0" collapsed="false">
      <c r="B828" s="361"/>
      <c r="C828" s="362"/>
      <c r="D828" s="362"/>
      <c r="E828" s="363"/>
      <c r="F828" s="374"/>
      <c r="G828" s="363"/>
      <c r="H828" s="363"/>
      <c r="I828" s="363"/>
      <c r="J828" s="363"/>
      <c r="K828" s="363"/>
      <c r="L828" s="363"/>
      <c r="M828" s="367"/>
    </row>
    <row r="829" customFormat="false" ht="12.75" hidden="false" customHeight="true" outlineLevel="0" collapsed="false">
      <c r="B829" s="361"/>
      <c r="C829" s="362"/>
      <c r="D829" s="362"/>
      <c r="E829" s="363"/>
      <c r="F829" s="374"/>
      <c r="G829" s="363"/>
      <c r="H829" s="363"/>
      <c r="I829" s="363"/>
      <c r="J829" s="363"/>
      <c r="K829" s="363"/>
      <c r="L829" s="363"/>
      <c r="M829" s="367"/>
    </row>
    <row r="830" customFormat="false" ht="12.75" hidden="false" customHeight="true" outlineLevel="0" collapsed="false">
      <c r="B830" s="368"/>
      <c r="C830" s="362"/>
      <c r="D830" s="362"/>
      <c r="E830" s="363"/>
      <c r="F830" s="374"/>
      <c r="G830" s="363"/>
      <c r="H830" s="363"/>
      <c r="I830" s="363"/>
      <c r="J830" s="363"/>
      <c r="K830" s="363"/>
      <c r="L830" s="363"/>
      <c r="M830" s="367"/>
    </row>
    <row r="831" customFormat="false" ht="12.75" hidden="false" customHeight="true" outlineLevel="0" collapsed="false">
      <c r="B831" s="361"/>
      <c r="C831" s="362"/>
      <c r="D831" s="362"/>
      <c r="E831" s="363"/>
      <c r="F831" s="374"/>
      <c r="G831" s="363"/>
      <c r="H831" s="363"/>
      <c r="I831" s="363"/>
      <c r="J831" s="363"/>
      <c r="K831" s="363"/>
      <c r="L831" s="363"/>
      <c r="M831" s="367"/>
    </row>
    <row r="832" customFormat="false" ht="12.75" hidden="false" customHeight="true" outlineLevel="0" collapsed="false">
      <c r="B832" s="361"/>
      <c r="C832" s="362"/>
      <c r="D832" s="362"/>
      <c r="E832" s="363"/>
      <c r="F832" s="374"/>
      <c r="G832" s="363"/>
      <c r="H832" s="363"/>
      <c r="I832" s="363"/>
      <c r="J832" s="363"/>
      <c r="K832" s="363"/>
      <c r="L832" s="363"/>
      <c r="M832" s="367"/>
    </row>
    <row r="833" customFormat="false" ht="12.75" hidden="false" customHeight="true" outlineLevel="0" collapsed="false">
      <c r="B833" s="368"/>
      <c r="C833" s="362"/>
      <c r="D833" s="362"/>
      <c r="E833" s="363"/>
      <c r="F833" s="374"/>
      <c r="G833" s="363"/>
      <c r="H833" s="363"/>
      <c r="I833" s="363"/>
      <c r="J833" s="363"/>
      <c r="K833" s="363"/>
      <c r="L833" s="363"/>
      <c r="M833" s="367"/>
    </row>
    <row r="834" customFormat="false" ht="12.75" hidden="false" customHeight="true" outlineLevel="0" collapsed="false">
      <c r="B834" s="361"/>
      <c r="C834" s="362"/>
      <c r="D834" s="362"/>
      <c r="E834" s="363"/>
      <c r="F834" s="374"/>
      <c r="G834" s="363"/>
      <c r="H834" s="363"/>
      <c r="I834" s="363"/>
      <c r="J834" s="363"/>
      <c r="K834" s="363"/>
      <c r="L834" s="363"/>
      <c r="M834" s="367"/>
    </row>
    <row r="835" customFormat="false" ht="12.75" hidden="false" customHeight="true" outlineLevel="0" collapsed="false">
      <c r="B835" s="361"/>
      <c r="C835" s="369"/>
      <c r="D835" s="369"/>
      <c r="E835" s="370"/>
      <c r="F835" s="375"/>
      <c r="G835" s="370"/>
      <c r="H835" s="370"/>
      <c r="I835" s="370"/>
      <c r="J835" s="370"/>
      <c r="K835" s="370"/>
      <c r="L835" s="370"/>
      <c r="M835" s="367"/>
    </row>
    <row r="836" customFormat="false" ht="12.75" hidden="false" customHeight="true" outlineLevel="0" collapsed="false">
      <c r="B836" s="361"/>
      <c r="C836" s="369"/>
      <c r="D836" s="362"/>
      <c r="E836" s="363"/>
      <c r="F836" s="364"/>
      <c r="G836" s="363"/>
      <c r="H836" s="363"/>
      <c r="I836" s="370"/>
      <c r="J836" s="363"/>
      <c r="K836" s="370"/>
      <c r="L836" s="363"/>
      <c r="M836" s="367"/>
    </row>
    <row r="837" customFormat="false" ht="12.75" hidden="false" customHeight="true" outlineLevel="0" collapsed="false">
      <c r="B837" s="361"/>
      <c r="C837" s="369"/>
      <c r="D837" s="362"/>
      <c r="E837" s="363"/>
      <c r="F837" s="364"/>
      <c r="G837" s="363"/>
      <c r="H837" s="363"/>
      <c r="I837" s="370"/>
      <c r="J837" s="363"/>
      <c r="K837" s="363"/>
      <c r="L837" s="363"/>
      <c r="M837" s="367"/>
    </row>
    <row r="838" customFormat="false" ht="12.75" hidden="false" customHeight="true" outlineLevel="0" collapsed="false">
      <c r="B838" s="361"/>
      <c r="C838" s="369"/>
      <c r="D838" s="362"/>
      <c r="E838" s="363"/>
      <c r="F838" s="364"/>
      <c r="G838" s="363"/>
      <c r="H838" s="363"/>
      <c r="I838" s="370"/>
      <c r="J838" s="363"/>
      <c r="K838" s="363"/>
      <c r="L838" s="363"/>
      <c r="M838" s="367"/>
    </row>
    <row r="839" customFormat="false" ht="12.75" hidden="false" customHeight="true" outlineLevel="0" collapsed="false">
      <c r="B839" s="361"/>
      <c r="C839" s="369"/>
      <c r="D839" s="362"/>
      <c r="E839" s="363"/>
      <c r="F839" s="364"/>
      <c r="G839" s="363"/>
      <c r="H839" s="363"/>
      <c r="I839" s="370"/>
      <c r="J839" s="363"/>
      <c r="K839" s="363"/>
      <c r="L839" s="363"/>
      <c r="M839" s="367"/>
    </row>
    <row r="840" customFormat="false" ht="12.75" hidden="false" customHeight="true" outlineLevel="0" collapsed="false">
      <c r="B840" s="361"/>
      <c r="C840" s="369"/>
      <c r="D840" s="362"/>
      <c r="E840" s="363"/>
      <c r="F840" s="364"/>
      <c r="G840" s="363"/>
      <c r="H840" s="363"/>
      <c r="I840" s="370"/>
      <c r="J840" s="363"/>
      <c r="K840" s="363"/>
      <c r="L840" s="363"/>
      <c r="M840" s="367"/>
    </row>
    <row r="841" customFormat="false" ht="12.75" hidden="false" customHeight="true" outlineLevel="0" collapsed="false">
      <c r="B841" s="361"/>
      <c r="C841" s="369"/>
      <c r="D841" s="362"/>
      <c r="E841" s="363"/>
      <c r="F841" s="364"/>
      <c r="G841" s="363"/>
      <c r="H841" s="363"/>
      <c r="I841" s="370"/>
      <c r="J841" s="363"/>
      <c r="K841" s="363"/>
      <c r="L841" s="363"/>
      <c r="M841" s="367"/>
    </row>
    <row r="842" customFormat="false" ht="12.75" hidden="false" customHeight="true" outlineLevel="0" collapsed="false">
      <c r="B842" s="361"/>
      <c r="C842" s="369"/>
      <c r="D842" s="362"/>
      <c r="E842" s="363"/>
      <c r="F842" s="364"/>
      <c r="G842" s="363"/>
      <c r="H842" s="363"/>
      <c r="I842" s="370"/>
      <c r="J842" s="363"/>
      <c r="K842" s="363"/>
      <c r="L842" s="363"/>
      <c r="M842" s="367"/>
    </row>
    <row r="843" customFormat="false" ht="12.75" hidden="false" customHeight="true" outlineLevel="0" collapsed="false">
      <c r="B843" s="361"/>
      <c r="C843" s="369"/>
      <c r="D843" s="362"/>
      <c r="E843" s="363"/>
      <c r="F843" s="364"/>
      <c r="G843" s="363"/>
      <c r="H843" s="363"/>
      <c r="I843" s="370"/>
      <c r="J843" s="370"/>
      <c r="K843" s="363"/>
      <c r="L843" s="363"/>
      <c r="M843" s="367"/>
    </row>
    <row r="844" customFormat="false" ht="12.75" hidden="false" customHeight="true" outlineLevel="0" collapsed="false">
      <c r="B844" s="361"/>
      <c r="C844" s="369"/>
      <c r="D844" s="362"/>
      <c r="E844" s="363"/>
      <c r="F844" s="364"/>
      <c r="G844" s="363"/>
      <c r="H844" s="363"/>
      <c r="I844" s="370"/>
      <c r="J844" s="363"/>
      <c r="K844" s="363"/>
      <c r="L844" s="363"/>
      <c r="M844" s="367"/>
    </row>
    <row r="845" customFormat="false" ht="12.75" hidden="false" customHeight="true" outlineLevel="0" collapsed="false">
      <c r="B845" s="361"/>
      <c r="C845" s="369"/>
      <c r="D845" s="362"/>
      <c r="E845" s="363"/>
      <c r="F845" s="364"/>
      <c r="G845" s="363"/>
      <c r="H845" s="363"/>
      <c r="I845" s="370"/>
      <c r="J845" s="363"/>
      <c r="K845" s="363"/>
      <c r="L845" s="370"/>
      <c r="M845" s="367"/>
    </row>
    <row r="846" customFormat="false" ht="12.75" hidden="false" customHeight="true" outlineLevel="0" collapsed="false">
      <c r="B846" s="361"/>
      <c r="C846" s="369"/>
      <c r="D846" s="362"/>
      <c r="E846" s="363"/>
      <c r="F846" s="364"/>
      <c r="G846" s="363"/>
      <c r="H846" s="363"/>
      <c r="I846" s="370"/>
      <c r="J846" s="363"/>
      <c r="K846" s="363"/>
      <c r="L846" s="363"/>
      <c r="M846" s="367"/>
    </row>
    <row r="847" customFormat="false" ht="12.75" hidden="false" customHeight="true" outlineLevel="0" collapsed="false">
      <c r="B847" s="361"/>
      <c r="C847" s="369"/>
      <c r="D847" s="362"/>
      <c r="E847" s="363"/>
      <c r="F847" s="364"/>
      <c r="G847" s="363"/>
      <c r="H847" s="363"/>
      <c r="I847" s="370"/>
      <c r="J847" s="363"/>
      <c r="K847" s="363"/>
      <c r="L847" s="363"/>
      <c r="M847" s="367"/>
    </row>
    <row r="848" customFormat="false" ht="12.75" hidden="false" customHeight="true" outlineLevel="0" collapsed="false">
      <c r="B848" s="361"/>
      <c r="C848" s="369"/>
      <c r="D848" s="362"/>
      <c r="E848" s="363"/>
      <c r="F848" s="364"/>
      <c r="G848" s="363"/>
      <c r="H848" s="363"/>
      <c r="I848" s="370"/>
      <c r="J848" s="363"/>
      <c r="K848" s="363"/>
      <c r="L848" s="363"/>
      <c r="M848" s="367"/>
    </row>
    <row r="849" customFormat="false" ht="12.75" hidden="false" customHeight="true" outlineLevel="0" collapsed="false">
      <c r="B849" s="361"/>
      <c r="C849" s="369"/>
      <c r="D849" s="362"/>
      <c r="E849" s="363"/>
      <c r="F849" s="364"/>
      <c r="G849" s="363"/>
      <c r="H849" s="363"/>
      <c r="I849" s="370"/>
      <c r="J849" s="363"/>
      <c r="K849" s="363"/>
      <c r="L849" s="363"/>
      <c r="M849" s="367"/>
    </row>
    <row r="850" customFormat="false" ht="12.75" hidden="false" customHeight="true" outlineLevel="0" collapsed="false">
      <c r="B850" s="361"/>
      <c r="C850" s="369"/>
      <c r="D850" s="362"/>
      <c r="E850" s="363"/>
      <c r="F850" s="364"/>
      <c r="G850" s="363"/>
      <c r="H850" s="363"/>
      <c r="I850" s="370"/>
      <c r="J850" s="363"/>
      <c r="K850" s="363"/>
      <c r="L850" s="363"/>
      <c r="M850" s="367"/>
    </row>
    <row r="851" customFormat="false" ht="12.75" hidden="false" customHeight="true" outlineLevel="0" collapsed="false">
      <c r="B851" s="361"/>
      <c r="C851" s="369"/>
      <c r="D851" s="362"/>
      <c r="E851" s="363"/>
      <c r="F851" s="364"/>
      <c r="G851" s="363"/>
      <c r="H851" s="363"/>
      <c r="I851" s="370"/>
      <c r="J851" s="363"/>
      <c r="K851" s="363"/>
      <c r="L851" s="363"/>
      <c r="M851" s="367"/>
    </row>
    <row r="852" customFormat="false" ht="12.75" hidden="false" customHeight="true" outlineLevel="0" collapsed="false">
      <c r="B852" s="361"/>
      <c r="C852" s="369"/>
      <c r="D852" s="362"/>
      <c r="E852" s="363"/>
      <c r="F852" s="364"/>
      <c r="G852" s="363"/>
      <c r="H852" s="363"/>
      <c r="I852" s="370"/>
      <c r="J852" s="363"/>
      <c r="K852" s="363"/>
      <c r="L852" s="363"/>
      <c r="M852" s="367"/>
    </row>
    <row r="853" customFormat="false" ht="12.75" hidden="false" customHeight="true" outlineLevel="0" collapsed="false">
      <c r="B853" s="361"/>
      <c r="C853" s="369"/>
      <c r="D853" s="362"/>
      <c r="E853" s="363"/>
      <c r="F853" s="364"/>
      <c r="G853" s="363"/>
      <c r="H853" s="363"/>
      <c r="I853" s="370"/>
      <c r="J853" s="363"/>
      <c r="K853" s="363"/>
      <c r="L853" s="363"/>
      <c r="M853" s="367"/>
    </row>
    <row r="854" customFormat="false" ht="12.75" hidden="false" customHeight="true" outlineLevel="0" collapsed="false">
      <c r="B854" s="361"/>
      <c r="C854" s="369"/>
      <c r="D854" s="362"/>
      <c r="E854" s="363"/>
      <c r="F854" s="364"/>
      <c r="G854" s="363"/>
      <c r="H854" s="363"/>
      <c r="I854" s="370"/>
      <c r="J854" s="363"/>
      <c r="K854" s="363"/>
      <c r="L854" s="363"/>
      <c r="M854" s="367"/>
    </row>
    <row r="855" customFormat="false" ht="12.75" hidden="false" customHeight="true" outlineLevel="0" collapsed="false">
      <c r="B855" s="361"/>
      <c r="C855" s="369"/>
      <c r="D855" s="362"/>
      <c r="E855" s="363"/>
      <c r="F855" s="364"/>
      <c r="G855" s="363"/>
      <c r="H855" s="363"/>
      <c r="I855" s="370"/>
      <c r="J855" s="363"/>
      <c r="K855" s="363"/>
      <c r="L855" s="363"/>
      <c r="M855" s="367"/>
    </row>
    <row r="856" customFormat="false" ht="12.75" hidden="false" customHeight="true" outlineLevel="0" collapsed="false">
      <c r="B856" s="361"/>
      <c r="C856" s="369"/>
      <c r="D856" s="362"/>
      <c r="E856" s="363"/>
      <c r="F856" s="364"/>
      <c r="G856" s="363"/>
      <c r="H856" s="363"/>
      <c r="I856" s="370"/>
      <c r="J856" s="363"/>
      <c r="K856" s="363"/>
      <c r="L856" s="363"/>
      <c r="M856" s="367"/>
    </row>
    <row r="857" customFormat="false" ht="12.75" hidden="false" customHeight="true" outlineLevel="0" collapsed="false">
      <c r="B857" s="361"/>
      <c r="C857" s="369"/>
      <c r="D857" s="362"/>
      <c r="E857" s="363"/>
      <c r="F857" s="364"/>
      <c r="G857" s="363"/>
      <c r="H857" s="363"/>
      <c r="I857" s="370"/>
      <c r="J857" s="363"/>
      <c r="K857" s="363"/>
      <c r="L857" s="363"/>
      <c r="M857" s="367"/>
    </row>
    <row r="858" customFormat="false" ht="12.75" hidden="false" customHeight="true" outlineLevel="0" collapsed="false">
      <c r="B858" s="361"/>
      <c r="C858" s="369"/>
      <c r="D858" s="362"/>
      <c r="E858" s="363"/>
      <c r="F858" s="364"/>
      <c r="G858" s="363"/>
      <c r="H858" s="363"/>
      <c r="I858" s="370"/>
      <c r="J858" s="363"/>
      <c r="K858" s="363"/>
      <c r="L858" s="363"/>
      <c r="M858" s="367"/>
    </row>
    <row r="859" customFormat="false" ht="12.75" hidden="false" customHeight="true" outlineLevel="0" collapsed="false">
      <c r="B859" s="361"/>
      <c r="C859" s="369"/>
      <c r="D859" s="362"/>
      <c r="E859" s="363"/>
      <c r="F859" s="364"/>
      <c r="G859" s="363"/>
      <c r="H859" s="363"/>
      <c r="I859" s="370"/>
      <c r="J859" s="363"/>
      <c r="K859" s="363"/>
      <c r="L859" s="363"/>
      <c r="M859" s="367"/>
    </row>
    <row r="860" customFormat="false" ht="12.75" hidden="false" customHeight="true" outlineLevel="0" collapsed="false">
      <c r="B860" s="361"/>
      <c r="C860" s="369"/>
      <c r="D860" s="362"/>
      <c r="E860" s="363"/>
      <c r="F860" s="364"/>
      <c r="G860" s="363"/>
      <c r="H860" s="363"/>
      <c r="I860" s="370"/>
      <c r="J860" s="363"/>
      <c r="K860" s="363"/>
      <c r="L860" s="363"/>
      <c r="M860" s="367"/>
    </row>
    <row r="861" customFormat="false" ht="12.75" hidden="false" customHeight="true" outlineLevel="0" collapsed="false">
      <c r="B861" s="361"/>
      <c r="C861" s="369"/>
      <c r="D861" s="362"/>
      <c r="E861" s="363"/>
      <c r="F861" s="364"/>
      <c r="G861" s="363"/>
      <c r="H861" s="363"/>
      <c r="I861" s="370"/>
      <c r="J861" s="363"/>
      <c r="K861" s="363"/>
      <c r="L861" s="363"/>
      <c r="M861" s="367"/>
    </row>
    <row r="862" customFormat="false" ht="12.75" hidden="false" customHeight="true" outlineLevel="0" collapsed="false">
      <c r="B862" s="361"/>
      <c r="C862" s="369"/>
      <c r="D862" s="362"/>
      <c r="E862" s="363"/>
      <c r="F862" s="364"/>
      <c r="G862" s="363"/>
      <c r="H862" s="363"/>
      <c r="I862" s="370"/>
      <c r="J862" s="363"/>
      <c r="K862" s="363"/>
      <c r="L862" s="363"/>
      <c r="M862" s="367"/>
    </row>
    <row r="863" customFormat="false" ht="12.75" hidden="false" customHeight="true" outlineLevel="0" collapsed="false">
      <c r="B863" s="361"/>
      <c r="C863" s="369"/>
      <c r="D863" s="362"/>
      <c r="E863" s="363"/>
      <c r="F863" s="364"/>
      <c r="G863" s="363"/>
      <c r="H863" s="363"/>
      <c r="I863" s="370"/>
      <c r="J863" s="363"/>
      <c r="K863" s="363"/>
      <c r="L863" s="363"/>
      <c r="M863" s="367"/>
    </row>
    <row r="864" customFormat="false" ht="12.75" hidden="false" customHeight="true" outlineLevel="0" collapsed="false">
      <c r="B864" s="361"/>
      <c r="C864" s="362"/>
      <c r="D864" s="362"/>
      <c r="E864" s="363"/>
      <c r="F864" s="374"/>
      <c r="G864" s="363"/>
      <c r="H864" s="363"/>
      <c r="I864" s="363"/>
      <c r="J864" s="363"/>
      <c r="K864" s="363"/>
      <c r="L864" s="363"/>
      <c r="M864" s="367"/>
    </row>
    <row r="865" customFormat="false" ht="12.75" hidden="false" customHeight="true" outlineLevel="0" collapsed="false">
      <c r="B865" s="361"/>
      <c r="C865" s="362"/>
      <c r="D865" s="362"/>
      <c r="E865" s="363"/>
      <c r="F865" s="374"/>
      <c r="G865" s="363"/>
      <c r="H865" s="363"/>
      <c r="I865" s="363"/>
      <c r="J865" s="363"/>
      <c r="K865" s="363"/>
      <c r="L865" s="363"/>
      <c r="M865" s="367"/>
    </row>
    <row r="866" customFormat="false" ht="12.75" hidden="false" customHeight="true" outlineLevel="0" collapsed="false">
      <c r="B866" s="368"/>
      <c r="C866" s="362"/>
      <c r="D866" s="362"/>
      <c r="E866" s="363"/>
      <c r="F866" s="374"/>
      <c r="G866" s="363"/>
      <c r="H866" s="363"/>
      <c r="I866" s="363"/>
      <c r="J866" s="363"/>
      <c r="K866" s="363"/>
      <c r="L866" s="363"/>
      <c r="M866" s="367"/>
    </row>
    <row r="867" customFormat="false" ht="12.75" hidden="false" customHeight="true" outlineLevel="0" collapsed="false">
      <c r="B867" s="361"/>
      <c r="C867" s="362"/>
      <c r="D867" s="362"/>
      <c r="E867" s="363"/>
      <c r="F867" s="374"/>
      <c r="G867" s="363"/>
      <c r="H867" s="363"/>
      <c r="I867" s="363"/>
      <c r="J867" s="363"/>
      <c r="K867" s="363"/>
      <c r="L867" s="363"/>
      <c r="M867" s="367"/>
    </row>
    <row r="868" customFormat="false" ht="12.75" hidden="false" customHeight="true" outlineLevel="0" collapsed="false">
      <c r="B868" s="361"/>
      <c r="C868" s="362"/>
      <c r="D868" s="362"/>
      <c r="E868" s="363"/>
      <c r="F868" s="374"/>
      <c r="G868" s="363"/>
      <c r="H868" s="363"/>
      <c r="I868" s="363"/>
      <c r="J868" s="363"/>
      <c r="K868" s="363"/>
      <c r="L868" s="363"/>
      <c r="M868" s="367"/>
    </row>
    <row r="869" customFormat="false" ht="12.75" hidden="false" customHeight="true" outlineLevel="0" collapsed="false">
      <c r="B869" s="368"/>
      <c r="C869" s="362"/>
      <c r="D869" s="362"/>
      <c r="E869" s="363"/>
      <c r="F869" s="374"/>
      <c r="G869" s="363"/>
      <c r="H869" s="363"/>
      <c r="I869" s="363"/>
      <c r="J869" s="363"/>
      <c r="K869" s="363"/>
      <c r="L869" s="363"/>
      <c r="M869" s="367"/>
    </row>
    <row r="870" customFormat="false" ht="12.75" hidden="false" customHeight="true" outlineLevel="0" collapsed="false">
      <c r="B870" s="361"/>
      <c r="C870" s="362"/>
      <c r="D870" s="362"/>
      <c r="E870" s="363"/>
      <c r="F870" s="374"/>
      <c r="G870" s="363"/>
      <c r="H870" s="363"/>
      <c r="I870" s="363"/>
      <c r="J870" s="363"/>
      <c r="K870" s="363"/>
      <c r="L870" s="363"/>
      <c r="M870" s="367"/>
    </row>
    <row r="871" customFormat="false" ht="12.75" hidden="false" customHeight="true" outlineLevel="0" collapsed="false">
      <c r="B871" s="361"/>
      <c r="C871" s="362"/>
      <c r="D871" s="362"/>
      <c r="E871" s="363"/>
      <c r="F871" s="374"/>
      <c r="G871" s="363"/>
      <c r="H871" s="363"/>
      <c r="I871" s="363"/>
      <c r="J871" s="363"/>
      <c r="K871" s="363"/>
      <c r="L871" s="363"/>
      <c r="M871" s="367"/>
    </row>
    <row r="872" customFormat="false" ht="12.75" hidden="false" customHeight="true" outlineLevel="0" collapsed="false">
      <c r="B872" s="368"/>
      <c r="C872" s="362"/>
      <c r="D872" s="362"/>
      <c r="E872" s="363"/>
      <c r="F872" s="374"/>
      <c r="G872" s="363"/>
      <c r="H872" s="363"/>
      <c r="I872" s="363"/>
      <c r="J872" s="363"/>
      <c r="K872" s="363"/>
      <c r="L872" s="363"/>
      <c r="M872" s="367"/>
    </row>
    <row r="873" customFormat="false" ht="12.75" hidden="false" customHeight="true" outlineLevel="0" collapsed="false">
      <c r="B873" s="361"/>
      <c r="C873" s="362"/>
      <c r="D873" s="362"/>
      <c r="E873" s="363"/>
      <c r="F873" s="374"/>
      <c r="G873" s="363"/>
      <c r="H873" s="363"/>
      <c r="I873" s="363"/>
      <c r="J873" s="363"/>
      <c r="K873" s="363"/>
      <c r="L873" s="363"/>
      <c r="M873" s="367"/>
    </row>
    <row r="874" customFormat="false" ht="12.75" hidden="false" customHeight="true" outlineLevel="0" collapsed="false">
      <c r="B874" s="361"/>
      <c r="C874" s="369"/>
      <c r="D874" s="369"/>
      <c r="E874" s="370"/>
      <c r="F874" s="375"/>
      <c r="G874" s="370"/>
      <c r="H874" s="363"/>
      <c r="I874" s="370"/>
      <c r="J874" s="370"/>
      <c r="K874" s="370"/>
      <c r="L874" s="370"/>
      <c r="M874" s="367"/>
    </row>
    <row r="875" customFormat="false" ht="12.75" hidden="false" customHeight="true" outlineLevel="0" collapsed="false">
      <c r="B875" s="361"/>
      <c r="C875" s="369"/>
      <c r="D875" s="362"/>
      <c r="E875" s="363"/>
      <c r="F875" s="364"/>
      <c r="G875" s="363"/>
      <c r="H875" s="363"/>
      <c r="I875" s="370"/>
      <c r="J875" s="363"/>
      <c r="K875" s="370"/>
      <c r="L875" s="363"/>
      <c r="M875" s="367"/>
    </row>
    <row r="876" customFormat="false" ht="12.75" hidden="false" customHeight="true" outlineLevel="0" collapsed="false">
      <c r="B876" s="361"/>
      <c r="C876" s="369"/>
      <c r="D876" s="362"/>
      <c r="E876" s="363"/>
      <c r="F876" s="364"/>
      <c r="G876" s="363"/>
      <c r="H876" s="363"/>
      <c r="I876" s="370"/>
      <c r="J876" s="363"/>
      <c r="K876" s="363"/>
      <c r="L876" s="363"/>
      <c r="M876" s="367"/>
    </row>
    <row r="877" customFormat="false" ht="12.75" hidden="false" customHeight="true" outlineLevel="0" collapsed="false">
      <c r="B877" s="361"/>
      <c r="C877" s="369"/>
      <c r="D877" s="362"/>
      <c r="E877" s="363"/>
      <c r="F877" s="364"/>
      <c r="G877" s="363"/>
      <c r="H877" s="363"/>
      <c r="I877" s="370"/>
      <c r="J877" s="363"/>
      <c r="K877" s="363"/>
      <c r="L877" s="363"/>
      <c r="M877" s="367"/>
    </row>
    <row r="878" customFormat="false" ht="12.75" hidden="false" customHeight="true" outlineLevel="0" collapsed="false">
      <c r="B878" s="361"/>
      <c r="C878" s="369"/>
      <c r="D878" s="362"/>
      <c r="E878" s="363"/>
      <c r="F878" s="364"/>
      <c r="G878" s="363"/>
      <c r="H878" s="363"/>
      <c r="I878" s="370"/>
      <c r="J878" s="363"/>
      <c r="K878" s="363"/>
      <c r="L878" s="363"/>
      <c r="M878" s="367"/>
    </row>
    <row r="879" customFormat="false" ht="12.75" hidden="false" customHeight="true" outlineLevel="0" collapsed="false">
      <c r="B879" s="361"/>
      <c r="C879" s="369"/>
      <c r="D879" s="362"/>
      <c r="E879" s="363"/>
      <c r="F879" s="364"/>
      <c r="G879" s="363"/>
      <c r="H879" s="363"/>
      <c r="I879" s="370"/>
      <c r="J879" s="363"/>
      <c r="K879" s="363"/>
      <c r="L879" s="363"/>
      <c r="M879" s="367"/>
    </row>
    <row r="880" customFormat="false" ht="12.75" hidden="false" customHeight="true" outlineLevel="0" collapsed="false">
      <c r="B880" s="361"/>
      <c r="C880" s="369"/>
      <c r="D880" s="362"/>
      <c r="E880" s="363"/>
      <c r="F880" s="364"/>
      <c r="G880" s="363"/>
      <c r="H880" s="363"/>
      <c r="I880" s="370"/>
      <c r="J880" s="363"/>
      <c r="K880" s="363"/>
      <c r="L880" s="363"/>
      <c r="M880" s="367"/>
    </row>
    <row r="881" customFormat="false" ht="12.75" hidden="false" customHeight="true" outlineLevel="0" collapsed="false">
      <c r="B881" s="361"/>
      <c r="C881" s="369"/>
      <c r="D881" s="362"/>
      <c r="E881" s="363"/>
      <c r="F881" s="364"/>
      <c r="G881" s="363"/>
      <c r="H881" s="363"/>
      <c r="I881" s="370"/>
      <c r="J881" s="363"/>
      <c r="K881" s="363"/>
      <c r="L881" s="363"/>
      <c r="M881" s="367"/>
    </row>
    <row r="882" customFormat="false" ht="12.75" hidden="false" customHeight="true" outlineLevel="0" collapsed="false">
      <c r="B882" s="361"/>
      <c r="C882" s="369"/>
      <c r="D882" s="362"/>
      <c r="E882" s="363"/>
      <c r="F882" s="364"/>
      <c r="G882" s="363"/>
      <c r="H882" s="363"/>
      <c r="I882" s="370"/>
      <c r="J882" s="370"/>
      <c r="K882" s="363"/>
      <c r="L882" s="363"/>
      <c r="M882" s="367"/>
    </row>
    <row r="883" customFormat="false" ht="12.75" hidden="false" customHeight="true" outlineLevel="0" collapsed="false">
      <c r="B883" s="361"/>
      <c r="C883" s="369"/>
      <c r="D883" s="362"/>
      <c r="E883" s="363"/>
      <c r="F883" s="364"/>
      <c r="G883" s="363"/>
      <c r="H883" s="363"/>
      <c r="I883" s="370"/>
      <c r="J883" s="363"/>
      <c r="K883" s="363"/>
      <c r="L883" s="363"/>
      <c r="M883" s="367"/>
    </row>
    <row r="884" customFormat="false" ht="12.75" hidden="false" customHeight="true" outlineLevel="0" collapsed="false">
      <c r="B884" s="361"/>
      <c r="C884" s="369"/>
      <c r="D884" s="362"/>
      <c r="E884" s="363"/>
      <c r="F884" s="364"/>
      <c r="G884" s="363"/>
      <c r="H884" s="363"/>
      <c r="I884" s="370"/>
      <c r="J884" s="363"/>
      <c r="K884" s="363"/>
      <c r="L884" s="370"/>
      <c r="M884" s="367"/>
    </row>
    <row r="885" customFormat="false" ht="12.75" hidden="false" customHeight="true" outlineLevel="0" collapsed="false">
      <c r="B885" s="361"/>
      <c r="C885" s="369"/>
      <c r="D885" s="362"/>
      <c r="E885" s="363"/>
      <c r="F885" s="364"/>
      <c r="G885" s="363"/>
      <c r="H885" s="363"/>
      <c r="I885" s="370"/>
      <c r="J885" s="363"/>
      <c r="K885" s="363"/>
      <c r="L885" s="363"/>
      <c r="M885" s="367"/>
    </row>
    <row r="886" customFormat="false" ht="12.75" hidden="false" customHeight="true" outlineLevel="0" collapsed="false">
      <c r="B886" s="361"/>
      <c r="C886" s="369"/>
      <c r="D886" s="362"/>
      <c r="E886" s="363"/>
      <c r="F886" s="364"/>
      <c r="G886" s="363"/>
      <c r="H886" s="363"/>
      <c r="I886" s="370"/>
      <c r="J886" s="363"/>
      <c r="K886" s="363"/>
      <c r="L886" s="363"/>
      <c r="M886" s="367"/>
    </row>
    <row r="887" customFormat="false" ht="12.75" hidden="false" customHeight="true" outlineLevel="0" collapsed="false">
      <c r="B887" s="361"/>
      <c r="C887" s="369"/>
      <c r="D887" s="362"/>
      <c r="E887" s="363"/>
      <c r="F887" s="364"/>
      <c r="G887" s="363"/>
      <c r="H887" s="363"/>
      <c r="I887" s="370"/>
      <c r="J887" s="363"/>
      <c r="K887" s="363"/>
      <c r="L887" s="363"/>
      <c r="M887" s="367"/>
    </row>
    <row r="888" customFormat="false" ht="12.75" hidden="false" customHeight="true" outlineLevel="0" collapsed="false">
      <c r="B888" s="361"/>
      <c r="C888" s="369"/>
      <c r="D888" s="362"/>
      <c r="E888" s="363"/>
      <c r="F888" s="364"/>
      <c r="G888" s="363"/>
      <c r="H888" s="363"/>
      <c r="I888" s="370"/>
      <c r="J888" s="363"/>
      <c r="K888" s="363"/>
      <c r="L888" s="363"/>
      <c r="M888" s="367"/>
    </row>
    <row r="889" customFormat="false" ht="12.75" hidden="false" customHeight="true" outlineLevel="0" collapsed="false">
      <c r="B889" s="361"/>
      <c r="C889" s="369"/>
      <c r="D889" s="362"/>
      <c r="E889" s="363"/>
      <c r="F889" s="364"/>
      <c r="G889" s="363"/>
      <c r="H889" s="363"/>
      <c r="I889" s="370"/>
      <c r="J889" s="363"/>
      <c r="K889" s="363"/>
      <c r="L889" s="363"/>
      <c r="M889" s="367"/>
    </row>
    <row r="890" customFormat="false" ht="12.75" hidden="false" customHeight="true" outlineLevel="0" collapsed="false">
      <c r="B890" s="361"/>
      <c r="C890" s="369"/>
      <c r="D890" s="362"/>
      <c r="E890" s="363"/>
      <c r="F890" s="364"/>
      <c r="G890" s="363"/>
      <c r="H890" s="363"/>
      <c r="I890" s="370"/>
      <c r="J890" s="363"/>
      <c r="K890" s="363"/>
      <c r="L890" s="363"/>
      <c r="M890" s="367"/>
    </row>
    <row r="891" customFormat="false" ht="12.75" hidden="false" customHeight="true" outlineLevel="0" collapsed="false">
      <c r="B891" s="361"/>
      <c r="C891" s="369"/>
      <c r="D891" s="362"/>
      <c r="E891" s="363"/>
      <c r="F891" s="364"/>
      <c r="G891" s="363"/>
      <c r="H891" s="363"/>
      <c r="I891" s="370"/>
      <c r="J891" s="363"/>
      <c r="K891" s="363"/>
      <c r="L891" s="363"/>
      <c r="M891" s="367"/>
    </row>
    <row r="892" customFormat="false" ht="12.75" hidden="false" customHeight="true" outlineLevel="0" collapsed="false">
      <c r="B892" s="361"/>
      <c r="C892" s="369"/>
      <c r="D892" s="362"/>
      <c r="E892" s="363"/>
      <c r="F892" s="364"/>
      <c r="G892" s="363"/>
      <c r="H892" s="363"/>
      <c r="I892" s="370"/>
      <c r="J892" s="363"/>
      <c r="K892" s="363"/>
      <c r="L892" s="363"/>
      <c r="M892" s="367"/>
    </row>
    <row r="893" customFormat="false" ht="12.75" hidden="false" customHeight="true" outlineLevel="0" collapsed="false">
      <c r="B893" s="361"/>
      <c r="C893" s="369"/>
      <c r="D893" s="362"/>
      <c r="E893" s="363"/>
      <c r="F893" s="364"/>
      <c r="G893" s="363"/>
      <c r="H893" s="363"/>
      <c r="I893" s="370"/>
      <c r="J893" s="363"/>
      <c r="K893" s="363"/>
      <c r="L893" s="363"/>
      <c r="M893" s="367"/>
    </row>
    <row r="894" customFormat="false" ht="12.75" hidden="false" customHeight="true" outlineLevel="0" collapsed="false">
      <c r="B894" s="361"/>
      <c r="C894" s="369"/>
      <c r="D894" s="362"/>
      <c r="E894" s="363"/>
      <c r="F894" s="364"/>
      <c r="G894" s="363"/>
      <c r="H894" s="363"/>
      <c r="I894" s="370"/>
      <c r="J894" s="363"/>
      <c r="K894" s="363"/>
      <c r="L894" s="363"/>
      <c r="M894" s="367"/>
    </row>
    <row r="895" customFormat="false" ht="12.75" hidden="false" customHeight="true" outlineLevel="0" collapsed="false">
      <c r="B895" s="361"/>
      <c r="C895" s="369"/>
      <c r="D895" s="362"/>
      <c r="E895" s="363"/>
      <c r="F895" s="364"/>
      <c r="G895" s="363"/>
      <c r="H895" s="363"/>
      <c r="I895" s="370"/>
      <c r="J895" s="363"/>
      <c r="K895" s="363"/>
      <c r="L895" s="363"/>
      <c r="M895" s="367"/>
    </row>
    <row r="896" customFormat="false" ht="12.75" hidden="false" customHeight="true" outlineLevel="0" collapsed="false">
      <c r="B896" s="361"/>
      <c r="C896" s="369"/>
      <c r="D896" s="362"/>
      <c r="E896" s="363"/>
      <c r="F896" s="364"/>
      <c r="G896" s="363"/>
      <c r="H896" s="363"/>
      <c r="I896" s="370"/>
      <c r="J896" s="363"/>
      <c r="K896" s="363"/>
      <c r="L896" s="363"/>
      <c r="M896" s="367"/>
    </row>
    <row r="897" customFormat="false" ht="12.75" hidden="false" customHeight="true" outlineLevel="0" collapsed="false">
      <c r="B897" s="361"/>
      <c r="C897" s="369"/>
      <c r="D897" s="362"/>
      <c r="E897" s="363"/>
      <c r="F897" s="364"/>
      <c r="G897" s="363"/>
      <c r="H897" s="363"/>
      <c r="I897" s="370"/>
      <c r="J897" s="363"/>
      <c r="K897" s="363"/>
      <c r="L897" s="363"/>
      <c r="M897" s="367"/>
    </row>
    <row r="898" customFormat="false" ht="12.75" hidden="false" customHeight="true" outlineLevel="0" collapsed="false">
      <c r="B898" s="361"/>
      <c r="C898" s="369"/>
      <c r="D898" s="362"/>
      <c r="E898" s="363"/>
      <c r="F898" s="364"/>
      <c r="G898" s="363"/>
      <c r="H898" s="363"/>
      <c r="I898" s="370"/>
      <c r="J898" s="363"/>
      <c r="K898" s="363"/>
      <c r="L898" s="363"/>
      <c r="M898" s="367"/>
    </row>
    <row r="899" customFormat="false" ht="12.75" hidden="false" customHeight="true" outlineLevel="0" collapsed="false">
      <c r="B899" s="361"/>
      <c r="C899" s="369"/>
      <c r="D899" s="362"/>
      <c r="E899" s="363"/>
      <c r="F899" s="364"/>
      <c r="G899" s="363"/>
      <c r="H899" s="363"/>
      <c r="I899" s="370"/>
      <c r="J899" s="363"/>
      <c r="K899" s="363"/>
      <c r="L899" s="363"/>
      <c r="M899" s="367"/>
    </row>
    <row r="900" customFormat="false" ht="12.75" hidden="false" customHeight="true" outlineLevel="0" collapsed="false">
      <c r="B900" s="361"/>
      <c r="C900" s="369"/>
      <c r="D900" s="362"/>
      <c r="E900" s="363"/>
      <c r="F900" s="364"/>
      <c r="G900" s="363"/>
      <c r="H900" s="363"/>
      <c r="I900" s="370"/>
      <c r="J900" s="363"/>
      <c r="K900" s="363"/>
      <c r="L900" s="363"/>
      <c r="M900" s="367"/>
    </row>
    <row r="901" customFormat="false" ht="12.75" hidden="false" customHeight="true" outlineLevel="0" collapsed="false">
      <c r="B901" s="361"/>
      <c r="C901" s="369"/>
      <c r="D901" s="362"/>
      <c r="E901" s="363"/>
      <c r="F901" s="364"/>
      <c r="G901" s="363"/>
      <c r="H901" s="363"/>
      <c r="I901" s="370"/>
      <c r="J901" s="363"/>
      <c r="K901" s="363"/>
      <c r="L901" s="363"/>
      <c r="M901" s="367"/>
    </row>
    <row r="902" customFormat="false" ht="12.75" hidden="false" customHeight="true" outlineLevel="0" collapsed="false">
      <c r="B902" s="361"/>
      <c r="C902" s="369"/>
      <c r="D902" s="362"/>
      <c r="E902" s="363"/>
      <c r="F902" s="364"/>
      <c r="G902" s="363"/>
      <c r="H902" s="363"/>
      <c r="I902" s="370"/>
      <c r="J902" s="363"/>
      <c r="K902" s="363"/>
      <c r="L902" s="363"/>
      <c r="M902" s="367"/>
    </row>
    <row r="903" customFormat="false" ht="12.75" hidden="false" customHeight="true" outlineLevel="0" collapsed="false">
      <c r="B903" s="361"/>
      <c r="C903" s="362"/>
      <c r="D903" s="362"/>
      <c r="E903" s="363"/>
      <c r="F903" s="374"/>
      <c r="G903" s="363"/>
      <c r="H903" s="363"/>
      <c r="I903" s="363"/>
      <c r="J903" s="363"/>
      <c r="K903" s="363"/>
      <c r="L903" s="363"/>
      <c r="M903" s="367"/>
    </row>
    <row r="904" customFormat="false" ht="12.75" hidden="false" customHeight="true" outlineLevel="0" collapsed="false">
      <c r="B904" s="361"/>
      <c r="C904" s="362"/>
      <c r="D904" s="362"/>
      <c r="E904" s="363"/>
      <c r="F904" s="374"/>
      <c r="G904" s="363"/>
      <c r="H904" s="363"/>
      <c r="I904" s="363"/>
      <c r="J904" s="363"/>
      <c r="K904" s="363"/>
      <c r="L904" s="363"/>
      <c r="M904" s="367"/>
    </row>
    <row r="905" customFormat="false" ht="12.75" hidden="false" customHeight="true" outlineLevel="0" collapsed="false">
      <c r="B905" s="368"/>
      <c r="C905" s="362"/>
      <c r="D905" s="362"/>
      <c r="E905" s="363"/>
      <c r="F905" s="374"/>
      <c r="G905" s="363"/>
      <c r="H905" s="363"/>
      <c r="I905" s="363"/>
      <c r="J905" s="363"/>
      <c r="K905" s="363"/>
      <c r="L905" s="363"/>
      <c r="M905" s="367"/>
    </row>
    <row r="906" customFormat="false" ht="12.75" hidden="false" customHeight="true" outlineLevel="0" collapsed="false">
      <c r="B906" s="361"/>
      <c r="C906" s="362"/>
      <c r="D906" s="362"/>
      <c r="E906" s="363"/>
      <c r="F906" s="374"/>
      <c r="G906" s="363"/>
      <c r="H906" s="363"/>
      <c r="I906" s="363"/>
      <c r="J906" s="363"/>
      <c r="K906" s="363"/>
      <c r="L906" s="363"/>
      <c r="M906" s="367"/>
    </row>
    <row r="907" customFormat="false" ht="12.75" hidden="false" customHeight="true" outlineLevel="0" collapsed="false">
      <c r="B907" s="361"/>
      <c r="C907" s="362"/>
      <c r="D907" s="362"/>
      <c r="E907" s="363"/>
      <c r="F907" s="374"/>
      <c r="G907" s="363"/>
      <c r="H907" s="363"/>
      <c r="I907" s="363"/>
      <c r="J907" s="363"/>
      <c r="K907" s="363"/>
      <c r="L907" s="363"/>
      <c r="M907" s="367"/>
    </row>
    <row r="908" customFormat="false" ht="12.75" hidden="false" customHeight="true" outlineLevel="0" collapsed="false">
      <c r="B908" s="368"/>
      <c r="C908" s="362"/>
      <c r="D908" s="362"/>
      <c r="E908" s="363"/>
      <c r="F908" s="374"/>
      <c r="G908" s="363"/>
      <c r="H908" s="363"/>
      <c r="I908" s="363"/>
      <c r="J908" s="363"/>
      <c r="K908" s="363"/>
      <c r="L908" s="363"/>
      <c r="M908" s="367"/>
    </row>
    <row r="909" customFormat="false" ht="12.75" hidden="false" customHeight="true" outlineLevel="0" collapsed="false">
      <c r="B909" s="361"/>
      <c r="C909" s="362"/>
      <c r="D909" s="362"/>
      <c r="E909" s="363"/>
      <c r="F909" s="374"/>
      <c r="G909" s="363"/>
      <c r="H909" s="363"/>
      <c r="I909" s="363"/>
      <c r="J909" s="363"/>
      <c r="K909" s="363"/>
      <c r="L909" s="363"/>
      <c r="M909" s="367"/>
    </row>
    <row r="910" customFormat="false" ht="12.75" hidden="false" customHeight="true" outlineLevel="0" collapsed="false">
      <c r="B910" s="361"/>
      <c r="C910" s="362"/>
      <c r="D910" s="362"/>
      <c r="E910" s="363"/>
      <c r="F910" s="374"/>
      <c r="G910" s="363"/>
      <c r="H910" s="363"/>
      <c r="I910" s="363"/>
      <c r="J910" s="363"/>
      <c r="K910" s="363"/>
      <c r="L910" s="363"/>
      <c r="M910" s="367"/>
    </row>
    <row r="911" customFormat="false" ht="12.75" hidden="false" customHeight="true" outlineLevel="0" collapsed="false">
      <c r="B911" s="368"/>
      <c r="C911" s="362"/>
      <c r="D911" s="362"/>
      <c r="E911" s="363"/>
      <c r="F911" s="374"/>
      <c r="G911" s="363"/>
      <c r="H911" s="363"/>
      <c r="I911" s="363"/>
      <c r="J911" s="363"/>
      <c r="K911" s="363"/>
      <c r="L911" s="363"/>
      <c r="M911" s="367"/>
    </row>
    <row r="912" customFormat="false" ht="12.75" hidden="false" customHeight="true" outlineLevel="0" collapsed="false">
      <c r="B912" s="361"/>
      <c r="C912" s="362"/>
      <c r="D912" s="362"/>
      <c r="E912" s="363"/>
      <c r="F912" s="374"/>
      <c r="G912" s="363"/>
      <c r="H912" s="363"/>
      <c r="I912" s="363"/>
      <c r="J912" s="363"/>
      <c r="K912" s="363"/>
      <c r="L912" s="363"/>
      <c r="M912" s="367"/>
    </row>
    <row r="913" customFormat="false" ht="12.75" hidden="false" customHeight="true" outlineLevel="0" collapsed="false">
      <c r="B913" s="361"/>
      <c r="C913" s="369"/>
      <c r="D913" s="369"/>
      <c r="E913" s="370"/>
      <c r="F913" s="375"/>
      <c r="G913" s="370"/>
      <c r="H913" s="370"/>
      <c r="I913" s="370"/>
      <c r="J913" s="370"/>
      <c r="K913" s="370"/>
      <c r="L913" s="370"/>
      <c r="M913" s="367"/>
    </row>
    <row r="914" customFormat="false" ht="12.75" hidden="false" customHeight="true" outlineLevel="0" collapsed="false">
      <c r="B914" s="361"/>
      <c r="C914" s="369"/>
      <c r="D914" s="362"/>
      <c r="E914" s="363"/>
      <c r="F914" s="364"/>
      <c r="G914" s="363"/>
      <c r="H914" s="363"/>
      <c r="I914" s="370"/>
      <c r="J914" s="363"/>
      <c r="K914" s="370"/>
      <c r="L914" s="363"/>
      <c r="M914" s="367"/>
      <c r="N914" s="10"/>
      <c r="O914" s="10"/>
      <c r="P914" s="10"/>
      <c r="Q914" s="10"/>
      <c r="R914" s="10"/>
      <c r="S914" s="10"/>
      <c r="T914" s="10"/>
      <c r="U914" s="10"/>
      <c r="V914" s="10"/>
      <c r="W914" s="10"/>
      <c r="X914" s="10"/>
      <c r="Y914" s="10"/>
      <c r="Z914" s="10"/>
      <c r="AA914" s="10"/>
      <c r="AB914" s="10"/>
      <c r="AC914" s="10"/>
      <c r="AD914" s="10"/>
      <c r="AE914" s="37"/>
      <c r="AF914" s="379"/>
      <c r="AG914" s="379"/>
      <c r="AH914" s="379"/>
      <c r="AI914" s="379"/>
      <c r="AJ914" s="379"/>
    </row>
    <row r="915" customFormat="false" ht="12.75" hidden="false" customHeight="true" outlineLevel="0" collapsed="false">
      <c r="B915" s="361"/>
      <c r="C915" s="369"/>
      <c r="D915" s="362"/>
      <c r="E915" s="363"/>
      <c r="F915" s="364"/>
      <c r="G915" s="363"/>
      <c r="H915" s="363"/>
      <c r="I915" s="370"/>
      <c r="J915" s="363"/>
      <c r="K915" s="363"/>
      <c r="L915" s="363"/>
      <c r="M915" s="367"/>
      <c r="N915" s="10"/>
      <c r="O915" s="10"/>
      <c r="P915" s="10"/>
      <c r="Q915" s="10"/>
      <c r="R915" s="10"/>
      <c r="S915" s="10"/>
      <c r="T915" s="10"/>
      <c r="U915" s="10"/>
      <c r="V915" s="10"/>
      <c r="W915" s="10"/>
      <c r="X915" s="10"/>
      <c r="Y915" s="10"/>
      <c r="Z915" s="10"/>
      <c r="AA915" s="10"/>
      <c r="AB915" s="10"/>
      <c r="AC915" s="10"/>
      <c r="AD915" s="10"/>
      <c r="AE915" s="379"/>
      <c r="AF915" s="379"/>
      <c r="AG915" s="379"/>
      <c r="AH915" s="379"/>
      <c r="AI915" s="379"/>
    </row>
    <row r="916" customFormat="false" ht="12.75" hidden="false" customHeight="true" outlineLevel="0" collapsed="false">
      <c r="B916" s="361"/>
      <c r="C916" s="369"/>
      <c r="D916" s="362"/>
      <c r="E916" s="363"/>
      <c r="F916" s="364"/>
      <c r="G916" s="363"/>
      <c r="H916" s="363"/>
      <c r="I916" s="370"/>
      <c r="J916" s="363"/>
      <c r="K916" s="363"/>
      <c r="L916" s="363"/>
      <c r="M916" s="367"/>
      <c r="N916" s="10"/>
      <c r="O916" s="10"/>
      <c r="P916" s="10"/>
      <c r="Q916" s="10"/>
      <c r="R916" s="10"/>
      <c r="S916" s="10"/>
      <c r="T916" s="10"/>
      <c r="U916" s="10"/>
      <c r="V916" s="10"/>
      <c r="W916" s="10"/>
      <c r="X916" s="10"/>
      <c r="Y916" s="10"/>
      <c r="Z916" s="10"/>
      <c r="AA916" s="10"/>
      <c r="AB916" s="10"/>
      <c r="AC916" s="10"/>
      <c r="AD916" s="10"/>
      <c r="AE916" s="37"/>
      <c r="AF916" s="379"/>
      <c r="AG916" s="379"/>
      <c r="AH916" s="379"/>
      <c r="AI916" s="379"/>
      <c r="AJ916" s="379"/>
    </row>
    <row r="917" customFormat="false" ht="12.75" hidden="false" customHeight="true" outlineLevel="0" collapsed="false">
      <c r="B917" s="361"/>
      <c r="C917" s="369"/>
      <c r="D917" s="362"/>
      <c r="E917" s="363"/>
      <c r="F917" s="364"/>
      <c r="G917" s="363"/>
      <c r="H917" s="363"/>
      <c r="I917" s="370"/>
      <c r="J917" s="363"/>
      <c r="K917" s="363"/>
      <c r="L917" s="363"/>
      <c r="M917" s="367"/>
      <c r="N917" s="10"/>
      <c r="O917" s="10"/>
      <c r="P917" s="10"/>
      <c r="Q917" s="10"/>
      <c r="R917" s="10"/>
      <c r="S917" s="10"/>
      <c r="T917" s="10"/>
      <c r="U917" s="10"/>
      <c r="V917" s="10"/>
      <c r="W917" s="10"/>
      <c r="X917" s="10"/>
      <c r="Y917" s="10"/>
      <c r="Z917" s="10"/>
      <c r="AA917" s="10"/>
      <c r="AB917" s="10"/>
      <c r="AC917" s="10"/>
      <c r="AD917" s="10"/>
      <c r="AE917" s="37"/>
      <c r="AF917" s="379"/>
      <c r="AG917" s="379"/>
      <c r="AH917" s="379"/>
      <c r="AI917" s="379"/>
      <c r="AJ917" s="379"/>
    </row>
    <row r="918" customFormat="false" ht="12.75" hidden="false" customHeight="true" outlineLevel="0" collapsed="false">
      <c r="B918" s="361"/>
      <c r="C918" s="369"/>
      <c r="D918" s="362"/>
      <c r="E918" s="363"/>
      <c r="F918" s="364"/>
      <c r="G918" s="363"/>
      <c r="H918" s="363"/>
      <c r="I918" s="370"/>
      <c r="J918" s="363"/>
      <c r="K918" s="363"/>
      <c r="L918" s="363"/>
      <c r="M918" s="367"/>
      <c r="N918" s="10"/>
      <c r="O918" s="10"/>
      <c r="P918" s="10"/>
      <c r="Q918" s="10"/>
      <c r="R918" s="10"/>
      <c r="S918" s="10"/>
      <c r="T918" s="10"/>
      <c r="U918" s="10"/>
      <c r="V918" s="10"/>
      <c r="W918" s="10"/>
      <c r="X918" s="10"/>
      <c r="Y918" s="10"/>
      <c r="Z918" s="10"/>
      <c r="AA918" s="10"/>
      <c r="AB918" s="10"/>
      <c r="AC918" s="10"/>
      <c r="AD918" s="10"/>
      <c r="AE918" s="37"/>
      <c r="AF918" s="379"/>
      <c r="AG918" s="379"/>
      <c r="AH918" s="379"/>
      <c r="AI918" s="379"/>
      <c r="AJ918" s="379"/>
    </row>
    <row r="919" customFormat="false" ht="12.75" hidden="false" customHeight="true" outlineLevel="0" collapsed="false">
      <c r="B919" s="361"/>
      <c r="C919" s="369"/>
      <c r="D919" s="362"/>
      <c r="E919" s="363"/>
      <c r="F919" s="364"/>
      <c r="G919" s="363"/>
      <c r="H919" s="363"/>
      <c r="I919" s="370"/>
      <c r="J919" s="363"/>
      <c r="K919" s="363"/>
      <c r="L919" s="363"/>
      <c r="M919" s="367"/>
      <c r="N919" s="10"/>
      <c r="O919" s="10"/>
      <c r="P919" s="10"/>
      <c r="Q919" s="10"/>
      <c r="R919" s="10"/>
      <c r="S919" s="10"/>
      <c r="T919" s="10"/>
      <c r="U919" s="10"/>
      <c r="V919" s="10"/>
      <c r="W919" s="10"/>
      <c r="X919" s="10"/>
      <c r="Y919" s="10"/>
      <c r="Z919" s="10"/>
      <c r="AA919" s="10"/>
      <c r="AB919" s="10"/>
      <c r="AC919" s="10"/>
      <c r="AD919" s="10"/>
      <c r="AE919" s="379"/>
      <c r="AF919" s="379"/>
      <c r="AG919" s="379"/>
      <c r="AH919" s="379"/>
      <c r="AI919" s="379"/>
    </row>
    <row r="920" customFormat="false" ht="12.75" hidden="false" customHeight="true" outlineLevel="0" collapsed="false">
      <c r="B920" s="361"/>
      <c r="C920" s="369"/>
      <c r="D920" s="362"/>
      <c r="E920" s="363"/>
      <c r="F920" s="364"/>
      <c r="G920" s="363"/>
      <c r="H920" s="363"/>
      <c r="I920" s="370"/>
      <c r="J920" s="363"/>
      <c r="K920" s="363"/>
      <c r="L920" s="363"/>
      <c r="M920" s="367"/>
      <c r="N920" s="10"/>
      <c r="O920" s="10"/>
      <c r="P920" s="10"/>
      <c r="Q920" s="10"/>
      <c r="R920" s="10"/>
      <c r="S920" s="10"/>
      <c r="T920" s="10"/>
      <c r="U920" s="10"/>
      <c r="V920" s="10"/>
      <c r="W920" s="10"/>
      <c r="X920" s="10"/>
      <c r="Y920" s="10"/>
      <c r="Z920" s="10"/>
      <c r="AA920" s="10"/>
      <c r="AB920" s="10"/>
      <c r="AC920" s="10"/>
      <c r="AD920" s="10"/>
      <c r="AE920" s="379"/>
      <c r="AF920" s="379"/>
      <c r="AG920" s="379"/>
      <c r="AH920" s="379"/>
      <c r="AI920" s="379"/>
    </row>
    <row r="921" customFormat="false" ht="12.75" hidden="false" customHeight="true" outlineLevel="0" collapsed="false">
      <c r="B921" s="361"/>
      <c r="C921" s="369"/>
      <c r="D921" s="362"/>
      <c r="E921" s="363"/>
      <c r="F921" s="364"/>
      <c r="G921" s="363"/>
      <c r="H921" s="363"/>
      <c r="I921" s="370"/>
      <c r="J921" s="370"/>
      <c r="K921" s="363"/>
      <c r="L921" s="363"/>
      <c r="M921" s="367"/>
      <c r="N921" s="10"/>
      <c r="O921" s="10"/>
      <c r="P921" s="10"/>
      <c r="Q921" s="10"/>
      <c r="R921" s="10"/>
      <c r="S921" s="10"/>
      <c r="T921" s="10"/>
      <c r="U921" s="10"/>
      <c r="V921" s="10"/>
      <c r="W921" s="10"/>
      <c r="X921" s="10"/>
      <c r="Y921" s="10"/>
      <c r="Z921" s="10"/>
      <c r="AA921" s="10"/>
      <c r="AB921" s="10"/>
      <c r="AC921" s="10"/>
      <c r="AD921" s="10"/>
      <c r="AE921" s="379"/>
      <c r="AF921" s="379"/>
      <c r="AG921" s="379"/>
      <c r="AH921" s="379"/>
      <c r="AI921" s="379"/>
    </row>
    <row r="922" customFormat="false" ht="12.75" hidden="false" customHeight="true" outlineLevel="0" collapsed="false">
      <c r="B922" s="361"/>
      <c r="C922" s="369"/>
      <c r="D922" s="362"/>
      <c r="E922" s="363"/>
      <c r="F922" s="364"/>
      <c r="G922" s="363"/>
      <c r="H922" s="363"/>
      <c r="I922" s="370"/>
      <c r="J922" s="363"/>
      <c r="K922" s="363"/>
      <c r="L922" s="363"/>
      <c r="M922" s="367"/>
      <c r="N922" s="10"/>
      <c r="O922" s="10"/>
      <c r="P922" s="10"/>
      <c r="Q922" s="10"/>
      <c r="R922" s="10"/>
      <c r="S922" s="10"/>
      <c r="T922" s="10"/>
      <c r="U922" s="10"/>
      <c r="V922" s="10"/>
      <c r="W922" s="10"/>
      <c r="X922" s="10"/>
      <c r="Y922" s="10"/>
      <c r="Z922" s="10"/>
      <c r="AA922" s="10"/>
      <c r="AB922" s="10"/>
      <c r="AC922" s="10"/>
      <c r="AD922" s="10"/>
      <c r="AE922" s="379"/>
      <c r="AF922" s="379"/>
      <c r="AG922" s="379"/>
      <c r="AH922" s="379"/>
      <c r="AI922" s="379"/>
    </row>
    <row r="923" customFormat="false" ht="12.75" hidden="false" customHeight="true" outlineLevel="0" collapsed="false">
      <c r="B923" s="361"/>
      <c r="C923" s="369"/>
      <c r="D923" s="362"/>
      <c r="E923" s="363"/>
      <c r="F923" s="364"/>
      <c r="G923" s="363"/>
      <c r="H923" s="363"/>
      <c r="I923" s="370"/>
      <c r="J923" s="363"/>
      <c r="K923" s="363"/>
      <c r="L923" s="370"/>
      <c r="M923" s="367"/>
      <c r="N923" s="10"/>
      <c r="O923" s="10"/>
      <c r="P923" s="10"/>
      <c r="Q923" s="10"/>
      <c r="R923" s="10"/>
      <c r="S923" s="10"/>
      <c r="T923" s="10"/>
      <c r="U923" s="10"/>
      <c r="V923" s="10"/>
      <c r="W923" s="10"/>
      <c r="X923" s="10"/>
      <c r="Y923" s="10"/>
      <c r="Z923" s="10"/>
      <c r="AA923" s="10"/>
      <c r="AB923" s="10"/>
      <c r="AC923" s="10"/>
      <c r="AD923" s="10"/>
      <c r="AE923" s="379"/>
      <c r="AF923" s="379"/>
      <c r="AG923" s="379"/>
      <c r="AH923" s="379"/>
      <c r="AI923" s="379"/>
    </row>
    <row r="924" customFormat="false" ht="12.75" hidden="false" customHeight="true" outlineLevel="0" collapsed="false">
      <c r="B924" s="361"/>
      <c r="C924" s="369"/>
      <c r="D924" s="362"/>
      <c r="E924" s="363"/>
      <c r="F924" s="364"/>
      <c r="G924" s="363"/>
      <c r="H924" s="363"/>
      <c r="I924" s="370"/>
      <c r="J924" s="363"/>
      <c r="K924" s="363"/>
      <c r="L924" s="363"/>
      <c r="M924" s="367"/>
      <c r="N924" s="10"/>
      <c r="O924" s="10"/>
      <c r="P924" s="10"/>
      <c r="Q924" s="10"/>
      <c r="R924" s="10"/>
      <c r="S924" s="10"/>
      <c r="T924" s="10"/>
      <c r="U924" s="10"/>
      <c r="V924" s="10"/>
      <c r="W924" s="10"/>
      <c r="X924" s="10"/>
      <c r="Y924" s="10"/>
      <c r="Z924" s="10"/>
      <c r="AA924" s="10"/>
      <c r="AB924" s="10"/>
      <c r="AC924" s="10"/>
      <c r="AD924" s="10"/>
      <c r="AE924" s="379"/>
      <c r="AF924" s="379"/>
      <c r="AG924" s="379"/>
      <c r="AH924" s="379"/>
      <c r="AI924" s="379"/>
    </row>
    <row r="925" customFormat="false" ht="12.75" hidden="false" customHeight="true" outlineLevel="0" collapsed="false">
      <c r="B925" s="361"/>
      <c r="C925" s="369"/>
      <c r="D925" s="362"/>
      <c r="E925" s="363"/>
      <c r="F925" s="364"/>
      <c r="G925" s="363"/>
      <c r="H925" s="363"/>
      <c r="I925" s="370"/>
      <c r="J925" s="363"/>
      <c r="K925" s="363"/>
      <c r="L925" s="363"/>
      <c r="M925" s="367"/>
      <c r="N925" s="10"/>
      <c r="O925" s="10"/>
      <c r="P925" s="10"/>
      <c r="Q925" s="10"/>
      <c r="R925" s="10"/>
      <c r="S925" s="10"/>
      <c r="T925" s="10"/>
      <c r="U925" s="10"/>
      <c r="V925" s="10"/>
      <c r="W925" s="10"/>
      <c r="X925" s="10"/>
      <c r="Y925" s="10"/>
      <c r="Z925" s="10"/>
      <c r="AA925" s="10"/>
      <c r="AB925" s="10"/>
      <c r="AC925" s="10"/>
      <c r="AD925" s="10"/>
      <c r="AE925" s="379"/>
      <c r="AF925" s="379"/>
      <c r="AG925" s="379"/>
      <c r="AH925" s="379"/>
      <c r="AI925" s="379"/>
    </row>
    <row r="926" customFormat="false" ht="12.75" hidden="false" customHeight="true" outlineLevel="0" collapsed="false">
      <c r="B926" s="361"/>
      <c r="C926" s="369"/>
      <c r="D926" s="362"/>
      <c r="E926" s="363"/>
      <c r="F926" s="364"/>
      <c r="G926" s="363"/>
      <c r="H926" s="363"/>
      <c r="I926" s="370"/>
      <c r="J926" s="363"/>
      <c r="K926" s="363"/>
      <c r="L926" s="363"/>
      <c r="M926" s="367"/>
      <c r="N926" s="10"/>
      <c r="O926" s="10"/>
      <c r="P926" s="10"/>
      <c r="Q926" s="10"/>
      <c r="R926" s="10"/>
      <c r="S926" s="10"/>
      <c r="T926" s="10"/>
      <c r="U926" s="10"/>
      <c r="V926" s="10"/>
      <c r="W926" s="10"/>
      <c r="X926" s="10"/>
      <c r="Y926" s="10"/>
      <c r="Z926" s="10"/>
      <c r="AA926" s="10"/>
      <c r="AB926" s="10"/>
      <c r="AC926" s="10"/>
      <c r="AD926" s="10"/>
      <c r="AE926" s="379"/>
      <c r="AF926" s="379"/>
      <c r="AG926" s="379"/>
      <c r="AH926" s="379"/>
      <c r="AI926" s="379"/>
    </row>
    <row r="927" customFormat="false" ht="12.75" hidden="false" customHeight="true" outlineLevel="0" collapsed="false">
      <c r="B927" s="361"/>
      <c r="C927" s="369"/>
      <c r="D927" s="362"/>
      <c r="E927" s="363"/>
      <c r="F927" s="364"/>
      <c r="G927" s="363"/>
      <c r="H927" s="363"/>
      <c r="I927" s="370"/>
      <c r="J927" s="363"/>
      <c r="K927" s="363"/>
      <c r="L927" s="363"/>
      <c r="M927" s="367"/>
      <c r="N927" s="10"/>
      <c r="O927" s="10"/>
      <c r="P927" s="10"/>
      <c r="Q927" s="10"/>
      <c r="R927" s="10"/>
      <c r="S927" s="10"/>
      <c r="T927" s="10"/>
      <c r="U927" s="10"/>
      <c r="V927" s="10"/>
      <c r="W927" s="10"/>
      <c r="X927" s="10"/>
      <c r="Y927" s="10"/>
      <c r="Z927" s="10"/>
      <c r="AA927" s="10"/>
      <c r="AB927" s="10"/>
      <c r="AC927" s="10"/>
      <c r="AD927" s="10"/>
      <c r="AE927" s="379"/>
      <c r="AF927" s="379"/>
      <c r="AG927" s="379"/>
      <c r="AH927" s="379"/>
      <c r="AI927" s="379"/>
    </row>
    <row r="928" customFormat="false" ht="12.75" hidden="false" customHeight="true" outlineLevel="0" collapsed="false">
      <c r="B928" s="361"/>
      <c r="C928" s="369"/>
      <c r="D928" s="362"/>
      <c r="E928" s="363"/>
      <c r="F928" s="364"/>
      <c r="G928" s="363"/>
      <c r="H928" s="363"/>
      <c r="I928" s="370"/>
      <c r="J928" s="363"/>
      <c r="K928" s="363"/>
      <c r="L928" s="363"/>
      <c r="M928" s="367"/>
      <c r="N928" s="10"/>
      <c r="O928" s="10"/>
      <c r="P928" s="10"/>
      <c r="Q928" s="10"/>
      <c r="R928" s="10"/>
      <c r="S928" s="10"/>
      <c r="T928" s="10"/>
      <c r="U928" s="10"/>
      <c r="V928" s="10"/>
      <c r="W928" s="10"/>
      <c r="X928" s="10"/>
      <c r="Y928" s="10"/>
      <c r="Z928" s="10"/>
      <c r="AA928" s="10"/>
      <c r="AB928" s="10"/>
      <c r="AC928" s="10"/>
      <c r="AD928" s="10"/>
      <c r="AE928" s="379"/>
      <c r="AF928" s="379"/>
      <c r="AG928" s="379"/>
      <c r="AH928" s="379"/>
      <c r="AI928" s="379"/>
    </row>
    <row r="929" customFormat="false" ht="12.75" hidden="false" customHeight="true" outlineLevel="0" collapsed="false">
      <c r="B929" s="361"/>
      <c r="C929" s="369"/>
      <c r="D929" s="362"/>
      <c r="E929" s="363"/>
      <c r="F929" s="364"/>
      <c r="G929" s="363"/>
      <c r="H929" s="363"/>
      <c r="I929" s="370"/>
      <c r="J929" s="363"/>
      <c r="K929" s="363"/>
      <c r="L929" s="363"/>
      <c r="M929" s="367"/>
      <c r="N929" s="10"/>
      <c r="O929" s="10"/>
      <c r="P929" s="10"/>
      <c r="Q929" s="10"/>
      <c r="R929" s="10"/>
      <c r="S929" s="10"/>
      <c r="T929" s="10"/>
      <c r="U929" s="10"/>
      <c r="V929" s="10"/>
      <c r="W929" s="10"/>
      <c r="X929" s="10"/>
      <c r="Y929" s="10"/>
      <c r="Z929" s="10"/>
      <c r="AA929" s="10"/>
      <c r="AB929" s="10"/>
      <c r="AC929" s="10"/>
      <c r="AD929" s="10"/>
      <c r="AE929" s="379"/>
      <c r="AF929" s="379"/>
      <c r="AG929" s="379"/>
      <c r="AH929" s="379"/>
      <c r="AI929" s="379"/>
    </row>
    <row r="930" customFormat="false" ht="12.75" hidden="false" customHeight="true" outlineLevel="0" collapsed="false">
      <c r="B930" s="361"/>
      <c r="C930" s="369"/>
      <c r="D930" s="362"/>
      <c r="E930" s="363"/>
      <c r="F930" s="364"/>
      <c r="G930" s="363"/>
      <c r="H930" s="363"/>
      <c r="I930" s="370"/>
      <c r="J930" s="363"/>
      <c r="K930" s="363"/>
      <c r="L930" s="363"/>
      <c r="M930" s="367"/>
      <c r="N930" s="10"/>
      <c r="O930" s="10"/>
      <c r="P930" s="10"/>
      <c r="Q930" s="10"/>
      <c r="R930" s="10"/>
      <c r="S930" s="10"/>
      <c r="T930" s="10"/>
      <c r="U930" s="10"/>
      <c r="V930" s="10"/>
      <c r="W930" s="10"/>
      <c r="X930" s="10"/>
      <c r="Y930" s="10"/>
      <c r="Z930" s="10"/>
      <c r="AA930" s="10"/>
      <c r="AB930" s="10"/>
      <c r="AC930" s="10"/>
      <c r="AD930" s="10"/>
      <c r="AE930" s="379"/>
      <c r="AF930" s="379"/>
      <c r="AG930" s="379"/>
      <c r="AH930" s="379"/>
      <c r="AI930" s="379"/>
    </row>
    <row r="931" customFormat="false" ht="12.75" hidden="false" customHeight="true" outlineLevel="0" collapsed="false">
      <c r="B931" s="361"/>
      <c r="C931" s="369"/>
      <c r="D931" s="362"/>
      <c r="E931" s="363"/>
      <c r="F931" s="364"/>
      <c r="G931" s="363"/>
      <c r="H931" s="363"/>
      <c r="I931" s="370"/>
      <c r="J931" s="363"/>
      <c r="K931" s="363"/>
      <c r="L931" s="363"/>
      <c r="M931" s="367"/>
      <c r="N931" s="10"/>
      <c r="O931" s="10"/>
      <c r="P931" s="10"/>
      <c r="Q931" s="10"/>
      <c r="R931" s="10"/>
      <c r="S931" s="10"/>
      <c r="T931" s="10"/>
      <c r="U931" s="10"/>
      <c r="V931" s="10"/>
      <c r="W931" s="10"/>
      <c r="X931" s="10"/>
      <c r="Y931" s="10"/>
      <c r="Z931" s="10"/>
      <c r="AA931" s="10"/>
      <c r="AB931" s="10"/>
      <c r="AC931" s="10"/>
      <c r="AD931" s="10"/>
      <c r="AE931" s="379"/>
      <c r="AF931" s="379"/>
      <c r="AG931" s="379"/>
      <c r="AH931" s="379"/>
      <c r="AI931" s="379"/>
    </row>
    <row r="932" customFormat="false" ht="12.75" hidden="false" customHeight="true" outlineLevel="0" collapsed="false">
      <c r="B932" s="361"/>
      <c r="C932" s="369"/>
      <c r="D932" s="362"/>
      <c r="E932" s="363"/>
      <c r="F932" s="364"/>
      <c r="G932" s="363"/>
      <c r="H932" s="363"/>
      <c r="I932" s="370"/>
      <c r="J932" s="363"/>
      <c r="K932" s="363"/>
      <c r="L932" s="363"/>
      <c r="M932" s="367"/>
      <c r="N932" s="10"/>
      <c r="O932" s="10"/>
      <c r="P932" s="10"/>
      <c r="Q932" s="10"/>
      <c r="R932" s="10"/>
      <c r="S932" s="10"/>
      <c r="T932" s="10"/>
      <c r="U932" s="10"/>
      <c r="V932" s="10"/>
      <c r="W932" s="10"/>
      <c r="X932" s="10"/>
      <c r="Y932" s="10"/>
      <c r="Z932" s="10"/>
      <c r="AA932" s="10"/>
      <c r="AB932" s="10"/>
      <c r="AC932" s="10"/>
      <c r="AD932" s="10"/>
      <c r="AE932" s="379"/>
      <c r="AF932" s="379"/>
      <c r="AG932" s="379"/>
      <c r="AH932" s="379"/>
      <c r="AI932" s="379"/>
    </row>
    <row r="933" customFormat="false" ht="12.75" hidden="false" customHeight="true" outlineLevel="0" collapsed="false">
      <c r="B933" s="361"/>
      <c r="C933" s="369"/>
      <c r="D933" s="362"/>
      <c r="E933" s="363"/>
      <c r="F933" s="364"/>
      <c r="G933" s="363"/>
      <c r="H933" s="363"/>
      <c r="I933" s="370"/>
      <c r="J933" s="363"/>
      <c r="K933" s="363"/>
      <c r="L933" s="363"/>
      <c r="M933" s="367"/>
      <c r="N933" s="10"/>
      <c r="O933" s="10"/>
      <c r="P933" s="10"/>
      <c r="Q933" s="10"/>
      <c r="R933" s="10"/>
      <c r="S933" s="10"/>
      <c r="T933" s="10"/>
      <c r="U933" s="10"/>
      <c r="V933" s="10"/>
      <c r="W933" s="10"/>
      <c r="X933" s="10"/>
      <c r="Y933" s="10"/>
      <c r="Z933" s="10"/>
      <c r="AA933" s="10"/>
      <c r="AB933" s="10"/>
      <c r="AC933" s="10"/>
      <c r="AD933" s="10"/>
      <c r="AE933" s="379"/>
      <c r="AF933" s="379"/>
      <c r="AG933" s="379"/>
      <c r="AH933" s="379"/>
      <c r="AI933" s="379"/>
    </row>
    <row r="934" customFormat="false" ht="12.75" hidden="false" customHeight="true" outlineLevel="0" collapsed="false">
      <c r="B934" s="361"/>
      <c r="C934" s="369"/>
      <c r="D934" s="362"/>
      <c r="E934" s="363"/>
      <c r="F934" s="364"/>
      <c r="G934" s="363"/>
      <c r="H934" s="363"/>
      <c r="I934" s="370"/>
      <c r="J934" s="363"/>
      <c r="K934" s="363"/>
      <c r="L934" s="363"/>
      <c r="M934" s="367"/>
      <c r="N934" s="10"/>
      <c r="O934" s="10"/>
      <c r="P934" s="10"/>
      <c r="Q934" s="10"/>
      <c r="R934" s="10"/>
      <c r="S934" s="10"/>
      <c r="T934" s="10"/>
      <c r="U934" s="10"/>
      <c r="V934" s="10"/>
      <c r="W934" s="10"/>
      <c r="X934" s="10"/>
      <c r="Y934" s="10"/>
      <c r="Z934" s="10"/>
      <c r="AA934" s="10"/>
      <c r="AB934" s="10"/>
      <c r="AC934" s="10"/>
      <c r="AD934" s="10"/>
      <c r="AE934" s="379"/>
      <c r="AF934" s="379"/>
      <c r="AG934" s="379"/>
      <c r="AH934" s="379"/>
      <c r="AI934" s="379"/>
    </row>
    <row r="935" customFormat="false" ht="12.75" hidden="false" customHeight="true" outlineLevel="0" collapsed="false">
      <c r="B935" s="361"/>
      <c r="C935" s="369"/>
      <c r="D935" s="362"/>
      <c r="E935" s="363"/>
      <c r="F935" s="364"/>
      <c r="G935" s="363"/>
      <c r="H935" s="363"/>
      <c r="I935" s="370"/>
      <c r="J935" s="363"/>
      <c r="K935" s="363"/>
      <c r="L935" s="363"/>
      <c r="M935" s="367"/>
      <c r="N935" s="10"/>
      <c r="O935" s="10"/>
      <c r="P935" s="10"/>
      <c r="Q935" s="10"/>
      <c r="R935" s="10"/>
      <c r="S935" s="10"/>
      <c r="T935" s="10"/>
      <c r="U935" s="10"/>
      <c r="V935" s="10"/>
      <c r="W935" s="10"/>
      <c r="X935" s="10"/>
      <c r="Y935" s="10"/>
      <c r="Z935" s="10"/>
      <c r="AA935" s="10"/>
      <c r="AB935" s="10"/>
      <c r="AC935" s="10"/>
      <c r="AD935" s="10"/>
      <c r="AE935" s="379"/>
      <c r="AF935" s="379"/>
      <c r="AG935" s="379"/>
      <c r="AH935" s="379"/>
      <c r="AI935" s="379"/>
    </row>
    <row r="936" customFormat="false" ht="12.75" hidden="false" customHeight="true" outlineLevel="0" collapsed="false">
      <c r="B936" s="361"/>
      <c r="C936" s="369"/>
      <c r="D936" s="362"/>
      <c r="E936" s="363"/>
      <c r="F936" s="364"/>
      <c r="G936" s="363"/>
      <c r="H936" s="363"/>
      <c r="I936" s="370"/>
      <c r="J936" s="363"/>
      <c r="K936" s="363"/>
      <c r="L936" s="363"/>
      <c r="M936" s="367"/>
      <c r="N936" s="10"/>
      <c r="O936" s="10"/>
      <c r="P936" s="10"/>
      <c r="Q936" s="10"/>
      <c r="R936" s="10"/>
      <c r="S936" s="10"/>
      <c r="T936" s="10"/>
      <c r="U936" s="10"/>
      <c r="V936" s="10"/>
      <c r="W936" s="10"/>
      <c r="X936" s="10"/>
      <c r="Y936" s="10"/>
      <c r="Z936" s="10"/>
      <c r="AA936" s="10"/>
      <c r="AB936" s="10"/>
      <c r="AC936" s="10"/>
      <c r="AD936" s="10"/>
      <c r="AE936" s="379"/>
      <c r="AF936" s="379"/>
      <c r="AG936" s="379"/>
      <c r="AH936" s="379"/>
      <c r="AI936" s="379"/>
    </row>
    <row r="937" customFormat="false" ht="12.75" hidden="false" customHeight="true" outlineLevel="0" collapsed="false">
      <c r="B937" s="361"/>
      <c r="C937" s="369"/>
      <c r="D937" s="362"/>
      <c r="E937" s="363"/>
      <c r="F937" s="364"/>
      <c r="G937" s="363"/>
      <c r="H937" s="363"/>
      <c r="I937" s="370"/>
      <c r="J937" s="363"/>
      <c r="K937" s="363"/>
      <c r="L937" s="363"/>
      <c r="M937" s="367"/>
      <c r="N937" s="10"/>
      <c r="O937" s="10"/>
      <c r="P937" s="10"/>
      <c r="Q937" s="10"/>
      <c r="R937" s="10"/>
      <c r="S937" s="10"/>
      <c r="T937" s="10"/>
      <c r="U937" s="10"/>
      <c r="V937" s="10"/>
      <c r="W937" s="10"/>
      <c r="X937" s="10"/>
      <c r="Y937" s="10"/>
      <c r="Z937" s="10"/>
      <c r="AA937" s="10"/>
      <c r="AB937" s="10"/>
      <c r="AC937" s="10"/>
      <c r="AD937" s="10"/>
      <c r="AE937" s="379"/>
      <c r="AF937" s="379"/>
      <c r="AG937" s="379"/>
      <c r="AH937" s="379"/>
      <c r="AI937" s="379"/>
    </row>
    <row r="938" customFormat="false" ht="12.75" hidden="false" customHeight="true" outlineLevel="0" collapsed="false">
      <c r="B938" s="361"/>
      <c r="C938" s="369"/>
      <c r="D938" s="362"/>
      <c r="E938" s="363"/>
      <c r="F938" s="364"/>
      <c r="G938" s="363"/>
      <c r="H938" s="363"/>
      <c r="I938" s="370"/>
      <c r="J938" s="363"/>
      <c r="K938" s="363"/>
      <c r="L938" s="363"/>
      <c r="M938" s="367"/>
      <c r="N938" s="10"/>
      <c r="O938" s="10"/>
      <c r="P938" s="10"/>
      <c r="Q938" s="10"/>
      <c r="R938" s="10"/>
      <c r="S938" s="10"/>
      <c r="T938" s="10"/>
      <c r="U938" s="10"/>
      <c r="V938" s="10"/>
      <c r="W938" s="10"/>
      <c r="X938" s="10"/>
      <c r="Y938" s="10"/>
      <c r="Z938" s="10"/>
      <c r="AA938" s="10"/>
      <c r="AB938" s="10"/>
      <c r="AC938" s="10"/>
      <c r="AD938" s="10"/>
      <c r="AE938" s="379"/>
      <c r="AF938" s="379"/>
      <c r="AG938" s="379"/>
      <c r="AH938" s="379"/>
      <c r="AI938" s="379"/>
    </row>
    <row r="939" customFormat="false" ht="12.75" hidden="false" customHeight="true" outlineLevel="0" collapsed="false">
      <c r="B939" s="361"/>
      <c r="C939" s="369"/>
      <c r="D939" s="362"/>
      <c r="E939" s="363"/>
      <c r="F939" s="364"/>
      <c r="G939" s="363"/>
      <c r="H939" s="363"/>
      <c r="I939" s="370"/>
      <c r="J939" s="363"/>
      <c r="K939" s="363"/>
      <c r="L939" s="363"/>
      <c r="M939" s="367"/>
      <c r="N939" s="10"/>
      <c r="O939" s="10"/>
      <c r="P939" s="10"/>
      <c r="Q939" s="10"/>
      <c r="R939" s="10"/>
      <c r="S939" s="10"/>
      <c r="T939" s="10"/>
      <c r="U939" s="10"/>
      <c r="V939" s="10"/>
      <c r="W939" s="10"/>
      <c r="X939" s="10"/>
      <c r="Y939" s="10"/>
      <c r="Z939" s="10"/>
      <c r="AA939" s="10"/>
      <c r="AB939" s="10"/>
      <c r="AC939" s="10"/>
      <c r="AD939" s="10"/>
      <c r="AE939" s="379"/>
      <c r="AF939" s="379"/>
      <c r="AG939" s="379"/>
      <c r="AH939" s="379"/>
      <c r="AI939" s="379"/>
    </row>
    <row r="940" customFormat="false" ht="12.75" hidden="false" customHeight="true" outlineLevel="0" collapsed="false">
      <c r="B940" s="361"/>
      <c r="C940" s="369"/>
      <c r="D940" s="362"/>
      <c r="E940" s="363"/>
      <c r="F940" s="364"/>
      <c r="G940" s="363"/>
      <c r="H940" s="363"/>
      <c r="I940" s="370"/>
      <c r="J940" s="363"/>
      <c r="K940" s="363"/>
      <c r="L940" s="363"/>
      <c r="M940" s="367"/>
      <c r="N940" s="10"/>
      <c r="O940" s="10"/>
      <c r="P940" s="10"/>
      <c r="Q940" s="10"/>
      <c r="R940" s="10"/>
      <c r="S940" s="10"/>
      <c r="T940" s="10"/>
      <c r="U940" s="10"/>
      <c r="V940" s="10"/>
      <c r="W940" s="10"/>
      <c r="X940" s="10"/>
      <c r="Y940" s="10"/>
      <c r="Z940" s="10"/>
      <c r="AA940" s="10"/>
      <c r="AB940" s="10"/>
      <c r="AC940" s="10"/>
      <c r="AD940" s="10"/>
      <c r="AE940" s="379"/>
      <c r="AF940" s="379"/>
      <c r="AG940" s="379"/>
      <c r="AH940" s="379"/>
      <c r="AI940" s="379"/>
    </row>
    <row r="941" customFormat="false" ht="12.75" hidden="false" customHeight="true" outlineLevel="0" collapsed="false">
      <c r="B941" s="361"/>
      <c r="C941" s="369"/>
      <c r="D941" s="362"/>
      <c r="E941" s="363"/>
      <c r="F941" s="364"/>
      <c r="G941" s="363"/>
      <c r="H941" s="363"/>
      <c r="I941" s="370"/>
      <c r="J941" s="363"/>
      <c r="K941" s="363"/>
      <c r="L941" s="363"/>
      <c r="M941" s="367"/>
      <c r="N941" s="10"/>
      <c r="O941" s="10"/>
      <c r="P941" s="10"/>
      <c r="Q941" s="10"/>
      <c r="R941" s="10"/>
      <c r="S941" s="10"/>
      <c r="T941" s="10"/>
      <c r="U941" s="10"/>
      <c r="V941" s="10"/>
      <c r="W941" s="10"/>
      <c r="X941" s="10"/>
      <c r="Y941" s="10"/>
      <c r="Z941" s="10"/>
      <c r="AA941" s="10"/>
      <c r="AB941" s="10"/>
      <c r="AC941" s="10"/>
      <c r="AD941" s="10"/>
      <c r="AE941" s="379"/>
      <c r="AF941" s="379"/>
      <c r="AG941" s="379"/>
      <c r="AH941" s="379"/>
      <c r="AI941" s="379"/>
    </row>
    <row r="942" customFormat="false" ht="12.75" hidden="false" customHeight="true" outlineLevel="0" collapsed="false">
      <c r="B942" s="361"/>
      <c r="C942" s="362"/>
      <c r="D942" s="362"/>
      <c r="E942" s="363"/>
      <c r="F942" s="374"/>
      <c r="G942" s="363"/>
      <c r="H942" s="363"/>
      <c r="I942" s="363"/>
      <c r="J942" s="363"/>
      <c r="K942" s="363"/>
      <c r="L942" s="363"/>
      <c r="M942" s="367"/>
      <c r="N942" s="10"/>
      <c r="O942" s="10"/>
      <c r="P942" s="10"/>
      <c r="Q942" s="10"/>
      <c r="R942" s="10"/>
      <c r="S942" s="10"/>
      <c r="T942" s="10"/>
      <c r="U942" s="10"/>
      <c r="V942" s="10"/>
      <c r="W942" s="10"/>
      <c r="X942" s="10"/>
      <c r="Y942" s="10"/>
      <c r="Z942" s="10"/>
      <c r="AA942" s="10"/>
      <c r="AB942" s="10"/>
      <c r="AC942" s="10"/>
      <c r="AD942" s="10"/>
      <c r="AE942" s="379"/>
      <c r="AF942" s="379"/>
      <c r="AG942" s="379"/>
      <c r="AH942" s="379"/>
      <c r="AI942" s="379"/>
    </row>
    <row r="943" customFormat="false" ht="12.75" hidden="false" customHeight="true" outlineLevel="0" collapsed="false">
      <c r="B943" s="361"/>
      <c r="C943" s="362"/>
      <c r="D943" s="362"/>
      <c r="E943" s="363"/>
      <c r="F943" s="374"/>
      <c r="G943" s="363"/>
      <c r="H943" s="363"/>
      <c r="I943" s="363"/>
      <c r="J943" s="363"/>
      <c r="K943" s="363"/>
      <c r="L943" s="363"/>
      <c r="M943" s="367"/>
      <c r="N943" s="10"/>
      <c r="O943" s="10"/>
      <c r="P943" s="10"/>
      <c r="Q943" s="10"/>
      <c r="R943" s="10"/>
      <c r="S943" s="10"/>
      <c r="T943" s="10"/>
      <c r="U943" s="10"/>
      <c r="V943" s="10"/>
      <c r="W943" s="10"/>
      <c r="X943" s="10"/>
      <c r="Y943" s="10"/>
      <c r="Z943" s="10"/>
      <c r="AA943" s="10"/>
      <c r="AB943" s="10"/>
      <c r="AC943" s="10"/>
      <c r="AD943" s="10"/>
      <c r="AE943" s="379"/>
      <c r="AF943" s="379"/>
      <c r="AG943" s="379"/>
      <c r="AH943" s="379"/>
      <c r="AI943" s="379"/>
    </row>
    <row r="944" customFormat="false" ht="12.75" hidden="false" customHeight="true" outlineLevel="0" collapsed="false">
      <c r="B944" s="368"/>
      <c r="C944" s="362"/>
      <c r="D944" s="362"/>
      <c r="E944" s="363"/>
      <c r="F944" s="374"/>
      <c r="G944" s="363"/>
      <c r="H944" s="363"/>
      <c r="I944" s="363"/>
      <c r="J944" s="363"/>
      <c r="K944" s="363"/>
      <c r="L944" s="363"/>
      <c r="M944" s="367"/>
      <c r="N944" s="10"/>
      <c r="O944" s="10"/>
      <c r="P944" s="10"/>
      <c r="Q944" s="10"/>
      <c r="R944" s="10"/>
      <c r="S944" s="10"/>
      <c r="T944" s="10"/>
      <c r="U944" s="10"/>
      <c r="V944" s="10"/>
      <c r="W944" s="10"/>
      <c r="X944" s="10"/>
      <c r="Y944" s="10"/>
      <c r="Z944" s="10"/>
      <c r="AA944" s="10"/>
      <c r="AB944" s="10"/>
      <c r="AC944" s="10"/>
      <c r="AD944" s="10"/>
      <c r="AE944" s="379"/>
      <c r="AF944" s="379"/>
      <c r="AG944" s="379"/>
      <c r="AH944" s="379"/>
      <c r="AI944" s="379"/>
    </row>
    <row r="945" customFormat="false" ht="12.75" hidden="false" customHeight="true" outlineLevel="0" collapsed="false">
      <c r="B945" s="361"/>
      <c r="C945" s="362"/>
      <c r="D945" s="362"/>
      <c r="E945" s="363"/>
      <c r="F945" s="374"/>
      <c r="G945" s="363"/>
      <c r="H945" s="363"/>
      <c r="I945" s="363"/>
      <c r="J945" s="363"/>
      <c r="K945" s="363"/>
      <c r="L945" s="363"/>
      <c r="M945" s="367"/>
      <c r="N945" s="10"/>
      <c r="O945" s="10"/>
      <c r="P945" s="10"/>
      <c r="Q945" s="10"/>
      <c r="R945" s="10"/>
      <c r="S945" s="10"/>
      <c r="T945" s="10"/>
      <c r="U945" s="10"/>
      <c r="V945" s="10"/>
      <c r="W945" s="10"/>
      <c r="X945" s="10"/>
      <c r="Y945" s="10"/>
      <c r="Z945" s="10"/>
      <c r="AA945" s="10"/>
      <c r="AB945" s="10"/>
      <c r="AC945" s="10"/>
      <c r="AD945" s="10"/>
      <c r="AE945" s="379"/>
      <c r="AF945" s="379"/>
      <c r="AG945" s="379"/>
      <c r="AH945" s="379"/>
      <c r="AI945" s="379"/>
    </row>
    <row r="946" customFormat="false" ht="12.75" hidden="false" customHeight="true" outlineLevel="0" collapsed="false">
      <c r="B946" s="361"/>
      <c r="C946" s="362"/>
      <c r="D946" s="362"/>
      <c r="E946" s="363"/>
      <c r="F946" s="374"/>
      <c r="G946" s="363"/>
      <c r="H946" s="363"/>
      <c r="I946" s="363"/>
      <c r="J946" s="363"/>
      <c r="K946" s="363"/>
      <c r="L946" s="363"/>
      <c r="M946" s="367"/>
      <c r="N946" s="10"/>
      <c r="O946" s="10"/>
      <c r="P946" s="10"/>
      <c r="Q946" s="10"/>
      <c r="R946" s="10"/>
      <c r="S946" s="10"/>
      <c r="T946" s="10"/>
      <c r="U946" s="10"/>
      <c r="V946" s="10"/>
      <c r="W946" s="10"/>
      <c r="X946" s="10"/>
      <c r="Y946" s="10"/>
      <c r="Z946" s="10"/>
      <c r="AA946" s="10"/>
      <c r="AB946" s="10"/>
      <c r="AC946" s="10"/>
      <c r="AD946" s="10"/>
      <c r="AE946" s="379"/>
      <c r="AF946" s="379"/>
      <c r="AG946" s="379"/>
      <c r="AH946" s="379"/>
      <c r="AI946" s="379"/>
    </row>
    <row r="947" customFormat="false" ht="12.75" hidden="false" customHeight="true" outlineLevel="0" collapsed="false">
      <c r="B947" s="368"/>
      <c r="C947" s="362"/>
      <c r="D947" s="362"/>
      <c r="E947" s="363"/>
      <c r="F947" s="374"/>
      <c r="G947" s="363"/>
      <c r="H947" s="363"/>
      <c r="I947" s="363"/>
      <c r="J947" s="363"/>
      <c r="K947" s="363"/>
      <c r="L947" s="363"/>
      <c r="M947" s="367"/>
      <c r="N947" s="10"/>
      <c r="O947" s="10"/>
      <c r="P947" s="10"/>
      <c r="Q947" s="10"/>
      <c r="R947" s="10"/>
      <c r="S947" s="10"/>
      <c r="T947" s="10"/>
      <c r="U947" s="10"/>
      <c r="V947" s="10"/>
      <c r="W947" s="10"/>
      <c r="X947" s="10"/>
      <c r="Y947" s="10"/>
      <c r="Z947" s="10"/>
      <c r="AA947" s="10"/>
      <c r="AB947" s="10"/>
      <c r="AC947" s="10"/>
      <c r="AD947" s="10"/>
      <c r="AE947" s="379"/>
      <c r="AF947" s="379"/>
      <c r="AG947" s="379"/>
      <c r="AH947" s="379"/>
      <c r="AI947" s="379"/>
    </row>
    <row r="948" customFormat="false" ht="12.75" hidden="false" customHeight="true" outlineLevel="0" collapsed="false">
      <c r="B948" s="361"/>
      <c r="C948" s="362"/>
      <c r="D948" s="362"/>
      <c r="E948" s="363"/>
      <c r="F948" s="374"/>
      <c r="G948" s="363"/>
      <c r="H948" s="363"/>
      <c r="I948" s="363"/>
      <c r="J948" s="363"/>
      <c r="K948" s="363"/>
      <c r="L948" s="363"/>
      <c r="M948" s="367"/>
      <c r="N948" s="10"/>
      <c r="O948" s="10"/>
      <c r="P948" s="10"/>
      <c r="Q948" s="10"/>
      <c r="R948" s="10"/>
      <c r="S948" s="10"/>
      <c r="T948" s="10"/>
      <c r="U948" s="10"/>
      <c r="V948" s="10"/>
      <c r="W948" s="10"/>
      <c r="X948" s="10"/>
      <c r="Y948" s="10"/>
      <c r="Z948" s="10"/>
      <c r="AA948" s="10"/>
      <c r="AB948" s="10"/>
      <c r="AC948" s="10"/>
      <c r="AD948" s="10"/>
      <c r="AE948" s="379"/>
      <c r="AF948" s="379"/>
      <c r="AG948" s="379"/>
      <c r="AH948" s="379"/>
      <c r="AI948" s="379"/>
    </row>
    <row r="949" customFormat="false" ht="12.75" hidden="false" customHeight="true" outlineLevel="0" collapsed="false">
      <c r="B949" s="361"/>
      <c r="C949" s="362"/>
      <c r="D949" s="362"/>
      <c r="E949" s="363"/>
      <c r="F949" s="374"/>
      <c r="G949" s="363"/>
      <c r="H949" s="363"/>
      <c r="I949" s="363"/>
      <c r="J949" s="363"/>
      <c r="K949" s="363"/>
      <c r="L949" s="363"/>
      <c r="M949" s="367"/>
      <c r="N949" s="10"/>
      <c r="O949" s="10"/>
      <c r="P949" s="10"/>
      <c r="Q949" s="10"/>
      <c r="R949" s="10"/>
      <c r="S949" s="10"/>
      <c r="T949" s="10"/>
      <c r="U949" s="10"/>
      <c r="V949" s="10"/>
      <c r="W949" s="10"/>
      <c r="X949" s="10"/>
      <c r="Y949" s="10"/>
      <c r="Z949" s="10"/>
      <c r="AA949" s="10"/>
      <c r="AB949" s="10"/>
      <c r="AC949" s="10"/>
      <c r="AD949" s="10"/>
      <c r="AE949" s="379"/>
      <c r="AF949" s="379"/>
      <c r="AG949" s="379"/>
      <c r="AH949" s="379"/>
      <c r="AI949" s="379"/>
    </row>
    <row r="950" customFormat="false" ht="12.75" hidden="false" customHeight="true" outlineLevel="0" collapsed="false">
      <c r="B950" s="368"/>
      <c r="C950" s="362"/>
      <c r="D950" s="362"/>
      <c r="E950" s="363"/>
      <c r="F950" s="374"/>
      <c r="G950" s="363"/>
      <c r="H950" s="363"/>
      <c r="I950" s="363"/>
      <c r="J950" s="363"/>
      <c r="K950" s="363"/>
      <c r="L950" s="363"/>
      <c r="M950" s="367"/>
      <c r="N950" s="10"/>
      <c r="O950" s="10"/>
      <c r="P950" s="10"/>
      <c r="Q950" s="10"/>
      <c r="R950" s="10"/>
      <c r="S950" s="10"/>
      <c r="T950" s="10"/>
      <c r="U950" s="10"/>
      <c r="V950" s="10"/>
      <c r="W950" s="10"/>
      <c r="X950" s="10"/>
      <c r="Y950" s="10"/>
      <c r="Z950" s="10"/>
      <c r="AA950" s="10"/>
      <c r="AB950" s="10"/>
      <c r="AC950" s="10"/>
      <c r="AD950" s="10"/>
      <c r="AE950" s="379"/>
      <c r="AF950" s="379"/>
      <c r="AG950" s="379"/>
      <c r="AH950" s="379"/>
      <c r="AI950" s="379"/>
    </row>
    <row r="951" customFormat="false" ht="12.75" hidden="false" customHeight="true" outlineLevel="0" collapsed="false">
      <c r="B951" s="361"/>
      <c r="C951" s="362"/>
      <c r="D951" s="362"/>
      <c r="E951" s="363"/>
      <c r="F951" s="374"/>
      <c r="G951" s="363"/>
      <c r="H951" s="363"/>
      <c r="I951" s="363"/>
      <c r="J951" s="363"/>
      <c r="K951" s="363"/>
      <c r="L951" s="363"/>
      <c r="M951" s="367"/>
      <c r="N951" s="10"/>
      <c r="O951" s="10"/>
      <c r="P951" s="10"/>
      <c r="Q951" s="10"/>
      <c r="R951" s="10"/>
      <c r="S951" s="10"/>
      <c r="T951" s="10"/>
      <c r="U951" s="10"/>
      <c r="V951" s="10"/>
      <c r="W951" s="10"/>
      <c r="X951" s="10"/>
      <c r="Y951" s="10"/>
      <c r="Z951" s="10"/>
      <c r="AA951" s="10"/>
      <c r="AB951" s="10"/>
      <c r="AC951" s="10"/>
      <c r="AD951" s="10"/>
      <c r="AE951" s="379"/>
      <c r="AF951" s="379"/>
      <c r="AG951" s="379"/>
      <c r="AH951" s="379"/>
      <c r="AI951" s="379"/>
    </row>
    <row r="952" customFormat="false" ht="12.75" hidden="false" customHeight="true" outlineLevel="0" collapsed="false">
      <c r="B952" s="361"/>
      <c r="C952" s="369"/>
      <c r="D952" s="369"/>
      <c r="E952" s="370"/>
      <c r="F952" s="375"/>
      <c r="G952" s="370"/>
      <c r="H952" s="370"/>
      <c r="I952" s="370"/>
      <c r="J952" s="370"/>
      <c r="K952" s="370"/>
      <c r="L952" s="370"/>
      <c r="M952" s="367"/>
      <c r="N952" s="10"/>
      <c r="O952" s="10"/>
      <c r="P952" s="10"/>
      <c r="Q952" s="10"/>
      <c r="R952" s="10"/>
      <c r="S952" s="10"/>
      <c r="T952" s="10"/>
      <c r="U952" s="10"/>
      <c r="V952" s="10"/>
      <c r="W952" s="10"/>
      <c r="X952" s="10"/>
      <c r="Y952" s="10"/>
      <c r="Z952" s="10"/>
      <c r="AA952" s="10"/>
      <c r="AB952" s="10"/>
      <c r="AC952" s="10"/>
      <c r="AD952" s="10"/>
      <c r="AE952" s="379"/>
      <c r="AF952" s="379"/>
      <c r="AG952" s="379"/>
      <c r="AH952" s="379"/>
      <c r="AI952" s="379"/>
    </row>
    <row r="953" customFormat="false" ht="12.75" hidden="false" customHeight="true" outlineLevel="0" collapsed="false">
      <c r="B953" s="361"/>
      <c r="C953" s="369"/>
      <c r="D953" s="362"/>
      <c r="E953" s="363"/>
      <c r="F953" s="364"/>
      <c r="G953" s="363"/>
      <c r="H953" s="363"/>
      <c r="I953" s="370"/>
      <c r="J953" s="363"/>
      <c r="K953" s="370"/>
      <c r="L953" s="363"/>
      <c r="M953" s="367"/>
      <c r="N953" s="10"/>
      <c r="O953" s="10"/>
      <c r="P953" s="10"/>
      <c r="Q953" s="10"/>
      <c r="R953" s="10"/>
      <c r="S953" s="10"/>
      <c r="T953" s="10"/>
      <c r="U953" s="10"/>
      <c r="V953" s="10"/>
      <c r="W953" s="10"/>
      <c r="X953" s="10"/>
      <c r="Y953" s="10"/>
      <c r="Z953" s="10"/>
      <c r="AA953" s="10"/>
      <c r="AB953" s="10"/>
      <c r="AC953" s="10"/>
      <c r="AD953" s="10"/>
      <c r="AE953" s="379"/>
      <c r="AF953" s="379"/>
      <c r="AG953" s="379"/>
      <c r="AH953" s="379"/>
      <c r="AI953" s="379"/>
    </row>
    <row r="954" customFormat="false" ht="12.75" hidden="false" customHeight="true" outlineLevel="0" collapsed="false">
      <c r="B954" s="361"/>
      <c r="C954" s="369"/>
      <c r="D954" s="362"/>
      <c r="E954" s="363"/>
      <c r="F954" s="364"/>
      <c r="G954" s="363"/>
      <c r="H954" s="363"/>
      <c r="I954" s="370"/>
      <c r="J954" s="363"/>
      <c r="K954" s="363"/>
      <c r="L954" s="363"/>
      <c r="M954" s="367"/>
      <c r="N954" s="10"/>
      <c r="O954" s="10"/>
      <c r="P954" s="10"/>
      <c r="Q954" s="10"/>
      <c r="R954" s="10"/>
      <c r="S954" s="10"/>
      <c r="T954" s="10"/>
      <c r="U954" s="10"/>
      <c r="V954" s="10"/>
      <c r="W954" s="10"/>
      <c r="X954" s="10"/>
      <c r="Y954" s="10"/>
      <c r="Z954" s="10"/>
      <c r="AA954" s="10"/>
      <c r="AB954" s="10"/>
      <c r="AC954" s="10"/>
      <c r="AD954" s="10"/>
      <c r="AE954" s="379"/>
      <c r="AF954" s="379"/>
      <c r="AG954" s="379"/>
      <c r="AH954" s="379"/>
      <c r="AI954" s="379"/>
    </row>
    <row r="955" customFormat="false" ht="12.75" hidden="false" customHeight="true" outlineLevel="0" collapsed="false">
      <c r="B955" s="361"/>
      <c r="C955" s="369"/>
      <c r="D955" s="362"/>
      <c r="E955" s="363"/>
      <c r="F955" s="364"/>
      <c r="G955" s="363"/>
      <c r="H955" s="363"/>
      <c r="I955" s="370"/>
      <c r="J955" s="363"/>
      <c r="K955" s="363"/>
      <c r="L955" s="363"/>
      <c r="M955" s="367"/>
      <c r="N955" s="10"/>
      <c r="O955" s="10"/>
      <c r="P955" s="10"/>
      <c r="Q955" s="10"/>
      <c r="R955" s="10"/>
      <c r="S955" s="10"/>
      <c r="T955" s="10"/>
      <c r="U955" s="10"/>
      <c r="V955" s="10"/>
      <c r="W955" s="10"/>
      <c r="X955" s="10"/>
      <c r="Y955" s="10"/>
      <c r="Z955" s="10"/>
      <c r="AA955" s="10"/>
      <c r="AB955" s="10"/>
      <c r="AC955" s="10"/>
      <c r="AD955" s="10"/>
      <c r="AE955" s="379"/>
      <c r="AF955" s="379"/>
      <c r="AG955" s="379"/>
      <c r="AH955" s="379"/>
      <c r="AI955" s="379"/>
    </row>
    <row r="956" customFormat="false" ht="12.75" hidden="false" customHeight="true" outlineLevel="0" collapsed="false">
      <c r="B956" s="361"/>
      <c r="C956" s="369"/>
      <c r="D956" s="362"/>
      <c r="E956" s="363"/>
      <c r="F956" s="364"/>
      <c r="G956" s="363"/>
      <c r="H956" s="363"/>
      <c r="I956" s="370"/>
      <c r="J956" s="363"/>
      <c r="K956" s="363"/>
      <c r="L956" s="363"/>
      <c r="M956" s="367"/>
      <c r="N956" s="10"/>
      <c r="O956" s="10"/>
      <c r="P956" s="10"/>
      <c r="Q956" s="10"/>
      <c r="R956" s="10"/>
      <c r="S956" s="10"/>
      <c r="T956" s="10"/>
      <c r="U956" s="10"/>
      <c r="V956" s="10"/>
      <c r="W956" s="10"/>
      <c r="X956" s="10"/>
      <c r="Y956" s="10"/>
      <c r="Z956" s="10"/>
      <c r="AA956" s="10"/>
      <c r="AB956" s="10"/>
      <c r="AC956" s="10"/>
      <c r="AD956" s="10"/>
      <c r="AE956" s="379"/>
      <c r="AF956" s="379"/>
      <c r="AG956" s="379"/>
      <c r="AH956" s="379"/>
      <c r="AI956" s="379"/>
    </row>
    <row r="957" customFormat="false" ht="12.75" hidden="false" customHeight="true" outlineLevel="0" collapsed="false">
      <c r="B957" s="361"/>
      <c r="C957" s="369"/>
      <c r="D957" s="362"/>
      <c r="E957" s="363"/>
      <c r="F957" s="364"/>
      <c r="G957" s="363"/>
      <c r="H957" s="363"/>
      <c r="I957" s="370"/>
      <c r="J957" s="363"/>
      <c r="K957" s="363"/>
      <c r="L957" s="363"/>
      <c r="M957" s="367"/>
      <c r="N957" s="10"/>
      <c r="O957" s="10"/>
      <c r="P957" s="10"/>
      <c r="Q957" s="10"/>
      <c r="R957" s="10"/>
      <c r="S957" s="10"/>
      <c r="T957" s="10"/>
      <c r="U957" s="10"/>
      <c r="V957" s="10"/>
      <c r="W957" s="10"/>
      <c r="X957" s="10"/>
      <c r="Y957" s="10"/>
      <c r="Z957" s="10"/>
      <c r="AA957" s="10"/>
      <c r="AB957" s="10"/>
      <c r="AC957" s="10"/>
      <c r="AD957" s="10"/>
      <c r="AE957" s="379"/>
      <c r="AF957" s="379"/>
      <c r="AG957" s="379"/>
      <c r="AH957" s="379"/>
      <c r="AI957" s="379"/>
    </row>
    <row r="958" customFormat="false" ht="12.75" hidden="false" customHeight="true" outlineLevel="0" collapsed="false">
      <c r="B958" s="361"/>
      <c r="C958" s="369"/>
      <c r="D958" s="362"/>
      <c r="E958" s="363"/>
      <c r="F958" s="364"/>
      <c r="G958" s="363"/>
      <c r="H958" s="363"/>
      <c r="I958" s="370"/>
      <c r="J958" s="363"/>
      <c r="K958" s="363"/>
      <c r="L958" s="363"/>
      <c r="M958" s="367"/>
      <c r="N958" s="10"/>
      <c r="O958" s="10"/>
      <c r="P958" s="10"/>
      <c r="Q958" s="10"/>
      <c r="R958" s="10"/>
      <c r="S958" s="10"/>
      <c r="T958" s="10"/>
      <c r="U958" s="10"/>
      <c r="V958" s="10"/>
      <c r="W958" s="10"/>
      <c r="X958" s="10"/>
      <c r="Y958" s="10"/>
      <c r="Z958" s="10"/>
      <c r="AA958" s="10"/>
      <c r="AB958" s="10"/>
      <c r="AC958" s="10"/>
      <c r="AD958" s="10"/>
      <c r="AE958" s="379"/>
      <c r="AF958" s="379"/>
      <c r="AG958" s="379"/>
      <c r="AH958" s="379"/>
      <c r="AI958" s="379"/>
    </row>
    <row r="959" customFormat="false" ht="12.75" hidden="false" customHeight="true" outlineLevel="0" collapsed="false">
      <c r="B959" s="361"/>
      <c r="C959" s="369"/>
      <c r="D959" s="362"/>
      <c r="E959" s="363"/>
      <c r="F959" s="364"/>
      <c r="G959" s="363"/>
      <c r="H959" s="363"/>
      <c r="I959" s="370"/>
      <c r="J959" s="363"/>
      <c r="K959" s="363"/>
      <c r="L959" s="363"/>
      <c r="M959" s="367"/>
      <c r="N959" s="10"/>
      <c r="O959" s="10"/>
      <c r="P959" s="10"/>
      <c r="Q959" s="10"/>
      <c r="R959" s="10"/>
      <c r="S959" s="10"/>
      <c r="T959" s="10"/>
      <c r="U959" s="10"/>
      <c r="V959" s="10"/>
      <c r="W959" s="10"/>
      <c r="X959" s="10"/>
      <c r="Y959" s="10"/>
      <c r="Z959" s="10"/>
      <c r="AA959" s="10"/>
      <c r="AB959" s="10"/>
      <c r="AC959" s="10"/>
      <c r="AD959" s="10"/>
      <c r="AE959" s="379"/>
      <c r="AF959" s="379"/>
      <c r="AG959" s="379"/>
      <c r="AH959" s="379"/>
      <c r="AI959" s="379"/>
    </row>
    <row r="960" customFormat="false" ht="12.75" hidden="false" customHeight="true" outlineLevel="0" collapsed="false">
      <c r="B960" s="361"/>
      <c r="C960" s="369"/>
      <c r="D960" s="362"/>
      <c r="E960" s="363"/>
      <c r="F960" s="364"/>
      <c r="G960" s="363"/>
      <c r="H960" s="363"/>
      <c r="I960" s="370"/>
      <c r="J960" s="370"/>
      <c r="K960" s="363"/>
      <c r="L960" s="363"/>
      <c r="M960" s="367"/>
      <c r="N960" s="10"/>
      <c r="O960" s="10"/>
      <c r="P960" s="10"/>
      <c r="Q960" s="10"/>
      <c r="R960" s="10"/>
      <c r="S960" s="10"/>
      <c r="T960" s="10"/>
      <c r="U960" s="10"/>
      <c r="V960" s="10"/>
      <c r="W960" s="10"/>
      <c r="X960" s="10"/>
      <c r="Y960" s="10"/>
      <c r="Z960" s="10"/>
      <c r="AA960" s="10"/>
      <c r="AB960" s="10"/>
      <c r="AC960" s="10"/>
      <c r="AD960" s="10"/>
      <c r="AE960" s="379"/>
      <c r="AF960" s="379"/>
      <c r="AG960" s="379"/>
      <c r="AH960" s="379"/>
      <c r="AI960" s="379"/>
    </row>
    <row r="961" customFormat="false" ht="12.75" hidden="false" customHeight="true" outlineLevel="0" collapsed="false">
      <c r="B961" s="361"/>
      <c r="C961" s="369"/>
      <c r="D961" s="362"/>
      <c r="E961" s="363"/>
      <c r="F961" s="364"/>
      <c r="G961" s="363"/>
      <c r="H961" s="363"/>
      <c r="I961" s="370"/>
      <c r="J961" s="363"/>
      <c r="K961" s="363"/>
      <c r="L961" s="363"/>
      <c r="M961" s="367"/>
      <c r="N961" s="10"/>
      <c r="O961" s="10"/>
      <c r="P961" s="10"/>
      <c r="Q961" s="10"/>
      <c r="R961" s="10"/>
      <c r="S961" s="10"/>
      <c r="T961" s="10"/>
      <c r="U961" s="10"/>
      <c r="V961" s="10"/>
      <c r="W961" s="10"/>
      <c r="X961" s="10"/>
      <c r="Y961" s="10"/>
      <c r="Z961" s="10"/>
      <c r="AA961" s="10"/>
      <c r="AB961" s="10"/>
      <c r="AC961" s="10"/>
      <c r="AD961" s="10"/>
      <c r="AE961" s="379"/>
      <c r="AF961" s="379"/>
      <c r="AG961" s="379"/>
      <c r="AH961" s="379"/>
      <c r="AI961" s="379"/>
    </row>
    <row r="962" customFormat="false" ht="12.75" hidden="false" customHeight="true" outlineLevel="0" collapsed="false">
      <c r="B962" s="361"/>
      <c r="C962" s="369"/>
      <c r="D962" s="362"/>
      <c r="E962" s="363"/>
      <c r="F962" s="364"/>
      <c r="G962" s="363"/>
      <c r="H962" s="363"/>
      <c r="I962" s="370"/>
      <c r="J962" s="363"/>
      <c r="K962" s="363"/>
      <c r="L962" s="370"/>
      <c r="M962" s="367"/>
      <c r="N962" s="10"/>
      <c r="O962" s="10"/>
      <c r="P962" s="10"/>
      <c r="Q962" s="10"/>
      <c r="R962" s="10"/>
      <c r="S962" s="10"/>
      <c r="T962" s="10"/>
      <c r="U962" s="10"/>
      <c r="V962" s="10"/>
      <c r="W962" s="10"/>
      <c r="X962" s="10"/>
      <c r="Y962" s="10"/>
      <c r="Z962" s="10"/>
      <c r="AA962" s="10"/>
      <c r="AB962" s="10"/>
      <c r="AC962" s="10"/>
      <c r="AD962" s="10"/>
      <c r="AE962" s="379"/>
      <c r="AF962" s="379"/>
      <c r="AG962" s="379"/>
      <c r="AH962" s="379"/>
      <c r="AI962" s="379"/>
    </row>
    <row r="963" customFormat="false" ht="12.75" hidden="false" customHeight="true" outlineLevel="0" collapsed="false">
      <c r="B963" s="361"/>
      <c r="C963" s="369"/>
      <c r="D963" s="362"/>
      <c r="E963" s="363"/>
      <c r="F963" s="364"/>
      <c r="G963" s="363"/>
      <c r="H963" s="363"/>
      <c r="I963" s="370"/>
      <c r="J963" s="363"/>
      <c r="K963" s="363"/>
      <c r="L963" s="363"/>
      <c r="M963" s="367"/>
      <c r="N963" s="10"/>
      <c r="O963" s="10"/>
      <c r="P963" s="10"/>
      <c r="Q963" s="10"/>
      <c r="R963" s="10"/>
      <c r="S963" s="10"/>
      <c r="T963" s="10"/>
      <c r="U963" s="10"/>
      <c r="V963" s="10"/>
      <c r="W963" s="10"/>
      <c r="X963" s="10"/>
      <c r="Y963" s="10"/>
      <c r="Z963" s="10"/>
      <c r="AA963" s="10"/>
      <c r="AB963" s="10"/>
      <c r="AC963" s="10"/>
      <c r="AD963" s="10"/>
      <c r="AE963" s="379"/>
      <c r="AF963" s="379"/>
      <c r="AG963" s="379"/>
      <c r="AH963" s="379"/>
      <c r="AI963" s="379"/>
    </row>
    <row r="964" customFormat="false" ht="12.75" hidden="false" customHeight="true" outlineLevel="0" collapsed="false">
      <c r="B964" s="361"/>
      <c r="C964" s="369"/>
      <c r="D964" s="362"/>
      <c r="E964" s="363"/>
      <c r="F964" s="364"/>
      <c r="G964" s="363"/>
      <c r="H964" s="363"/>
      <c r="I964" s="370"/>
      <c r="J964" s="363"/>
      <c r="K964" s="363"/>
      <c r="L964" s="363"/>
      <c r="M964" s="367"/>
      <c r="N964" s="10"/>
      <c r="O964" s="10"/>
      <c r="P964" s="10"/>
      <c r="Q964" s="10"/>
      <c r="R964" s="10"/>
      <c r="S964" s="10"/>
      <c r="T964" s="10"/>
      <c r="U964" s="10"/>
      <c r="V964" s="10"/>
      <c r="W964" s="10"/>
      <c r="X964" s="10"/>
      <c r="Y964" s="10"/>
      <c r="Z964" s="10"/>
      <c r="AA964" s="10"/>
      <c r="AB964" s="10"/>
      <c r="AC964" s="10"/>
      <c r="AD964" s="10"/>
      <c r="AE964" s="379"/>
      <c r="AF964" s="379"/>
      <c r="AG964" s="379"/>
      <c r="AH964" s="379"/>
      <c r="AI964" s="379"/>
    </row>
    <row r="965" customFormat="false" ht="12.75" hidden="false" customHeight="true" outlineLevel="0" collapsed="false">
      <c r="B965" s="361"/>
      <c r="C965" s="369"/>
      <c r="D965" s="362"/>
      <c r="E965" s="363"/>
      <c r="F965" s="364"/>
      <c r="G965" s="363"/>
      <c r="H965" s="363"/>
      <c r="I965" s="370"/>
      <c r="J965" s="363"/>
      <c r="K965" s="363"/>
      <c r="L965" s="363"/>
      <c r="M965" s="367"/>
      <c r="N965" s="10"/>
      <c r="O965" s="10"/>
      <c r="P965" s="10"/>
      <c r="Q965" s="10"/>
      <c r="R965" s="10"/>
      <c r="S965" s="10"/>
      <c r="T965" s="10"/>
      <c r="U965" s="10"/>
      <c r="V965" s="10"/>
      <c r="W965" s="10"/>
      <c r="X965" s="10"/>
      <c r="Y965" s="10"/>
      <c r="Z965" s="10"/>
      <c r="AA965" s="10"/>
      <c r="AB965" s="10"/>
      <c r="AC965" s="10"/>
      <c r="AD965" s="10"/>
      <c r="AE965" s="379"/>
      <c r="AF965" s="379"/>
      <c r="AG965" s="379"/>
      <c r="AH965" s="379"/>
      <c r="AI965" s="379"/>
    </row>
    <row r="966" customFormat="false" ht="12.75" hidden="false" customHeight="true" outlineLevel="0" collapsed="false">
      <c r="B966" s="361"/>
      <c r="C966" s="369"/>
      <c r="D966" s="362"/>
      <c r="E966" s="363"/>
      <c r="F966" s="364"/>
      <c r="G966" s="363"/>
      <c r="H966" s="363"/>
      <c r="I966" s="370"/>
      <c r="J966" s="363"/>
      <c r="K966" s="363"/>
      <c r="L966" s="363"/>
      <c r="M966" s="367"/>
      <c r="N966" s="10"/>
      <c r="O966" s="10"/>
      <c r="P966" s="10"/>
      <c r="Q966" s="10"/>
      <c r="R966" s="10"/>
      <c r="S966" s="10"/>
      <c r="T966" s="10"/>
      <c r="U966" s="10"/>
      <c r="V966" s="10"/>
      <c r="W966" s="10"/>
      <c r="X966" s="10"/>
      <c r="Y966" s="10"/>
      <c r="Z966" s="10"/>
      <c r="AA966" s="10"/>
      <c r="AB966" s="10"/>
      <c r="AC966" s="10"/>
      <c r="AD966" s="10"/>
      <c r="AE966" s="379"/>
      <c r="AF966" s="379"/>
      <c r="AG966" s="379"/>
      <c r="AH966" s="379"/>
      <c r="AI966" s="379"/>
    </row>
    <row r="967" customFormat="false" ht="12.75" hidden="false" customHeight="true" outlineLevel="0" collapsed="false">
      <c r="B967" s="361"/>
      <c r="C967" s="369"/>
      <c r="D967" s="362"/>
      <c r="E967" s="363"/>
      <c r="F967" s="364"/>
      <c r="G967" s="363"/>
      <c r="H967" s="363"/>
      <c r="I967" s="370"/>
      <c r="J967" s="363"/>
      <c r="K967" s="363"/>
      <c r="L967" s="363"/>
      <c r="M967" s="367"/>
      <c r="N967" s="10"/>
      <c r="O967" s="10"/>
      <c r="P967" s="10"/>
      <c r="Q967" s="10"/>
      <c r="R967" s="10"/>
      <c r="S967" s="10"/>
      <c r="T967" s="10"/>
      <c r="U967" s="10"/>
      <c r="V967" s="10"/>
      <c r="W967" s="10"/>
      <c r="X967" s="10"/>
      <c r="Y967" s="10"/>
      <c r="Z967" s="10"/>
      <c r="AA967" s="10"/>
      <c r="AB967" s="10"/>
      <c r="AC967" s="10"/>
      <c r="AD967" s="10"/>
      <c r="AE967" s="379"/>
      <c r="AF967" s="379"/>
      <c r="AG967" s="379"/>
      <c r="AH967" s="379"/>
      <c r="AI967" s="379"/>
    </row>
    <row r="968" customFormat="false" ht="12.75" hidden="false" customHeight="true" outlineLevel="0" collapsed="false">
      <c r="B968" s="361"/>
      <c r="C968" s="369"/>
      <c r="D968" s="362"/>
      <c r="E968" s="363"/>
      <c r="F968" s="364"/>
      <c r="G968" s="363"/>
      <c r="H968" s="363"/>
      <c r="I968" s="370"/>
      <c r="J968" s="363"/>
      <c r="K968" s="363"/>
      <c r="L968" s="363"/>
      <c r="M968" s="367"/>
      <c r="N968" s="10"/>
      <c r="O968" s="10"/>
      <c r="P968" s="10"/>
      <c r="Q968" s="10"/>
      <c r="R968" s="10"/>
      <c r="S968" s="10"/>
      <c r="T968" s="10"/>
      <c r="U968" s="10"/>
      <c r="V968" s="10"/>
      <c r="W968" s="10"/>
      <c r="X968" s="10"/>
      <c r="Y968" s="10"/>
      <c r="Z968" s="10"/>
      <c r="AA968" s="10"/>
      <c r="AB968" s="10"/>
      <c r="AC968" s="10"/>
      <c r="AD968" s="10"/>
      <c r="AE968" s="379"/>
      <c r="AF968" s="379"/>
      <c r="AG968" s="379"/>
      <c r="AH968" s="379"/>
      <c r="AI968" s="379"/>
    </row>
    <row r="969" customFormat="false" ht="12.75" hidden="false" customHeight="true" outlineLevel="0" collapsed="false">
      <c r="B969" s="361"/>
      <c r="C969" s="369"/>
      <c r="D969" s="362"/>
      <c r="E969" s="363"/>
      <c r="F969" s="364"/>
      <c r="G969" s="363"/>
      <c r="H969" s="363"/>
      <c r="I969" s="370"/>
      <c r="J969" s="363"/>
      <c r="K969" s="363"/>
      <c r="L969" s="363"/>
      <c r="M969" s="367"/>
      <c r="N969" s="10"/>
      <c r="O969" s="10"/>
      <c r="P969" s="10"/>
      <c r="Q969" s="10"/>
      <c r="R969" s="10"/>
      <c r="S969" s="10"/>
      <c r="T969" s="10"/>
      <c r="U969" s="10"/>
      <c r="V969" s="10"/>
      <c r="W969" s="10"/>
      <c r="X969" s="10"/>
      <c r="Y969" s="10"/>
      <c r="Z969" s="10"/>
      <c r="AA969" s="10"/>
      <c r="AB969" s="10"/>
      <c r="AC969" s="10"/>
      <c r="AD969" s="10"/>
      <c r="AE969" s="379"/>
      <c r="AF969" s="379"/>
      <c r="AG969" s="379"/>
      <c r="AH969" s="379"/>
      <c r="AI969" s="379"/>
    </row>
    <row r="970" customFormat="false" ht="12.75" hidden="false" customHeight="true" outlineLevel="0" collapsed="false">
      <c r="B970" s="361"/>
      <c r="C970" s="369"/>
      <c r="D970" s="362"/>
      <c r="E970" s="363"/>
      <c r="F970" s="364"/>
      <c r="G970" s="363"/>
      <c r="H970" s="363"/>
      <c r="I970" s="370"/>
      <c r="J970" s="363"/>
      <c r="K970" s="363"/>
      <c r="L970" s="363"/>
      <c r="M970" s="367"/>
      <c r="N970" s="10"/>
      <c r="O970" s="10"/>
      <c r="P970" s="10"/>
      <c r="Q970" s="10"/>
      <c r="R970" s="10"/>
      <c r="S970" s="10"/>
      <c r="T970" s="10"/>
      <c r="U970" s="10"/>
      <c r="V970" s="10"/>
      <c r="W970" s="10"/>
      <c r="X970" s="10"/>
      <c r="Y970" s="10"/>
      <c r="Z970" s="10"/>
      <c r="AA970" s="10"/>
      <c r="AB970" s="10"/>
      <c r="AC970" s="10"/>
      <c r="AD970" s="10"/>
      <c r="AE970" s="379"/>
      <c r="AF970" s="379"/>
      <c r="AG970" s="379"/>
      <c r="AH970" s="379"/>
      <c r="AI970" s="379"/>
    </row>
    <row r="971" customFormat="false" ht="12.75" hidden="false" customHeight="true" outlineLevel="0" collapsed="false">
      <c r="B971" s="361"/>
      <c r="C971" s="369"/>
      <c r="D971" s="362"/>
      <c r="E971" s="363"/>
      <c r="F971" s="364"/>
      <c r="G971" s="363"/>
      <c r="H971" s="363"/>
      <c r="I971" s="370"/>
      <c r="J971" s="363"/>
      <c r="K971" s="363"/>
      <c r="L971" s="363"/>
      <c r="M971" s="367"/>
      <c r="N971" s="10"/>
      <c r="O971" s="10"/>
      <c r="P971" s="10"/>
      <c r="Q971" s="10"/>
      <c r="R971" s="10"/>
      <c r="S971" s="10"/>
      <c r="T971" s="10"/>
      <c r="U971" s="10"/>
      <c r="V971" s="10"/>
      <c r="W971" s="10"/>
      <c r="X971" s="10"/>
      <c r="Y971" s="10"/>
      <c r="Z971" s="10"/>
      <c r="AA971" s="10"/>
      <c r="AB971" s="10"/>
      <c r="AC971" s="10"/>
      <c r="AD971" s="10"/>
      <c r="AE971" s="379"/>
      <c r="AF971" s="379"/>
      <c r="AG971" s="379"/>
      <c r="AH971" s="379"/>
      <c r="AI971" s="379"/>
    </row>
    <row r="972" customFormat="false" ht="12.75" hidden="false" customHeight="true" outlineLevel="0" collapsed="false">
      <c r="B972" s="361"/>
      <c r="C972" s="369"/>
      <c r="D972" s="362"/>
      <c r="E972" s="363"/>
      <c r="F972" s="364"/>
      <c r="G972" s="363"/>
      <c r="H972" s="363"/>
      <c r="I972" s="370"/>
      <c r="J972" s="363"/>
      <c r="K972" s="363"/>
      <c r="L972" s="363"/>
      <c r="M972" s="367"/>
      <c r="N972" s="10"/>
      <c r="O972" s="10"/>
      <c r="P972" s="10"/>
      <c r="Q972" s="10"/>
      <c r="R972" s="10"/>
      <c r="S972" s="10"/>
      <c r="T972" s="10"/>
      <c r="U972" s="10"/>
      <c r="V972" s="10"/>
      <c r="W972" s="10"/>
      <c r="X972" s="10"/>
      <c r="Y972" s="10"/>
      <c r="Z972" s="10"/>
      <c r="AA972" s="10"/>
      <c r="AB972" s="10"/>
      <c r="AC972" s="10"/>
      <c r="AD972" s="10"/>
      <c r="AE972" s="379"/>
      <c r="AF972" s="379"/>
      <c r="AG972" s="379"/>
      <c r="AH972" s="379"/>
      <c r="AI972" s="379"/>
    </row>
    <row r="973" customFormat="false" ht="12.75" hidden="false" customHeight="true" outlineLevel="0" collapsed="false">
      <c r="B973" s="361"/>
      <c r="C973" s="369"/>
      <c r="D973" s="362"/>
      <c r="E973" s="363"/>
      <c r="F973" s="364"/>
      <c r="G973" s="363"/>
      <c r="H973" s="363"/>
      <c r="I973" s="370"/>
      <c r="J973" s="363"/>
      <c r="K973" s="363"/>
      <c r="L973" s="363"/>
      <c r="M973" s="367"/>
      <c r="N973" s="10"/>
      <c r="O973" s="10"/>
      <c r="P973" s="10"/>
      <c r="Q973" s="10"/>
      <c r="R973" s="10"/>
      <c r="S973" s="10"/>
      <c r="T973" s="10"/>
      <c r="U973" s="10"/>
      <c r="V973" s="10"/>
      <c r="W973" s="10"/>
      <c r="X973" s="10"/>
      <c r="Y973" s="10"/>
      <c r="Z973" s="10"/>
      <c r="AA973" s="10"/>
      <c r="AB973" s="10"/>
      <c r="AC973" s="10"/>
      <c r="AD973" s="10"/>
      <c r="AE973" s="379"/>
      <c r="AF973" s="379"/>
      <c r="AG973" s="379"/>
      <c r="AH973" s="379"/>
      <c r="AI973" s="379"/>
    </row>
    <row r="974" customFormat="false" ht="12.75" hidden="false" customHeight="true" outlineLevel="0" collapsed="false">
      <c r="B974" s="361"/>
      <c r="C974" s="369"/>
      <c r="D974" s="362"/>
      <c r="E974" s="363"/>
      <c r="F974" s="364"/>
      <c r="G974" s="363"/>
      <c r="H974" s="363"/>
      <c r="I974" s="370"/>
      <c r="J974" s="363"/>
      <c r="K974" s="363"/>
      <c r="L974" s="363"/>
      <c r="M974" s="367"/>
      <c r="N974" s="10"/>
      <c r="O974" s="10"/>
      <c r="P974" s="10"/>
      <c r="Q974" s="10"/>
      <c r="R974" s="10"/>
      <c r="S974" s="10"/>
      <c r="T974" s="10"/>
      <c r="U974" s="10"/>
      <c r="V974" s="10"/>
      <c r="W974" s="10"/>
      <c r="X974" s="10"/>
      <c r="Y974" s="10"/>
      <c r="Z974" s="10"/>
      <c r="AA974" s="10"/>
      <c r="AB974" s="10"/>
      <c r="AC974" s="10"/>
      <c r="AD974" s="10"/>
      <c r="AE974" s="379"/>
      <c r="AF974" s="379"/>
      <c r="AG974" s="379"/>
      <c r="AH974" s="379"/>
      <c r="AI974" s="379"/>
    </row>
    <row r="975" customFormat="false" ht="12.75" hidden="false" customHeight="true" outlineLevel="0" collapsed="false">
      <c r="B975" s="361"/>
      <c r="C975" s="369"/>
      <c r="D975" s="362"/>
      <c r="E975" s="363"/>
      <c r="F975" s="364"/>
      <c r="G975" s="363"/>
      <c r="H975" s="363"/>
      <c r="I975" s="370"/>
      <c r="J975" s="363"/>
      <c r="K975" s="363"/>
      <c r="L975" s="363"/>
      <c r="M975" s="367"/>
      <c r="N975" s="10"/>
      <c r="O975" s="10"/>
      <c r="P975" s="10"/>
      <c r="Q975" s="10"/>
      <c r="R975" s="10"/>
      <c r="S975" s="10"/>
      <c r="T975" s="10"/>
      <c r="U975" s="10"/>
      <c r="V975" s="10"/>
      <c r="W975" s="10"/>
      <c r="X975" s="10"/>
      <c r="Y975" s="10"/>
      <c r="Z975" s="10"/>
      <c r="AA975" s="10"/>
      <c r="AB975" s="10"/>
      <c r="AC975" s="10"/>
      <c r="AD975" s="10"/>
      <c r="AE975" s="379"/>
      <c r="AF975" s="379"/>
      <c r="AG975" s="379"/>
      <c r="AH975" s="379"/>
      <c r="AI975" s="379"/>
    </row>
    <row r="976" customFormat="false" ht="12.75" hidden="false" customHeight="true" outlineLevel="0" collapsed="false">
      <c r="B976" s="361"/>
      <c r="C976" s="369"/>
      <c r="D976" s="362"/>
      <c r="E976" s="363"/>
      <c r="F976" s="364"/>
      <c r="G976" s="363"/>
      <c r="H976" s="363"/>
      <c r="I976" s="370"/>
      <c r="J976" s="363"/>
      <c r="K976" s="363"/>
      <c r="L976" s="363"/>
      <c r="M976" s="367"/>
      <c r="N976" s="10"/>
      <c r="O976" s="10"/>
      <c r="P976" s="10"/>
      <c r="Q976" s="10"/>
      <c r="R976" s="10"/>
      <c r="S976" s="10"/>
      <c r="T976" s="10"/>
      <c r="U976" s="10"/>
      <c r="V976" s="10"/>
      <c r="W976" s="10"/>
      <c r="X976" s="10"/>
      <c r="Y976" s="10"/>
      <c r="Z976" s="10"/>
      <c r="AA976" s="10"/>
      <c r="AB976" s="10"/>
      <c r="AC976" s="10"/>
      <c r="AD976" s="10"/>
      <c r="AE976" s="379"/>
      <c r="AF976" s="379"/>
      <c r="AG976" s="379"/>
      <c r="AH976" s="379"/>
      <c r="AI976" s="379"/>
    </row>
    <row r="977" customFormat="false" ht="12.75" hidden="false" customHeight="true" outlineLevel="0" collapsed="false">
      <c r="B977" s="361"/>
      <c r="C977" s="369"/>
      <c r="D977" s="362"/>
      <c r="E977" s="363"/>
      <c r="F977" s="364"/>
      <c r="G977" s="363"/>
      <c r="H977" s="363"/>
      <c r="I977" s="370"/>
      <c r="J977" s="363"/>
      <c r="K977" s="363"/>
      <c r="L977" s="363"/>
      <c r="M977" s="367"/>
      <c r="N977" s="10"/>
      <c r="O977" s="10"/>
      <c r="P977" s="10"/>
      <c r="Q977" s="10"/>
      <c r="R977" s="10"/>
      <c r="S977" s="10"/>
      <c r="T977" s="10"/>
      <c r="U977" s="10"/>
      <c r="V977" s="10"/>
      <c r="W977" s="10"/>
      <c r="X977" s="10"/>
      <c r="Y977" s="10"/>
      <c r="Z977" s="10"/>
      <c r="AA977" s="10"/>
      <c r="AB977" s="10"/>
      <c r="AC977" s="10"/>
      <c r="AD977" s="10"/>
      <c r="AE977" s="379"/>
      <c r="AF977" s="379"/>
      <c r="AG977" s="379"/>
      <c r="AH977" s="379"/>
      <c r="AI977" s="379"/>
    </row>
    <row r="978" customFormat="false" ht="12.75" hidden="false" customHeight="true" outlineLevel="0" collapsed="false">
      <c r="B978" s="361"/>
      <c r="C978" s="369"/>
      <c r="D978" s="362"/>
      <c r="E978" s="363"/>
      <c r="F978" s="364"/>
      <c r="G978" s="363"/>
      <c r="H978" s="363"/>
      <c r="I978" s="370"/>
      <c r="J978" s="363"/>
      <c r="K978" s="363"/>
      <c r="L978" s="363"/>
      <c r="M978" s="367"/>
      <c r="N978" s="10"/>
      <c r="O978" s="10"/>
      <c r="P978" s="10"/>
      <c r="Q978" s="10"/>
      <c r="R978" s="10"/>
      <c r="S978" s="10"/>
      <c r="T978" s="10"/>
      <c r="U978" s="10"/>
      <c r="V978" s="10"/>
      <c r="W978" s="10"/>
      <c r="X978" s="10"/>
      <c r="Y978" s="10"/>
      <c r="Z978" s="10"/>
      <c r="AA978" s="10"/>
      <c r="AB978" s="10"/>
      <c r="AC978" s="10"/>
      <c r="AD978" s="10"/>
      <c r="AE978" s="379"/>
      <c r="AF978" s="379"/>
      <c r="AG978" s="379"/>
      <c r="AH978" s="379"/>
      <c r="AI978" s="379"/>
    </row>
    <row r="979" customFormat="false" ht="12.75" hidden="false" customHeight="true" outlineLevel="0" collapsed="false">
      <c r="B979" s="361"/>
      <c r="C979" s="369"/>
      <c r="D979" s="362"/>
      <c r="E979" s="363"/>
      <c r="F979" s="364"/>
      <c r="G979" s="363"/>
      <c r="H979" s="363"/>
      <c r="I979" s="370"/>
      <c r="J979" s="363"/>
      <c r="K979" s="363"/>
      <c r="L979" s="363"/>
      <c r="M979" s="367"/>
      <c r="N979" s="10"/>
      <c r="O979" s="10"/>
      <c r="P979" s="10"/>
      <c r="Q979" s="10"/>
      <c r="R979" s="10"/>
      <c r="S979" s="10"/>
      <c r="T979" s="10"/>
      <c r="U979" s="10"/>
      <c r="V979" s="10"/>
      <c r="W979" s="10"/>
      <c r="X979" s="10"/>
      <c r="Y979" s="10"/>
      <c r="Z979" s="10"/>
      <c r="AA979" s="10"/>
      <c r="AB979" s="10"/>
      <c r="AC979" s="10"/>
      <c r="AD979" s="10"/>
      <c r="AE979" s="379"/>
      <c r="AF979" s="379"/>
      <c r="AG979" s="379"/>
      <c r="AH979" s="379"/>
      <c r="AI979" s="379"/>
    </row>
    <row r="980" customFormat="false" ht="12.75" hidden="false" customHeight="true" outlineLevel="0" collapsed="false">
      <c r="B980" s="361"/>
      <c r="C980" s="369"/>
      <c r="D980" s="362"/>
      <c r="E980" s="363"/>
      <c r="F980" s="364"/>
      <c r="G980" s="363"/>
      <c r="H980" s="363"/>
      <c r="I980" s="370"/>
      <c r="J980" s="363"/>
      <c r="K980" s="363"/>
      <c r="L980" s="363"/>
      <c r="M980" s="367"/>
      <c r="N980" s="10"/>
      <c r="O980" s="10"/>
      <c r="P980" s="10"/>
      <c r="Q980" s="10"/>
      <c r="R980" s="10"/>
      <c r="S980" s="10"/>
      <c r="T980" s="10"/>
      <c r="U980" s="10"/>
      <c r="V980" s="10"/>
      <c r="W980" s="10"/>
      <c r="X980" s="10"/>
      <c r="Y980" s="10"/>
      <c r="Z980" s="10"/>
      <c r="AA980" s="10"/>
      <c r="AB980" s="10"/>
      <c r="AC980" s="10"/>
      <c r="AD980" s="10"/>
      <c r="AE980" s="379"/>
      <c r="AF980" s="379"/>
      <c r="AG980" s="379"/>
      <c r="AH980" s="379"/>
      <c r="AI980" s="379"/>
    </row>
    <row r="981" customFormat="false" ht="12.75" hidden="false" customHeight="true" outlineLevel="0" collapsed="false">
      <c r="B981" s="361"/>
      <c r="C981" s="362"/>
      <c r="D981" s="362"/>
      <c r="E981" s="363"/>
      <c r="F981" s="374"/>
      <c r="G981" s="363"/>
      <c r="H981" s="363"/>
      <c r="I981" s="363"/>
      <c r="J981" s="363"/>
      <c r="K981" s="363"/>
      <c r="L981" s="363"/>
      <c r="M981" s="367"/>
      <c r="N981" s="10"/>
      <c r="O981" s="10"/>
      <c r="P981" s="10"/>
      <c r="Q981" s="10"/>
      <c r="R981" s="10"/>
      <c r="S981" s="10"/>
      <c r="T981" s="10"/>
      <c r="U981" s="10"/>
      <c r="V981" s="10"/>
      <c r="W981" s="10"/>
      <c r="X981" s="10"/>
      <c r="Y981" s="10"/>
      <c r="Z981" s="10"/>
      <c r="AA981" s="10"/>
      <c r="AB981" s="10"/>
      <c r="AC981" s="10"/>
      <c r="AD981" s="10"/>
      <c r="AE981" s="379"/>
      <c r="AF981" s="379"/>
      <c r="AG981" s="379"/>
      <c r="AH981" s="379"/>
      <c r="AI981" s="379"/>
    </row>
    <row r="982" customFormat="false" ht="12.75" hidden="false" customHeight="true" outlineLevel="0" collapsed="false">
      <c r="B982" s="361"/>
      <c r="C982" s="362"/>
      <c r="D982" s="362"/>
      <c r="E982" s="363"/>
      <c r="F982" s="374"/>
      <c r="G982" s="363"/>
      <c r="H982" s="363"/>
      <c r="I982" s="363"/>
      <c r="J982" s="363"/>
      <c r="K982" s="363"/>
      <c r="L982" s="363"/>
      <c r="M982" s="367"/>
      <c r="N982" s="10"/>
      <c r="O982" s="10"/>
      <c r="P982" s="10"/>
      <c r="Q982" s="10"/>
      <c r="R982" s="10"/>
      <c r="S982" s="10"/>
      <c r="T982" s="10"/>
      <c r="U982" s="10"/>
      <c r="V982" s="10"/>
      <c r="W982" s="10"/>
      <c r="X982" s="10"/>
      <c r="Y982" s="10"/>
      <c r="Z982" s="10"/>
      <c r="AA982" s="10"/>
      <c r="AB982" s="10"/>
      <c r="AC982" s="10"/>
      <c r="AD982" s="10"/>
      <c r="AE982" s="379"/>
      <c r="AF982" s="379"/>
      <c r="AG982" s="379"/>
      <c r="AH982" s="379"/>
      <c r="AI982" s="379"/>
    </row>
    <row r="983" customFormat="false" ht="12.75" hidden="false" customHeight="true" outlineLevel="0" collapsed="false">
      <c r="B983" s="368"/>
      <c r="C983" s="362"/>
      <c r="D983" s="362"/>
      <c r="E983" s="363"/>
      <c r="F983" s="374"/>
      <c r="G983" s="363"/>
      <c r="H983" s="363"/>
      <c r="I983" s="363"/>
      <c r="J983" s="363"/>
      <c r="K983" s="363"/>
      <c r="L983" s="363"/>
      <c r="M983" s="367"/>
      <c r="N983" s="10"/>
      <c r="O983" s="10"/>
      <c r="P983" s="10"/>
      <c r="Q983" s="10"/>
      <c r="R983" s="10"/>
      <c r="S983" s="10"/>
      <c r="T983" s="10"/>
      <c r="U983" s="10"/>
      <c r="V983" s="10"/>
      <c r="W983" s="10"/>
      <c r="X983" s="10"/>
      <c r="Y983" s="10"/>
      <c r="Z983" s="10"/>
      <c r="AA983" s="10"/>
      <c r="AB983" s="10"/>
      <c r="AC983" s="10"/>
      <c r="AD983" s="10"/>
      <c r="AE983" s="379"/>
      <c r="AF983" s="379"/>
      <c r="AG983" s="379"/>
      <c r="AH983" s="379"/>
      <c r="AI983" s="379"/>
    </row>
    <row r="984" customFormat="false" ht="12.75" hidden="false" customHeight="true" outlineLevel="0" collapsed="false">
      <c r="B984" s="361"/>
      <c r="C984" s="362"/>
      <c r="D984" s="362"/>
      <c r="E984" s="363"/>
      <c r="F984" s="374"/>
      <c r="G984" s="363"/>
      <c r="H984" s="363"/>
      <c r="I984" s="363"/>
      <c r="J984" s="363"/>
      <c r="K984" s="363"/>
      <c r="L984" s="363"/>
      <c r="M984" s="367"/>
      <c r="N984" s="10"/>
      <c r="O984" s="10"/>
      <c r="P984" s="10"/>
      <c r="Q984" s="10"/>
      <c r="R984" s="10"/>
      <c r="S984" s="10"/>
      <c r="T984" s="10"/>
      <c r="U984" s="10"/>
      <c r="V984" s="10"/>
      <c r="W984" s="10"/>
      <c r="X984" s="10"/>
      <c r="Y984" s="10"/>
      <c r="Z984" s="10"/>
      <c r="AA984" s="10"/>
      <c r="AB984" s="10"/>
      <c r="AC984" s="10"/>
      <c r="AD984" s="10"/>
      <c r="AE984" s="379"/>
      <c r="AF984" s="379"/>
      <c r="AG984" s="379"/>
      <c r="AH984" s="379"/>
      <c r="AI984" s="379"/>
    </row>
    <row r="985" customFormat="false" ht="12.75" hidden="false" customHeight="true" outlineLevel="0" collapsed="false">
      <c r="B985" s="361"/>
      <c r="C985" s="362"/>
      <c r="D985" s="362"/>
      <c r="E985" s="363"/>
      <c r="F985" s="374"/>
      <c r="G985" s="363"/>
      <c r="H985" s="363"/>
      <c r="I985" s="363"/>
      <c r="J985" s="363"/>
      <c r="K985" s="363"/>
      <c r="L985" s="363"/>
      <c r="M985" s="367"/>
      <c r="N985" s="10"/>
      <c r="O985" s="10"/>
      <c r="P985" s="10"/>
      <c r="Q985" s="10"/>
      <c r="R985" s="10"/>
      <c r="S985" s="10"/>
      <c r="T985" s="10"/>
      <c r="U985" s="10"/>
      <c r="V985" s="10"/>
      <c r="W985" s="10"/>
      <c r="X985" s="10"/>
      <c r="Y985" s="10"/>
      <c r="Z985" s="10"/>
      <c r="AA985" s="10"/>
      <c r="AB985" s="10"/>
      <c r="AC985" s="10"/>
      <c r="AD985" s="10"/>
      <c r="AE985" s="379"/>
      <c r="AF985" s="379"/>
      <c r="AG985" s="379"/>
      <c r="AH985" s="379"/>
      <c r="AI985" s="379"/>
    </row>
    <row r="986" customFormat="false" ht="12.75" hidden="false" customHeight="true" outlineLevel="0" collapsed="false">
      <c r="B986" s="368"/>
      <c r="C986" s="362"/>
      <c r="D986" s="362"/>
      <c r="E986" s="363"/>
      <c r="F986" s="374"/>
      <c r="G986" s="363"/>
      <c r="H986" s="363"/>
      <c r="I986" s="363"/>
      <c r="J986" s="363"/>
      <c r="K986" s="363"/>
      <c r="L986" s="363"/>
      <c r="M986" s="367"/>
      <c r="N986" s="10"/>
      <c r="O986" s="10"/>
      <c r="P986" s="10"/>
      <c r="Q986" s="10"/>
      <c r="R986" s="10"/>
      <c r="S986" s="10"/>
      <c r="T986" s="10"/>
      <c r="U986" s="10"/>
      <c r="V986" s="10"/>
      <c r="W986" s="10"/>
      <c r="X986" s="10"/>
      <c r="Y986" s="10"/>
      <c r="Z986" s="10"/>
      <c r="AA986" s="10"/>
      <c r="AB986" s="10"/>
      <c r="AC986" s="10"/>
      <c r="AD986" s="10"/>
      <c r="AE986" s="379"/>
      <c r="AF986" s="379"/>
      <c r="AG986" s="379"/>
      <c r="AH986" s="379"/>
      <c r="AI986" s="379"/>
    </row>
    <row r="987" customFormat="false" ht="12.75" hidden="false" customHeight="true" outlineLevel="0" collapsed="false">
      <c r="B987" s="361"/>
      <c r="C987" s="362"/>
      <c r="D987" s="362"/>
      <c r="E987" s="363"/>
      <c r="F987" s="374"/>
      <c r="G987" s="363"/>
      <c r="H987" s="363"/>
      <c r="I987" s="363"/>
      <c r="J987" s="363"/>
      <c r="K987" s="363"/>
      <c r="L987" s="363"/>
      <c r="M987" s="367"/>
      <c r="N987" s="10"/>
      <c r="O987" s="10"/>
      <c r="P987" s="10"/>
      <c r="Q987" s="10"/>
      <c r="R987" s="10"/>
      <c r="S987" s="10"/>
      <c r="T987" s="10"/>
      <c r="U987" s="10"/>
      <c r="V987" s="10"/>
      <c r="W987" s="10"/>
      <c r="X987" s="10"/>
      <c r="Y987" s="10"/>
      <c r="Z987" s="10"/>
      <c r="AA987" s="10"/>
      <c r="AB987" s="10"/>
      <c r="AC987" s="10"/>
      <c r="AD987" s="10"/>
      <c r="AE987" s="379"/>
      <c r="AF987" s="379"/>
      <c r="AG987" s="379"/>
      <c r="AH987" s="379"/>
      <c r="AI987" s="379"/>
    </row>
    <row r="988" customFormat="false" ht="12.75" hidden="false" customHeight="true" outlineLevel="0" collapsed="false">
      <c r="B988" s="361"/>
      <c r="C988" s="362"/>
      <c r="D988" s="362"/>
      <c r="E988" s="363"/>
      <c r="F988" s="374"/>
      <c r="G988" s="363"/>
      <c r="H988" s="363"/>
      <c r="I988" s="363"/>
      <c r="J988" s="363"/>
      <c r="K988" s="363"/>
      <c r="L988" s="363"/>
      <c r="M988" s="367"/>
      <c r="N988" s="10"/>
      <c r="O988" s="10"/>
      <c r="P988" s="10"/>
      <c r="Q988" s="10"/>
      <c r="R988" s="10"/>
      <c r="S988" s="10"/>
      <c r="T988" s="10"/>
      <c r="U988" s="10"/>
      <c r="V988" s="10"/>
      <c r="W988" s="10"/>
      <c r="X988" s="10"/>
      <c r="Y988" s="10"/>
      <c r="Z988" s="10"/>
      <c r="AA988" s="10"/>
      <c r="AB988" s="10"/>
      <c r="AC988" s="10"/>
      <c r="AD988" s="10"/>
      <c r="AE988" s="379"/>
      <c r="AF988" s="379"/>
      <c r="AG988" s="379"/>
      <c r="AH988" s="379"/>
      <c r="AI988" s="379"/>
    </row>
    <row r="989" customFormat="false" ht="12.75" hidden="false" customHeight="true" outlineLevel="0" collapsed="false">
      <c r="B989" s="368"/>
      <c r="C989" s="362"/>
      <c r="D989" s="362"/>
      <c r="E989" s="363"/>
      <c r="F989" s="374"/>
      <c r="G989" s="363"/>
      <c r="H989" s="363"/>
      <c r="I989" s="363"/>
      <c r="J989" s="363"/>
      <c r="K989" s="363"/>
      <c r="L989" s="363"/>
      <c r="M989" s="367"/>
      <c r="N989" s="10"/>
      <c r="O989" s="10"/>
      <c r="P989" s="10"/>
      <c r="Q989" s="10"/>
      <c r="R989" s="10"/>
      <c r="S989" s="10"/>
      <c r="T989" s="10"/>
      <c r="U989" s="10"/>
      <c r="V989" s="10"/>
      <c r="W989" s="10"/>
      <c r="X989" s="10"/>
      <c r="Y989" s="10"/>
      <c r="Z989" s="10"/>
      <c r="AA989" s="10"/>
      <c r="AB989" s="10"/>
      <c r="AC989" s="10"/>
      <c r="AD989" s="10"/>
      <c r="AE989" s="379"/>
      <c r="AF989" s="379"/>
      <c r="AG989" s="379"/>
      <c r="AH989" s="379"/>
      <c r="AI989" s="379"/>
    </row>
    <row r="990" customFormat="false" ht="12.75" hidden="false" customHeight="true" outlineLevel="0" collapsed="false">
      <c r="B990" s="361"/>
      <c r="C990" s="362"/>
      <c r="D990" s="362"/>
      <c r="E990" s="363"/>
      <c r="F990" s="374"/>
      <c r="G990" s="363"/>
      <c r="H990" s="363"/>
      <c r="I990" s="363"/>
      <c r="J990" s="363"/>
      <c r="K990" s="363"/>
      <c r="L990" s="363"/>
      <c r="M990" s="367"/>
      <c r="N990" s="10"/>
      <c r="O990" s="10"/>
      <c r="P990" s="10"/>
      <c r="Q990" s="10"/>
      <c r="R990" s="10"/>
      <c r="S990" s="10"/>
      <c r="T990" s="10"/>
      <c r="U990" s="10"/>
      <c r="V990" s="10"/>
      <c r="W990" s="10"/>
      <c r="X990" s="10"/>
      <c r="Y990" s="10"/>
      <c r="Z990" s="10"/>
      <c r="AA990" s="10"/>
      <c r="AB990" s="10"/>
      <c r="AC990" s="10"/>
      <c r="AD990" s="10"/>
      <c r="AE990" s="379"/>
      <c r="AF990" s="379"/>
      <c r="AG990" s="379"/>
      <c r="AH990" s="379"/>
      <c r="AI990" s="379"/>
    </row>
    <row r="991" customFormat="false" ht="12.75" hidden="false" customHeight="true" outlineLevel="0" collapsed="false">
      <c r="B991" s="361"/>
      <c r="C991" s="369"/>
      <c r="D991" s="369"/>
      <c r="E991" s="370"/>
      <c r="F991" s="375"/>
      <c r="G991" s="370"/>
      <c r="H991" s="370"/>
      <c r="I991" s="370"/>
      <c r="J991" s="370"/>
      <c r="K991" s="370"/>
      <c r="L991" s="370"/>
      <c r="M991" s="367"/>
      <c r="N991" s="10"/>
      <c r="O991" s="10"/>
      <c r="P991" s="10"/>
      <c r="Q991" s="10"/>
      <c r="R991" s="10"/>
      <c r="S991" s="10"/>
      <c r="T991" s="10"/>
      <c r="U991" s="10"/>
      <c r="V991" s="10"/>
      <c r="W991" s="10"/>
      <c r="X991" s="10"/>
      <c r="Y991" s="10"/>
      <c r="Z991" s="10"/>
      <c r="AA991" s="10"/>
      <c r="AB991" s="10"/>
      <c r="AC991" s="10"/>
      <c r="AD991" s="10"/>
      <c r="AE991" s="379"/>
      <c r="AF991" s="379"/>
      <c r="AG991" s="379"/>
      <c r="AH991" s="379"/>
      <c r="AI991" s="379"/>
    </row>
    <row r="992" customFormat="false" ht="12.75" hidden="false" customHeight="true" outlineLevel="0" collapsed="false">
      <c r="B992" s="361"/>
      <c r="C992" s="369"/>
      <c r="D992" s="362"/>
      <c r="E992" s="363"/>
      <c r="F992" s="364"/>
      <c r="G992" s="363"/>
      <c r="H992" s="363"/>
      <c r="I992" s="370"/>
      <c r="J992" s="363"/>
      <c r="K992" s="370"/>
      <c r="L992" s="363"/>
      <c r="M992" s="367"/>
      <c r="N992" s="10"/>
      <c r="O992" s="10"/>
      <c r="P992" s="10"/>
      <c r="Q992" s="10"/>
      <c r="R992" s="10"/>
      <c r="S992" s="10"/>
      <c r="T992" s="10"/>
      <c r="U992" s="10"/>
      <c r="V992" s="10"/>
      <c r="W992" s="10"/>
      <c r="X992" s="10"/>
      <c r="Y992" s="10"/>
      <c r="Z992" s="10"/>
      <c r="AA992" s="10"/>
      <c r="AB992" s="10"/>
      <c r="AC992" s="10"/>
      <c r="AD992" s="10"/>
      <c r="AE992" s="379"/>
      <c r="AF992" s="379"/>
      <c r="AG992" s="379"/>
      <c r="AH992" s="379"/>
      <c r="AI992" s="379"/>
    </row>
    <row r="993" customFormat="false" ht="12.75" hidden="false" customHeight="true" outlineLevel="0" collapsed="false">
      <c r="B993" s="361"/>
      <c r="C993" s="369"/>
      <c r="D993" s="362"/>
      <c r="E993" s="363"/>
      <c r="F993" s="364"/>
      <c r="G993" s="363"/>
      <c r="H993" s="363"/>
      <c r="I993" s="370"/>
      <c r="J993" s="363"/>
      <c r="K993" s="363"/>
      <c r="L993" s="363"/>
      <c r="M993" s="367"/>
      <c r="N993" s="10"/>
      <c r="O993" s="10"/>
      <c r="P993" s="10"/>
      <c r="Q993" s="10"/>
      <c r="R993" s="10"/>
      <c r="S993" s="10"/>
      <c r="T993" s="10"/>
      <c r="U993" s="10"/>
      <c r="V993" s="10"/>
      <c r="W993" s="10"/>
      <c r="X993" s="10"/>
      <c r="Y993" s="10"/>
      <c r="Z993" s="10"/>
      <c r="AA993" s="10"/>
      <c r="AB993" s="10"/>
      <c r="AC993" s="10"/>
      <c r="AD993" s="10"/>
      <c r="AE993" s="379"/>
      <c r="AF993" s="379"/>
      <c r="AG993" s="379"/>
      <c r="AH993" s="379"/>
      <c r="AI993" s="379"/>
    </row>
    <row r="994" customFormat="false" ht="12.75" hidden="false" customHeight="true" outlineLevel="0" collapsed="false">
      <c r="B994" s="361"/>
      <c r="C994" s="369"/>
      <c r="D994" s="362"/>
      <c r="E994" s="363"/>
      <c r="F994" s="364"/>
      <c r="G994" s="363"/>
      <c r="H994" s="363"/>
      <c r="I994" s="370"/>
      <c r="J994" s="363"/>
      <c r="K994" s="363"/>
      <c r="L994" s="363"/>
      <c r="M994" s="367"/>
      <c r="N994" s="10"/>
      <c r="O994" s="10"/>
      <c r="P994" s="10"/>
      <c r="Q994" s="10"/>
      <c r="R994" s="10"/>
      <c r="S994" s="10"/>
      <c r="T994" s="10"/>
      <c r="U994" s="10"/>
      <c r="V994" s="10"/>
      <c r="W994" s="10"/>
      <c r="X994" s="10"/>
      <c r="Y994" s="10"/>
      <c r="Z994" s="10"/>
      <c r="AA994" s="10"/>
      <c r="AB994" s="10"/>
      <c r="AC994" s="10"/>
      <c r="AD994" s="10"/>
      <c r="AE994" s="379"/>
      <c r="AF994" s="379"/>
      <c r="AG994" s="379"/>
      <c r="AH994" s="379"/>
      <c r="AI994" s="379"/>
    </row>
    <row r="995" customFormat="false" ht="12.75" hidden="false" customHeight="true" outlineLevel="0" collapsed="false">
      <c r="B995" s="361"/>
      <c r="C995" s="369"/>
      <c r="D995" s="362"/>
      <c r="E995" s="363"/>
      <c r="F995" s="364"/>
      <c r="G995" s="363"/>
      <c r="H995" s="363"/>
      <c r="I995" s="370"/>
      <c r="J995" s="363"/>
      <c r="K995" s="363"/>
      <c r="L995" s="363"/>
      <c r="M995" s="367"/>
      <c r="N995" s="10"/>
      <c r="O995" s="10"/>
      <c r="P995" s="10"/>
      <c r="Q995" s="10"/>
      <c r="R995" s="10"/>
      <c r="S995" s="10"/>
      <c r="T995" s="10"/>
      <c r="U995" s="10"/>
      <c r="V995" s="10"/>
      <c r="W995" s="10"/>
      <c r="X995" s="10"/>
      <c r="Y995" s="10"/>
      <c r="Z995" s="10"/>
      <c r="AA995" s="10"/>
      <c r="AB995" s="10"/>
      <c r="AC995" s="10"/>
      <c r="AD995" s="10"/>
      <c r="AE995" s="379"/>
      <c r="AF995" s="379"/>
      <c r="AG995" s="379"/>
      <c r="AH995" s="379"/>
      <c r="AI995" s="379"/>
    </row>
    <row r="996" customFormat="false" ht="12.75" hidden="false" customHeight="true" outlineLevel="0" collapsed="false">
      <c r="B996" s="361"/>
      <c r="C996" s="369"/>
      <c r="D996" s="362"/>
      <c r="E996" s="363"/>
      <c r="F996" s="364"/>
      <c r="G996" s="363"/>
      <c r="H996" s="363"/>
      <c r="I996" s="370"/>
      <c r="J996" s="363"/>
      <c r="K996" s="363"/>
      <c r="L996" s="363"/>
      <c r="M996" s="367"/>
      <c r="N996" s="10"/>
      <c r="O996" s="10"/>
      <c r="P996" s="10"/>
      <c r="Q996" s="10"/>
      <c r="R996" s="10"/>
      <c r="S996" s="10"/>
      <c r="T996" s="10"/>
      <c r="U996" s="10"/>
      <c r="V996" s="10"/>
      <c r="W996" s="10"/>
      <c r="X996" s="10"/>
      <c r="Y996" s="10"/>
      <c r="Z996" s="10"/>
      <c r="AA996" s="10"/>
      <c r="AB996" s="10"/>
      <c r="AC996" s="10"/>
      <c r="AD996" s="10"/>
      <c r="AE996" s="379"/>
      <c r="AF996" s="379"/>
      <c r="AG996" s="379"/>
      <c r="AH996" s="379"/>
      <c r="AI996" s="379"/>
    </row>
    <row r="997" customFormat="false" ht="12.75" hidden="false" customHeight="true" outlineLevel="0" collapsed="false">
      <c r="B997" s="361"/>
      <c r="C997" s="369"/>
      <c r="D997" s="362"/>
      <c r="E997" s="363"/>
      <c r="F997" s="364"/>
      <c r="G997" s="363"/>
      <c r="H997" s="363"/>
      <c r="I997" s="370"/>
      <c r="J997" s="363"/>
      <c r="K997" s="363"/>
      <c r="L997" s="363"/>
      <c r="M997" s="367"/>
      <c r="N997" s="10"/>
      <c r="O997" s="10"/>
      <c r="P997" s="10"/>
      <c r="Q997" s="10"/>
      <c r="R997" s="10"/>
      <c r="S997" s="10"/>
      <c r="T997" s="10"/>
      <c r="U997" s="10"/>
      <c r="V997" s="10"/>
      <c r="W997" s="10"/>
      <c r="X997" s="10"/>
      <c r="Y997" s="10"/>
      <c r="Z997" s="10"/>
      <c r="AA997" s="10"/>
      <c r="AB997" s="10"/>
      <c r="AC997" s="10"/>
      <c r="AD997" s="10"/>
      <c r="AE997" s="379"/>
      <c r="AF997" s="379"/>
      <c r="AG997" s="379"/>
      <c r="AH997" s="379"/>
      <c r="AI997" s="379"/>
    </row>
    <row r="998" customFormat="false" ht="12.75" hidden="false" customHeight="true" outlineLevel="0" collapsed="false">
      <c r="B998" s="361"/>
      <c r="C998" s="369"/>
      <c r="D998" s="362"/>
      <c r="E998" s="363"/>
      <c r="F998" s="364"/>
      <c r="G998" s="363"/>
      <c r="H998" s="363"/>
      <c r="I998" s="370"/>
      <c r="J998" s="363"/>
      <c r="K998" s="363"/>
      <c r="L998" s="363"/>
      <c r="M998" s="367"/>
      <c r="N998" s="10"/>
      <c r="O998" s="10"/>
      <c r="P998" s="10"/>
      <c r="Q998" s="10"/>
      <c r="R998" s="10"/>
      <c r="S998" s="10"/>
      <c r="T998" s="10"/>
      <c r="U998" s="10"/>
      <c r="V998" s="10"/>
      <c r="W998" s="10"/>
      <c r="X998" s="10"/>
      <c r="Y998" s="10"/>
      <c r="Z998" s="10"/>
      <c r="AA998" s="10"/>
      <c r="AB998" s="10"/>
      <c r="AC998" s="10"/>
      <c r="AD998" s="10"/>
      <c r="AE998" s="379"/>
      <c r="AF998" s="379"/>
      <c r="AG998" s="379"/>
      <c r="AH998" s="379"/>
      <c r="AI998" s="379"/>
    </row>
    <row r="999" customFormat="false" ht="12.75" hidden="false" customHeight="true" outlineLevel="0" collapsed="false">
      <c r="B999" s="361"/>
      <c r="C999" s="369"/>
      <c r="D999" s="362"/>
      <c r="E999" s="363"/>
      <c r="F999" s="364"/>
      <c r="G999" s="363"/>
      <c r="H999" s="363"/>
      <c r="I999" s="370"/>
      <c r="J999" s="370"/>
      <c r="K999" s="363"/>
      <c r="L999" s="363"/>
      <c r="M999" s="367"/>
      <c r="N999" s="10"/>
      <c r="O999" s="10"/>
      <c r="P999" s="10"/>
      <c r="Q999" s="10"/>
      <c r="R999" s="10"/>
      <c r="S999" s="10"/>
      <c r="T999" s="10"/>
      <c r="U999" s="10"/>
      <c r="V999" s="10"/>
      <c r="W999" s="10"/>
      <c r="X999" s="10"/>
      <c r="Y999" s="10"/>
      <c r="Z999" s="10"/>
      <c r="AA999" s="10"/>
      <c r="AB999" s="10"/>
      <c r="AC999" s="10"/>
      <c r="AD999" s="10"/>
      <c r="AE999" s="379"/>
      <c r="AF999" s="379"/>
      <c r="AG999" s="379"/>
      <c r="AH999" s="379"/>
      <c r="AI999" s="379"/>
    </row>
    <row r="1000" customFormat="false" ht="12.75" hidden="false" customHeight="true" outlineLevel="0" collapsed="false">
      <c r="B1000" s="361"/>
      <c r="C1000" s="369"/>
      <c r="D1000" s="362"/>
      <c r="E1000" s="363"/>
      <c r="F1000" s="364"/>
      <c r="G1000" s="363"/>
      <c r="H1000" s="363"/>
      <c r="I1000" s="370"/>
      <c r="J1000" s="363"/>
      <c r="K1000" s="363"/>
      <c r="L1000" s="363"/>
      <c r="M1000" s="367"/>
      <c r="N1000" s="10"/>
      <c r="O1000" s="10"/>
      <c r="P1000" s="10"/>
      <c r="Q1000" s="10"/>
      <c r="R1000" s="10"/>
      <c r="S1000" s="10"/>
      <c r="T1000" s="10"/>
      <c r="U1000" s="10"/>
      <c r="V1000" s="10"/>
      <c r="W1000" s="10"/>
      <c r="X1000" s="10"/>
      <c r="Y1000" s="10"/>
      <c r="Z1000" s="10"/>
      <c r="AA1000" s="10"/>
      <c r="AB1000" s="10"/>
      <c r="AC1000" s="10"/>
      <c r="AD1000" s="10"/>
      <c r="AE1000" s="379"/>
      <c r="AF1000" s="379"/>
      <c r="AG1000" s="379"/>
      <c r="AH1000" s="379"/>
      <c r="AI1000" s="379"/>
    </row>
    <row r="1001" customFormat="false" ht="12.75" hidden="false" customHeight="true" outlineLevel="0" collapsed="false">
      <c r="B1001" s="361"/>
      <c r="C1001" s="369"/>
      <c r="D1001" s="362"/>
      <c r="E1001" s="363"/>
      <c r="F1001" s="364"/>
      <c r="G1001" s="363"/>
      <c r="H1001" s="363"/>
      <c r="I1001" s="370"/>
      <c r="J1001" s="363"/>
      <c r="K1001" s="363"/>
      <c r="L1001" s="370"/>
      <c r="M1001" s="367"/>
      <c r="N1001" s="10"/>
      <c r="O1001" s="10"/>
      <c r="P1001" s="10"/>
      <c r="Q1001" s="10"/>
      <c r="R1001" s="10"/>
      <c r="S1001" s="10"/>
      <c r="T1001" s="10"/>
      <c r="U1001" s="10"/>
      <c r="V1001" s="10"/>
      <c r="W1001" s="10"/>
      <c r="X1001" s="10"/>
      <c r="Y1001" s="10"/>
      <c r="Z1001" s="10"/>
      <c r="AA1001" s="10"/>
      <c r="AB1001" s="10"/>
      <c r="AC1001" s="10"/>
      <c r="AD1001" s="10"/>
      <c r="AE1001" s="37"/>
      <c r="AF1001" s="379"/>
      <c r="AG1001" s="379"/>
      <c r="AH1001" s="379"/>
      <c r="AI1001" s="379"/>
      <c r="AJ1001" s="379"/>
    </row>
    <row r="1002" customFormat="false" ht="12.75" hidden="false" customHeight="true" outlineLevel="0" collapsed="false">
      <c r="B1002" s="361"/>
      <c r="C1002" s="369"/>
      <c r="D1002" s="362"/>
      <c r="E1002" s="363"/>
      <c r="F1002" s="364"/>
      <c r="G1002" s="363"/>
      <c r="H1002" s="363"/>
      <c r="I1002" s="370"/>
      <c r="J1002" s="363"/>
      <c r="K1002" s="363"/>
      <c r="L1002" s="363"/>
      <c r="M1002" s="367"/>
      <c r="N1002" s="10"/>
      <c r="O1002" s="10"/>
      <c r="P1002" s="10"/>
      <c r="Q1002" s="10"/>
      <c r="R1002" s="10"/>
      <c r="S1002" s="10"/>
      <c r="T1002" s="10"/>
      <c r="U1002" s="10"/>
      <c r="V1002" s="10"/>
      <c r="W1002" s="10"/>
      <c r="X1002" s="10"/>
      <c r="Y1002" s="10"/>
      <c r="Z1002" s="10"/>
      <c r="AA1002" s="10"/>
      <c r="AB1002" s="10"/>
      <c r="AC1002" s="10"/>
      <c r="AD1002" s="10"/>
      <c r="AE1002" s="37"/>
      <c r="AF1002" s="379"/>
      <c r="AG1002" s="379"/>
      <c r="AH1002" s="379"/>
      <c r="AI1002" s="379"/>
      <c r="AJ1002" s="379"/>
    </row>
    <row r="1003" customFormat="false" ht="12.75" hidden="false" customHeight="true" outlineLevel="0" collapsed="false">
      <c r="B1003" s="361"/>
      <c r="C1003" s="369"/>
      <c r="D1003" s="362"/>
      <c r="E1003" s="363"/>
      <c r="F1003" s="364"/>
      <c r="G1003" s="363"/>
      <c r="H1003" s="363"/>
      <c r="I1003" s="370"/>
      <c r="J1003" s="363"/>
      <c r="K1003" s="363"/>
      <c r="L1003" s="363"/>
      <c r="M1003" s="367"/>
      <c r="N1003" s="10"/>
      <c r="O1003" s="10"/>
      <c r="P1003" s="10"/>
      <c r="Q1003" s="10"/>
      <c r="R1003" s="10"/>
      <c r="S1003" s="10"/>
      <c r="T1003" s="10"/>
      <c r="U1003" s="10"/>
      <c r="V1003" s="10"/>
      <c r="W1003" s="10"/>
      <c r="X1003" s="10"/>
      <c r="Y1003" s="10"/>
      <c r="Z1003" s="10"/>
      <c r="AA1003" s="10"/>
      <c r="AB1003" s="10"/>
      <c r="AC1003" s="10"/>
      <c r="AD1003" s="10"/>
      <c r="AE1003" s="379"/>
      <c r="AF1003" s="379"/>
      <c r="AG1003" s="379"/>
      <c r="AH1003" s="379"/>
      <c r="AI1003" s="379"/>
    </row>
    <row r="1004" customFormat="false" ht="12.75" hidden="false" customHeight="true" outlineLevel="0" collapsed="false">
      <c r="B1004" s="361"/>
      <c r="C1004" s="369"/>
      <c r="D1004" s="362"/>
      <c r="E1004" s="363"/>
      <c r="F1004" s="364"/>
      <c r="G1004" s="363"/>
      <c r="H1004" s="363"/>
      <c r="I1004" s="370"/>
      <c r="J1004" s="363"/>
      <c r="K1004" s="363"/>
      <c r="L1004" s="363"/>
      <c r="M1004" s="367"/>
      <c r="N1004" s="10"/>
      <c r="O1004" s="10"/>
      <c r="P1004" s="10"/>
      <c r="Q1004" s="10"/>
      <c r="R1004" s="10"/>
      <c r="S1004" s="10"/>
      <c r="T1004" s="10"/>
      <c r="U1004" s="10"/>
      <c r="V1004" s="10"/>
      <c r="W1004" s="10"/>
      <c r="X1004" s="10"/>
      <c r="Y1004" s="10"/>
      <c r="Z1004" s="10"/>
      <c r="AA1004" s="10"/>
      <c r="AB1004" s="10"/>
      <c r="AC1004" s="10"/>
      <c r="AD1004" s="10"/>
      <c r="AE1004" s="379"/>
      <c r="AF1004" s="379"/>
      <c r="AG1004" s="379"/>
      <c r="AH1004" s="379"/>
      <c r="AI1004" s="379"/>
    </row>
    <row r="1005" customFormat="false" ht="12.75" hidden="false" customHeight="true" outlineLevel="0" collapsed="false">
      <c r="B1005" s="361"/>
      <c r="C1005" s="369"/>
      <c r="D1005" s="362"/>
      <c r="E1005" s="363"/>
      <c r="F1005" s="364"/>
      <c r="G1005" s="363"/>
      <c r="H1005" s="363"/>
      <c r="I1005" s="370"/>
      <c r="J1005" s="363"/>
      <c r="K1005" s="363"/>
      <c r="L1005" s="363"/>
      <c r="M1005" s="367"/>
      <c r="N1005" s="10"/>
      <c r="O1005" s="10"/>
      <c r="P1005" s="10"/>
      <c r="Q1005" s="10"/>
      <c r="R1005" s="10"/>
      <c r="S1005" s="10"/>
      <c r="T1005" s="10"/>
      <c r="U1005" s="10"/>
      <c r="V1005" s="10"/>
      <c r="W1005" s="10"/>
      <c r="X1005" s="10"/>
      <c r="Y1005" s="10"/>
      <c r="Z1005" s="10"/>
      <c r="AA1005" s="10"/>
      <c r="AB1005" s="10"/>
      <c r="AC1005" s="10"/>
      <c r="AD1005" s="10"/>
      <c r="AE1005" s="379"/>
      <c r="AF1005" s="379"/>
      <c r="AG1005" s="379"/>
      <c r="AH1005" s="379"/>
      <c r="AI1005" s="379"/>
    </row>
    <row r="1006" customFormat="false" ht="12.75" hidden="false" customHeight="true" outlineLevel="0" collapsed="false">
      <c r="B1006" s="361"/>
      <c r="C1006" s="369"/>
      <c r="D1006" s="362"/>
      <c r="E1006" s="363"/>
      <c r="F1006" s="364"/>
      <c r="G1006" s="363"/>
      <c r="H1006" s="363"/>
      <c r="I1006" s="370"/>
      <c r="J1006" s="363"/>
      <c r="K1006" s="363"/>
      <c r="L1006" s="363"/>
      <c r="M1006" s="367"/>
      <c r="N1006" s="10"/>
      <c r="O1006" s="10"/>
      <c r="P1006" s="10"/>
      <c r="Q1006" s="10"/>
      <c r="R1006" s="10"/>
      <c r="S1006" s="10"/>
      <c r="T1006" s="10"/>
      <c r="U1006" s="10"/>
      <c r="V1006" s="10"/>
      <c r="W1006" s="10"/>
      <c r="X1006" s="10"/>
      <c r="Y1006" s="10"/>
      <c r="Z1006" s="10"/>
      <c r="AA1006" s="10"/>
      <c r="AB1006" s="10"/>
      <c r="AC1006" s="10"/>
      <c r="AD1006" s="10"/>
      <c r="AE1006" s="379"/>
      <c r="AF1006" s="379"/>
      <c r="AG1006" s="379"/>
      <c r="AH1006" s="379"/>
      <c r="AI1006" s="379"/>
    </row>
    <row r="1007" customFormat="false" ht="12.75" hidden="false" customHeight="true" outlineLevel="0" collapsed="false">
      <c r="B1007" s="361"/>
      <c r="C1007" s="369"/>
      <c r="D1007" s="362"/>
      <c r="E1007" s="363"/>
      <c r="F1007" s="364"/>
      <c r="G1007" s="363"/>
      <c r="H1007" s="363"/>
      <c r="I1007" s="370"/>
      <c r="J1007" s="363"/>
      <c r="K1007" s="363"/>
      <c r="L1007" s="363"/>
      <c r="M1007" s="367"/>
      <c r="N1007" s="10"/>
      <c r="O1007" s="10"/>
      <c r="P1007" s="10"/>
      <c r="Q1007" s="10"/>
      <c r="R1007" s="10"/>
      <c r="S1007" s="10"/>
      <c r="T1007" s="10"/>
      <c r="U1007" s="10"/>
      <c r="V1007" s="10"/>
      <c r="W1007" s="10"/>
      <c r="X1007" s="10"/>
      <c r="Y1007" s="10"/>
      <c r="Z1007" s="10"/>
      <c r="AA1007" s="10"/>
      <c r="AB1007" s="10"/>
      <c r="AC1007" s="10"/>
      <c r="AD1007" s="10"/>
      <c r="AE1007" s="379"/>
      <c r="AF1007" s="379"/>
      <c r="AG1007" s="379"/>
      <c r="AH1007" s="379"/>
      <c r="AI1007" s="379"/>
    </row>
    <row r="1008" customFormat="false" ht="12.75" hidden="false" customHeight="true" outlineLevel="0" collapsed="false">
      <c r="B1008" s="361"/>
      <c r="C1008" s="369"/>
      <c r="D1008" s="362"/>
      <c r="E1008" s="363"/>
      <c r="F1008" s="364"/>
      <c r="G1008" s="363"/>
      <c r="H1008" s="363"/>
      <c r="I1008" s="370"/>
      <c r="J1008" s="363"/>
      <c r="K1008" s="363"/>
      <c r="L1008" s="363"/>
      <c r="M1008" s="367"/>
      <c r="N1008" s="10"/>
      <c r="O1008" s="10"/>
      <c r="P1008" s="10"/>
      <c r="Q1008" s="10"/>
      <c r="R1008" s="10"/>
      <c r="S1008" s="10"/>
      <c r="T1008" s="10"/>
      <c r="U1008" s="10"/>
      <c r="V1008" s="10"/>
      <c r="W1008" s="10"/>
      <c r="X1008" s="10"/>
      <c r="Y1008" s="10"/>
      <c r="Z1008" s="10"/>
      <c r="AA1008" s="10"/>
      <c r="AB1008" s="10"/>
      <c r="AC1008" s="10"/>
      <c r="AD1008" s="10"/>
      <c r="AE1008" s="379"/>
      <c r="AF1008" s="379"/>
      <c r="AG1008" s="379"/>
      <c r="AH1008" s="379"/>
      <c r="AI1008" s="379"/>
    </row>
    <row r="1009" customFormat="false" ht="12.75" hidden="false" customHeight="true" outlineLevel="0" collapsed="false">
      <c r="B1009" s="361"/>
      <c r="C1009" s="369"/>
      <c r="D1009" s="362"/>
      <c r="E1009" s="363"/>
      <c r="F1009" s="364"/>
      <c r="G1009" s="363"/>
      <c r="H1009" s="363"/>
      <c r="I1009" s="370"/>
      <c r="J1009" s="363"/>
      <c r="K1009" s="363"/>
      <c r="L1009" s="363"/>
      <c r="M1009" s="367"/>
      <c r="N1009" s="10"/>
      <c r="O1009" s="10"/>
      <c r="P1009" s="10"/>
      <c r="Q1009" s="10"/>
      <c r="R1009" s="10"/>
      <c r="S1009" s="10"/>
      <c r="T1009" s="10"/>
      <c r="U1009" s="10"/>
      <c r="V1009" s="10"/>
      <c r="W1009" s="10"/>
      <c r="X1009" s="10"/>
      <c r="Y1009" s="10"/>
      <c r="Z1009" s="10"/>
      <c r="AA1009" s="10"/>
      <c r="AB1009" s="10"/>
      <c r="AC1009" s="10"/>
      <c r="AD1009" s="10"/>
      <c r="AE1009" s="379"/>
      <c r="AF1009" s="379"/>
      <c r="AG1009" s="379"/>
      <c r="AH1009" s="379"/>
      <c r="AI1009" s="379"/>
    </row>
    <row r="1010" customFormat="false" ht="12.75" hidden="false" customHeight="true" outlineLevel="0" collapsed="false">
      <c r="B1010" s="361"/>
      <c r="C1010" s="369"/>
      <c r="D1010" s="362"/>
      <c r="E1010" s="363"/>
      <c r="F1010" s="364"/>
      <c r="G1010" s="363"/>
      <c r="H1010" s="363"/>
      <c r="I1010" s="370"/>
      <c r="J1010" s="363"/>
      <c r="K1010" s="363"/>
      <c r="L1010" s="363"/>
      <c r="M1010" s="367"/>
      <c r="N1010" s="10"/>
      <c r="O1010" s="10"/>
      <c r="P1010" s="10"/>
      <c r="Q1010" s="10"/>
      <c r="R1010" s="10"/>
      <c r="S1010" s="10"/>
      <c r="T1010" s="10"/>
      <c r="U1010" s="10"/>
      <c r="V1010" s="10"/>
      <c r="W1010" s="10"/>
      <c r="X1010" s="10"/>
      <c r="Y1010" s="10"/>
      <c r="Z1010" s="10"/>
      <c r="AA1010" s="10"/>
      <c r="AB1010" s="10"/>
      <c r="AC1010" s="10"/>
      <c r="AD1010" s="10"/>
      <c r="AE1010" s="379"/>
      <c r="AF1010" s="379"/>
      <c r="AG1010" s="379"/>
      <c r="AH1010" s="379"/>
      <c r="AI1010" s="379"/>
    </row>
    <row r="1011" customFormat="false" ht="12.75" hidden="false" customHeight="true" outlineLevel="0" collapsed="false">
      <c r="B1011" s="361"/>
      <c r="C1011" s="369"/>
      <c r="D1011" s="362"/>
      <c r="E1011" s="363"/>
      <c r="F1011" s="364"/>
      <c r="G1011" s="363"/>
      <c r="H1011" s="363"/>
      <c r="I1011" s="370"/>
      <c r="J1011" s="363"/>
      <c r="K1011" s="363"/>
      <c r="L1011" s="363"/>
      <c r="M1011" s="367"/>
      <c r="N1011" s="10"/>
      <c r="O1011" s="10"/>
      <c r="P1011" s="10"/>
      <c r="Q1011" s="10"/>
      <c r="R1011" s="10"/>
      <c r="S1011" s="10"/>
      <c r="T1011" s="10"/>
      <c r="U1011" s="10"/>
      <c r="V1011" s="10"/>
      <c r="W1011" s="10"/>
      <c r="X1011" s="10"/>
      <c r="Y1011" s="10"/>
      <c r="Z1011" s="10"/>
      <c r="AA1011" s="10"/>
      <c r="AB1011" s="10"/>
      <c r="AC1011" s="10"/>
      <c r="AD1011" s="10"/>
      <c r="AE1011" s="379"/>
      <c r="AF1011" s="379"/>
      <c r="AG1011" s="379"/>
      <c r="AH1011" s="379"/>
      <c r="AI1011" s="379"/>
    </row>
    <row r="1012" customFormat="false" ht="12.75" hidden="false" customHeight="true" outlineLevel="0" collapsed="false">
      <c r="B1012" s="361"/>
      <c r="C1012" s="369"/>
      <c r="D1012" s="362"/>
      <c r="E1012" s="363"/>
      <c r="F1012" s="364"/>
      <c r="G1012" s="363"/>
      <c r="H1012" s="363"/>
      <c r="I1012" s="370"/>
      <c r="J1012" s="363"/>
      <c r="K1012" s="363"/>
      <c r="L1012" s="363"/>
      <c r="M1012" s="367"/>
      <c r="N1012" s="10"/>
      <c r="O1012" s="10"/>
      <c r="P1012" s="10"/>
      <c r="Q1012" s="10"/>
      <c r="R1012" s="10"/>
      <c r="S1012" s="10"/>
      <c r="T1012" s="10"/>
      <c r="U1012" s="10"/>
      <c r="V1012" s="10"/>
      <c r="W1012" s="10"/>
      <c r="X1012" s="10"/>
      <c r="Y1012" s="10"/>
      <c r="Z1012" s="10"/>
      <c r="AA1012" s="10"/>
      <c r="AB1012" s="10"/>
      <c r="AC1012" s="10"/>
      <c r="AD1012" s="10"/>
      <c r="AE1012" s="379"/>
      <c r="AF1012" s="379"/>
      <c r="AG1012" s="379"/>
      <c r="AH1012" s="379"/>
      <c r="AI1012" s="379"/>
    </row>
    <row r="1013" customFormat="false" ht="12.75" hidden="false" customHeight="true" outlineLevel="0" collapsed="false">
      <c r="B1013" s="361"/>
      <c r="C1013" s="369"/>
      <c r="D1013" s="362"/>
      <c r="E1013" s="363"/>
      <c r="F1013" s="364"/>
      <c r="G1013" s="363"/>
      <c r="H1013" s="363"/>
      <c r="I1013" s="370"/>
      <c r="J1013" s="363"/>
      <c r="K1013" s="363"/>
      <c r="L1013" s="363"/>
      <c r="M1013" s="367"/>
      <c r="N1013" s="10"/>
      <c r="O1013" s="10"/>
      <c r="P1013" s="10"/>
      <c r="Q1013" s="10"/>
      <c r="R1013" s="10"/>
      <c r="S1013" s="10"/>
      <c r="T1013" s="10"/>
      <c r="U1013" s="10"/>
      <c r="V1013" s="10"/>
      <c r="W1013" s="10"/>
      <c r="X1013" s="10"/>
      <c r="Y1013" s="10"/>
      <c r="Z1013" s="10"/>
      <c r="AA1013" s="10"/>
      <c r="AB1013" s="10"/>
      <c r="AC1013" s="10"/>
      <c r="AD1013" s="10"/>
      <c r="AE1013" s="379"/>
      <c r="AF1013" s="379"/>
      <c r="AG1013" s="379"/>
      <c r="AH1013" s="379"/>
      <c r="AI1013" s="379"/>
    </row>
    <row r="1014" customFormat="false" ht="12.75" hidden="false" customHeight="true" outlineLevel="0" collapsed="false">
      <c r="B1014" s="361"/>
      <c r="C1014" s="369"/>
      <c r="D1014" s="362"/>
      <c r="E1014" s="363"/>
      <c r="F1014" s="364"/>
      <c r="G1014" s="363"/>
      <c r="H1014" s="363"/>
      <c r="I1014" s="370"/>
      <c r="J1014" s="363"/>
      <c r="K1014" s="363"/>
      <c r="L1014" s="363"/>
      <c r="M1014" s="367"/>
      <c r="N1014" s="10"/>
      <c r="O1014" s="10"/>
      <c r="P1014" s="10"/>
      <c r="Q1014" s="10"/>
      <c r="R1014" s="10"/>
      <c r="S1014" s="10"/>
      <c r="T1014" s="10"/>
      <c r="U1014" s="10"/>
      <c r="V1014" s="10"/>
      <c r="W1014" s="10"/>
      <c r="X1014" s="10"/>
      <c r="Y1014" s="10"/>
      <c r="Z1014" s="10"/>
      <c r="AA1014" s="10"/>
      <c r="AB1014" s="10"/>
      <c r="AC1014" s="10"/>
      <c r="AD1014" s="10"/>
      <c r="AE1014" s="379"/>
      <c r="AF1014" s="379"/>
      <c r="AG1014" s="379"/>
      <c r="AH1014" s="379"/>
      <c r="AI1014" s="379"/>
    </row>
    <row r="1015" customFormat="false" ht="12.75" hidden="false" customHeight="true" outlineLevel="0" collapsed="false">
      <c r="B1015" s="361"/>
      <c r="C1015" s="369"/>
      <c r="D1015" s="362"/>
      <c r="E1015" s="363"/>
      <c r="F1015" s="364"/>
      <c r="G1015" s="363"/>
      <c r="H1015" s="363"/>
      <c r="I1015" s="370"/>
      <c r="J1015" s="363"/>
      <c r="K1015" s="363"/>
      <c r="L1015" s="363"/>
      <c r="M1015" s="367"/>
      <c r="N1015" s="10"/>
      <c r="O1015" s="10"/>
      <c r="P1015" s="10"/>
      <c r="Q1015" s="10"/>
      <c r="R1015" s="10"/>
      <c r="S1015" s="10"/>
      <c r="T1015" s="10"/>
      <c r="U1015" s="10"/>
      <c r="V1015" s="10"/>
      <c r="W1015" s="10"/>
      <c r="X1015" s="10"/>
      <c r="Y1015" s="10"/>
      <c r="Z1015" s="10"/>
      <c r="AA1015" s="10"/>
      <c r="AB1015" s="10"/>
      <c r="AC1015" s="10"/>
      <c r="AD1015" s="10"/>
      <c r="AE1015" s="379"/>
      <c r="AF1015" s="379"/>
      <c r="AG1015" s="379"/>
      <c r="AH1015" s="379"/>
      <c r="AI1015" s="379"/>
    </row>
    <row r="1016" customFormat="false" ht="12.75" hidden="false" customHeight="true" outlineLevel="0" collapsed="false">
      <c r="B1016" s="361"/>
      <c r="C1016" s="369"/>
      <c r="D1016" s="362"/>
      <c r="E1016" s="363"/>
      <c r="F1016" s="364"/>
      <c r="G1016" s="363"/>
      <c r="H1016" s="363"/>
      <c r="I1016" s="370"/>
      <c r="J1016" s="363"/>
      <c r="K1016" s="363"/>
      <c r="L1016" s="363"/>
      <c r="M1016" s="367"/>
      <c r="N1016" s="10"/>
      <c r="O1016" s="10"/>
      <c r="P1016" s="10"/>
      <c r="Q1016" s="10"/>
      <c r="R1016" s="10"/>
      <c r="S1016" s="10"/>
      <c r="T1016" s="10"/>
      <c r="U1016" s="10"/>
      <c r="V1016" s="10"/>
      <c r="W1016" s="10"/>
      <c r="X1016" s="10"/>
      <c r="Y1016" s="10"/>
      <c r="Z1016" s="10"/>
      <c r="AA1016" s="10"/>
      <c r="AB1016" s="10"/>
      <c r="AC1016" s="10"/>
      <c r="AD1016" s="10"/>
      <c r="AE1016" s="379"/>
      <c r="AF1016" s="379"/>
      <c r="AG1016" s="379"/>
      <c r="AH1016" s="379"/>
      <c r="AI1016" s="379"/>
    </row>
    <row r="1017" customFormat="false" ht="12.75" hidden="false" customHeight="true" outlineLevel="0" collapsed="false">
      <c r="B1017" s="361"/>
      <c r="C1017" s="369"/>
      <c r="D1017" s="362"/>
      <c r="E1017" s="363"/>
      <c r="F1017" s="364"/>
      <c r="G1017" s="363"/>
      <c r="H1017" s="363"/>
      <c r="I1017" s="370"/>
      <c r="J1017" s="363"/>
      <c r="K1017" s="363"/>
      <c r="L1017" s="363"/>
      <c r="M1017" s="367"/>
      <c r="N1017" s="10"/>
      <c r="O1017" s="10"/>
      <c r="P1017" s="10"/>
      <c r="Q1017" s="10"/>
      <c r="R1017" s="10"/>
      <c r="S1017" s="10"/>
      <c r="T1017" s="10"/>
      <c r="U1017" s="10"/>
      <c r="V1017" s="10"/>
      <c r="W1017" s="10"/>
      <c r="X1017" s="10"/>
      <c r="Y1017" s="10"/>
      <c r="Z1017" s="10"/>
      <c r="AA1017" s="10"/>
      <c r="AB1017" s="10"/>
      <c r="AC1017" s="10"/>
      <c r="AD1017" s="10"/>
      <c r="AE1017" s="379"/>
      <c r="AF1017" s="379"/>
      <c r="AG1017" s="379"/>
      <c r="AH1017" s="379"/>
      <c r="AI1017" s="379"/>
    </row>
    <row r="1018" customFormat="false" ht="12.75" hidden="false" customHeight="true" outlineLevel="0" collapsed="false">
      <c r="B1018" s="361"/>
      <c r="C1018" s="369"/>
      <c r="D1018" s="362"/>
      <c r="E1018" s="363"/>
      <c r="F1018" s="364"/>
      <c r="G1018" s="363"/>
      <c r="H1018" s="363"/>
      <c r="I1018" s="370"/>
      <c r="J1018" s="363"/>
      <c r="K1018" s="363"/>
      <c r="L1018" s="363"/>
      <c r="M1018" s="367"/>
      <c r="N1018" s="10"/>
      <c r="O1018" s="10"/>
      <c r="P1018" s="10"/>
      <c r="Q1018" s="10"/>
      <c r="R1018" s="10"/>
      <c r="S1018" s="10"/>
      <c r="T1018" s="10"/>
      <c r="U1018" s="10"/>
      <c r="V1018" s="10"/>
      <c r="W1018" s="10"/>
      <c r="X1018" s="10"/>
      <c r="Y1018" s="10"/>
      <c r="Z1018" s="10"/>
      <c r="AA1018" s="10"/>
      <c r="AB1018" s="10"/>
      <c r="AC1018" s="10"/>
      <c r="AD1018" s="10"/>
      <c r="AE1018" s="379"/>
      <c r="AF1018" s="379"/>
      <c r="AG1018" s="379"/>
      <c r="AH1018" s="379"/>
      <c r="AI1018" s="379"/>
    </row>
    <row r="1019" customFormat="false" ht="12.75" hidden="false" customHeight="true" outlineLevel="0" collapsed="false">
      <c r="B1019" s="361"/>
      <c r="C1019" s="369"/>
      <c r="D1019" s="362"/>
      <c r="E1019" s="363"/>
      <c r="F1019" s="364"/>
      <c r="G1019" s="363"/>
      <c r="H1019" s="363"/>
      <c r="I1019" s="370"/>
      <c r="J1019" s="363"/>
      <c r="K1019" s="363"/>
      <c r="L1019" s="363"/>
      <c r="M1019" s="367"/>
      <c r="N1019" s="10"/>
      <c r="O1019" s="10"/>
      <c r="P1019" s="10"/>
      <c r="Q1019" s="10"/>
      <c r="R1019" s="10"/>
      <c r="S1019" s="10"/>
      <c r="T1019" s="10"/>
      <c r="U1019" s="10"/>
      <c r="V1019" s="10"/>
      <c r="W1019" s="10"/>
      <c r="X1019" s="10"/>
      <c r="Y1019" s="10"/>
      <c r="Z1019" s="10"/>
      <c r="AA1019" s="10"/>
      <c r="AB1019" s="10"/>
      <c r="AC1019" s="10"/>
      <c r="AD1019" s="10"/>
      <c r="AE1019" s="379"/>
      <c r="AF1019" s="379"/>
      <c r="AG1019" s="379"/>
      <c r="AH1019" s="379"/>
      <c r="AI1019" s="379"/>
    </row>
    <row r="1020" customFormat="false" ht="12.75" hidden="false" customHeight="true" outlineLevel="0" collapsed="false">
      <c r="B1020" s="361"/>
      <c r="C1020" s="362"/>
      <c r="D1020" s="362"/>
      <c r="E1020" s="363"/>
      <c r="F1020" s="374"/>
      <c r="G1020" s="363"/>
      <c r="H1020" s="363"/>
      <c r="I1020" s="363"/>
      <c r="J1020" s="363"/>
      <c r="K1020" s="363"/>
      <c r="L1020" s="363"/>
      <c r="M1020" s="367"/>
      <c r="N1020" s="10"/>
      <c r="O1020" s="10"/>
      <c r="P1020" s="10"/>
      <c r="Q1020" s="10"/>
      <c r="R1020" s="10"/>
      <c r="S1020" s="10"/>
      <c r="T1020" s="10"/>
      <c r="U1020" s="10"/>
      <c r="V1020" s="10"/>
      <c r="W1020" s="10"/>
      <c r="X1020" s="10"/>
      <c r="Y1020" s="10"/>
      <c r="Z1020" s="10"/>
      <c r="AA1020" s="10"/>
      <c r="AB1020" s="10"/>
      <c r="AC1020" s="10"/>
      <c r="AD1020" s="10"/>
      <c r="AE1020" s="379"/>
      <c r="AF1020" s="379"/>
      <c r="AG1020" s="379"/>
      <c r="AH1020" s="379"/>
      <c r="AI1020" s="379"/>
    </row>
    <row r="1021" customFormat="false" ht="12.75" hidden="false" customHeight="true" outlineLevel="0" collapsed="false">
      <c r="B1021" s="361"/>
      <c r="C1021" s="362"/>
      <c r="D1021" s="362"/>
      <c r="E1021" s="363"/>
      <c r="F1021" s="374"/>
      <c r="G1021" s="363"/>
      <c r="H1021" s="363"/>
      <c r="I1021" s="363"/>
      <c r="J1021" s="363"/>
      <c r="K1021" s="363"/>
      <c r="L1021" s="363"/>
      <c r="M1021" s="367"/>
      <c r="N1021" s="10"/>
      <c r="O1021" s="10"/>
      <c r="P1021" s="10"/>
      <c r="Q1021" s="10"/>
      <c r="R1021" s="10"/>
      <c r="S1021" s="10"/>
      <c r="T1021" s="10"/>
      <c r="U1021" s="10"/>
      <c r="V1021" s="10"/>
      <c r="W1021" s="10"/>
      <c r="X1021" s="10"/>
      <c r="Y1021" s="10"/>
      <c r="Z1021" s="10"/>
      <c r="AA1021" s="10"/>
      <c r="AB1021" s="10"/>
      <c r="AC1021" s="10"/>
      <c r="AD1021" s="10"/>
      <c r="AE1021" s="379"/>
      <c r="AF1021" s="379"/>
      <c r="AG1021" s="379"/>
      <c r="AH1021" s="379"/>
      <c r="AI1021" s="379"/>
    </row>
    <row r="1022" customFormat="false" ht="12.75" hidden="false" customHeight="true" outlineLevel="0" collapsed="false">
      <c r="B1022" s="368"/>
      <c r="C1022" s="362"/>
      <c r="D1022" s="362"/>
      <c r="E1022" s="363"/>
      <c r="F1022" s="374"/>
      <c r="G1022" s="363"/>
      <c r="H1022" s="363"/>
      <c r="I1022" s="363"/>
      <c r="J1022" s="363"/>
      <c r="K1022" s="363"/>
      <c r="L1022" s="363"/>
      <c r="M1022" s="367"/>
      <c r="N1022" s="10"/>
      <c r="O1022" s="10"/>
      <c r="P1022" s="10"/>
      <c r="Q1022" s="10"/>
      <c r="R1022" s="10"/>
      <c r="S1022" s="10"/>
      <c r="T1022" s="10"/>
      <c r="U1022" s="10"/>
      <c r="V1022" s="10"/>
      <c r="W1022" s="10"/>
      <c r="X1022" s="10"/>
      <c r="Y1022" s="10"/>
      <c r="Z1022" s="10"/>
      <c r="AA1022" s="10"/>
      <c r="AB1022" s="10"/>
      <c r="AC1022" s="10"/>
      <c r="AD1022" s="10"/>
      <c r="AE1022" s="379"/>
      <c r="AF1022" s="379"/>
      <c r="AG1022" s="379"/>
      <c r="AH1022" s="379"/>
      <c r="AI1022" s="379"/>
    </row>
    <row r="1023" customFormat="false" ht="12.75" hidden="false" customHeight="true" outlineLevel="0" collapsed="false">
      <c r="B1023" s="361"/>
      <c r="C1023" s="362"/>
      <c r="D1023" s="362"/>
      <c r="E1023" s="363"/>
      <c r="F1023" s="374"/>
      <c r="G1023" s="363"/>
      <c r="H1023" s="363"/>
      <c r="I1023" s="363"/>
      <c r="J1023" s="363"/>
      <c r="K1023" s="363"/>
      <c r="L1023" s="363"/>
      <c r="M1023" s="367"/>
      <c r="N1023" s="10"/>
      <c r="O1023" s="10"/>
      <c r="P1023" s="10"/>
      <c r="Q1023" s="10"/>
      <c r="R1023" s="10"/>
      <c r="S1023" s="10"/>
      <c r="T1023" s="10"/>
      <c r="U1023" s="10"/>
      <c r="V1023" s="10"/>
      <c r="W1023" s="10"/>
      <c r="X1023" s="10"/>
      <c r="Y1023" s="10"/>
      <c r="Z1023" s="10"/>
      <c r="AA1023" s="10"/>
      <c r="AB1023" s="10"/>
      <c r="AC1023" s="10"/>
      <c r="AD1023" s="10"/>
      <c r="AE1023" s="379"/>
      <c r="AF1023" s="379"/>
      <c r="AG1023" s="379"/>
      <c r="AH1023" s="379"/>
      <c r="AI1023" s="379"/>
    </row>
    <row r="1024" customFormat="false" ht="12.75" hidden="false" customHeight="true" outlineLevel="0" collapsed="false">
      <c r="B1024" s="361"/>
      <c r="C1024" s="362"/>
      <c r="D1024" s="362"/>
      <c r="E1024" s="363"/>
      <c r="F1024" s="374"/>
      <c r="G1024" s="363"/>
      <c r="H1024" s="363"/>
      <c r="I1024" s="363"/>
      <c r="J1024" s="363"/>
      <c r="K1024" s="363"/>
      <c r="L1024" s="363"/>
      <c r="M1024" s="367"/>
      <c r="N1024" s="10"/>
      <c r="O1024" s="10"/>
      <c r="P1024" s="10"/>
      <c r="Q1024" s="10"/>
      <c r="R1024" s="10"/>
      <c r="S1024" s="10"/>
      <c r="T1024" s="10"/>
      <c r="U1024" s="10"/>
      <c r="V1024" s="10"/>
      <c r="W1024" s="10"/>
      <c r="X1024" s="10"/>
      <c r="Y1024" s="10"/>
      <c r="Z1024" s="10"/>
      <c r="AA1024" s="10"/>
      <c r="AB1024" s="10"/>
      <c r="AC1024" s="10"/>
      <c r="AD1024" s="10"/>
      <c r="AE1024" s="379"/>
      <c r="AF1024" s="379"/>
      <c r="AG1024" s="379"/>
      <c r="AH1024" s="379"/>
      <c r="AI1024" s="379"/>
    </row>
    <row r="1025" customFormat="false" ht="12.75" hidden="false" customHeight="true" outlineLevel="0" collapsed="false">
      <c r="B1025" s="368"/>
      <c r="C1025" s="362"/>
      <c r="D1025" s="362"/>
      <c r="E1025" s="363"/>
      <c r="F1025" s="374"/>
      <c r="G1025" s="363"/>
      <c r="H1025" s="363"/>
      <c r="I1025" s="363"/>
      <c r="J1025" s="363"/>
      <c r="K1025" s="363"/>
      <c r="L1025" s="363"/>
      <c r="M1025" s="367"/>
      <c r="N1025" s="10"/>
      <c r="O1025" s="10"/>
      <c r="P1025" s="10"/>
      <c r="Q1025" s="10"/>
      <c r="R1025" s="10"/>
      <c r="S1025" s="10"/>
      <c r="T1025" s="10"/>
      <c r="U1025" s="10"/>
      <c r="V1025" s="10"/>
      <c r="W1025" s="10"/>
      <c r="X1025" s="10"/>
      <c r="Y1025" s="10"/>
      <c r="Z1025" s="10"/>
      <c r="AA1025" s="10"/>
      <c r="AB1025" s="10"/>
      <c r="AC1025" s="10"/>
      <c r="AD1025" s="10"/>
      <c r="AE1025" s="379"/>
      <c r="AF1025" s="379"/>
      <c r="AG1025" s="379"/>
      <c r="AH1025" s="379"/>
      <c r="AI1025" s="379"/>
    </row>
    <row r="1026" customFormat="false" ht="12.75" hidden="false" customHeight="true" outlineLevel="0" collapsed="false">
      <c r="B1026" s="361"/>
      <c r="C1026" s="362"/>
      <c r="D1026" s="362"/>
      <c r="E1026" s="363"/>
      <c r="F1026" s="374"/>
      <c r="G1026" s="363"/>
      <c r="H1026" s="363"/>
      <c r="I1026" s="363"/>
      <c r="J1026" s="363"/>
      <c r="K1026" s="363"/>
      <c r="L1026" s="363"/>
      <c r="M1026" s="367"/>
      <c r="N1026" s="10"/>
      <c r="O1026" s="10"/>
      <c r="P1026" s="10"/>
      <c r="Q1026" s="10"/>
      <c r="R1026" s="10"/>
      <c r="S1026" s="10"/>
      <c r="T1026" s="10"/>
      <c r="U1026" s="10"/>
      <c r="V1026" s="10"/>
      <c r="W1026" s="10"/>
      <c r="X1026" s="10"/>
      <c r="Y1026" s="10"/>
      <c r="Z1026" s="10"/>
      <c r="AA1026" s="10"/>
      <c r="AB1026" s="10"/>
      <c r="AC1026" s="10"/>
      <c r="AD1026" s="10"/>
      <c r="AE1026" s="379"/>
      <c r="AF1026" s="379"/>
      <c r="AG1026" s="379"/>
      <c r="AH1026" s="379"/>
      <c r="AI1026" s="379"/>
    </row>
    <row r="1027" customFormat="false" ht="12.75" hidden="false" customHeight="true" outlineLevel="0" collapsed="false">
      <c r="B1027" s="361"/>
      <c r="C1027" s="362"/>
      <c r="D1027" s="362"/>
      <c r="E1027" s="363"/>
      <c r="F1027" s="374"/>
      <c r="G1027" s="363"/>
      <c r="H1027" s="363"/>
      <c r="I1027" s="363"/>
      <c r="J1027" s="363"/>
      <c r="K1027" s="363"/>
      <c r="L1027" s="363"/>
      <c r="M1027" s="367"/>
      <c r="N1027" s="10"/>
      <c r="O1027" s="10"/>
      <c r="P1027" s="10"/>
      <c r="Q1027" s="10"/>
      <c r="R1027" s="10"/>
      <c r="S1027" s="10"/>
      <c r="T1027" s="10"/>
      <c r="U1027" s="10"/>
      <c r="V1027" s="10"/>
      <c r="W1027" s="10"/>
      <c r="X1027" s="10"/>
      <c r="Y1027" s="10"/>
      <c r="Z1027" s="10"/>
      <c r="AA1027" s="10"/>
      <c r="AB1027" s="10"/>
      <c r="AC1027" s="10"/>
      <c r="AD1027" s="10"/>
      <c r="AE1027" s="379"/>
      <c r="AF1027" s="379"/>
      <c r="AG1027" s="379"/>
      <c r="AH1027" s="379"/>
      <c r="AI1027" s="379"/>
    </row>
    <row r="1028" customFormat="false" ht="12.75" hidden="false" customHeight="true" outlineLevel="0" collapsed="false">
      <c r="B1028" s="368"/>
      <c r="C1028" s="362"/>
      <c r="D1028" s="362"/>
      <c r="E1028" s="363"/>
      <c r="F1028" s="374"/>
      <c r="G1028" s="363"/>
      <c r="H1028" s="363"/>
      <c r="I1028" s="363"/>
      <c r="J1028" s="363"/>
      <c r="K1028" s="363"/>
      <c r="L1028" s="363"/>
      <c r="M1028" s="367"/>
      <c r="N1028" s="10"/>
      <c r="O1028" s="10"/>
      <c r="P1028" s="10"/>
      <c r="Q1028" s="10"/>
      <c r="R1028" s="10"/>
      <c r="S1028" s="10"/>
      <c r="T1028" s="10"/>
      <c r="U1028" s="10"/>
      <c r="V1028" s="10"/>
      <c r="W1028" s="10"/>
      <c r="X1028" s="10"/>
      <c r="Y1028" s="10"/>
      <c r="Z1028" s="10"/>
      <c r="AA1028" s="10"/>
      <c r="AB1028" s="10"/>
      <c r="AC1028" s="10"/>
      <c r="AD1028" s="10"/>
      <c r="AE1028" s="379"/>
      <c r="AF1028" s="379"/>
      <c r="AG1028" s="379"/>
      <c r="AH1028" s="379"/>
      <c r="AI1028" s="379"/>
    </row>
    <row r="1029" customFormat="false" ht="12.75" hidden="false" customHeight="true" outlineLevel="0" collapsed="false">
      <c r="B1029" s="361"/>
      <c r="C1029" s="362"/>
      <c r="D1029" s="362"/>
      <c r="E1029" s="363"/>
      <c r="F1029" s="374"/>
      <c r="G1029" s="363"/>
      <c r="H1029" s="363"/>
      <c r="I1029" s="363"/>
      <c r="J1029" s="363"/>
      <c r="K1029" s="363"/>
      <c r="L1029" s="363"/>
      <c r="M1029" s="367"/>
      <c r="N1029" s="10"/>
      <c r="O1029" s="10"/>
      <c r="P1029" s="10"/>
      <c r="Q1029" s="10"/>
      <c r="R1029" s="10"/>
      <c r="S1029" s="10"/>
      <c r="T1029" s="10"/>
      <c r="U1029" s="10"/>
      <c r="V1029" s="10"/>
      <c r="W1029" s="10"/>
      <c r="X1029" s="10"/>
      <c r="Y1029" s="10"/>
      <c r="Z1029" s="10"/>
      <c r="AA1029" s="10"/>
      <c r="AB1029" s="10"/>
      <c r="AC1029" s="10"/>
      <c r="AD1029" s="10"/>
      <c r="AE1029" s="379"/>
      <c r="AF1029" s="379"/>
      <c r="AG1029" s="379"/>
      <c r="AH1029" s="379"/>
      <c r="AI1029" s="379"/>
    </row>
    <row r="1030" customFormat="false" ht="12.75" hidden="false" customHeight="true" outlineLevel="0" collapsed="false">
      <c r="B1030" s="361"/>
      <c r="C1030" s="369"/>
      <c r="D1030" s="369"/>
      <c r="E1030" s="370"/>
      <c r="F1030" s="375"/>
      <c r="G1030" s="370"/>
      <c r="H1030" s="370"/>
      <c r="I1030" s="370"/>
      <c r="J1030" s="370"/>
      <c r="K1030" s="370"/>
      <c r="L1030" s="370"/>
      <c r="M1030" s="367"/>
      <c r="N1030" s="10"/>
      <c r="O1030" s="10"/>
      <c r="P1030" s="10"/>
      <c r="Q1030" s="10"/>
      <c r="R1030" s="10"/>
      <c r="S1030" s="10"/>
      <c r="T1030" s="10"/>
      <c r="U1030" s="10"/>
      <c r="V1030" s="10"/>
      <c r="W1030" s="10"/>
      <c r="X1030" s="10"/>
      <c r="Y1030" s="10"/>
      <c r="Z1030" s="10"/>
      <c r="AA1030" s="10"/>
      <c r="AB1030" s="10"/>
      <c r="AC1030" s="10"/>
      <c r="AD1030" s="10"/>
      <c r="AE1030" s="379"/>
      <c r="AF1030" s="379"/>
      <c r="AG1030" s="379"/>
      <c r="AH1030" s="379"/>
      <c r="AI1030" s="379"/>
    </row>
    <row r="1031" customFormat="false" ht="12.75" hidden="false" customHeight="true" outlineLevel="0" collapsed="false">
      <c r="B1031" s="361"/>
      <c r="C1031" s="369"/>
      <c r="D1031" s="362"/>
      <c r="E1031" s="363"/>
      <c r="F1031" s="364"/>
      <c r="G1031" s="363"/>
      <c r="H1031" s="363"/>
      <c r="I1031" s="370"/>
      <c r="J1031" s="363"/>
      <c r="K1031" s="370"/>
      <c r="L1031" s="363"/>
      <c r="M1031" s="367"/>
      <c r="N1031" s="10"/>
      <c r="O1031" s="10"/>
      <c r="P1031" s="10"/>
      <c r="Q1031" s="10"/>
      <c r="R1031" s="10"/>
      <c r="S1031" s="10"/>
      <c r="T1031" s="10"/>
      <c r="U1031" s="10"/>
      <c r="V1031" s="10"/>
      <c r="W1031" s="10"/>
      <c r="X1031" s="10"/>
      <c r="Y1031" s="10"/>
      <c r="Z1031" s="10"/>
      <c r="AA1031" s="10"/>
      <c r="AB1031" s="10"/>
      <c r="AC1031" s="10"/>
      <c r="AD1031" s="10"/>
      <c r="AE1031" s="379"/>
      <c r="AF1031" s="379"/>
      <c r="AG1031" s="379"/>
      <c r="AH1031" s="379"/>
      <c r="AI1031" s="379"/>
    </row>
    <row r="1032" customFormat="false" ht="12.75" hidden="false" customHeight="true" outlineLevel="0" collapsed="false">
      <c r="B1032" s="361"/>
      <c r="C1032" s="369"/>
      <c r="D1032" s="362"/>
      <c r="E1032" s="363"/>
      <c r="F1032" s="364"/>
      <c r="G1032" s="363"/>
      <c r="H1032" s="363"/>
      <c r="I1032" s="370"/>
      <c r="J1032" s="363"/>
      <c r="K1032" s="363"/>
      <c r="L1032" s="363"/>
      <c r="M1032" s="367"/>
      <c r="N1032" s="10"/>
      <c r="O1032" s="10"/>
      <c r="P1032" s="10"/>
      <c r="Q1032" s="10"/>
      <c r="R1032" s="10"/>
      <c r="S1032" s="10"/>
      <c r="T1032" s="10"/>
      <c r="U1032" s="10"/>
      <c r="V1032" s="10"/>
      <c r="W1032" s="10"/>
      <c r="X1032" s="10"/>
      <c r="Y1032" s="10"/>
      <c r="Z1032" s="10"/>
      <c r="AA1032" s="10"/>
      <c r="AB1032" s="10"/>
      <c r="AC1032" s="10"/>
      <c r="AD1032" s="10"/>
      <c r="AE1032" s="379"/>
      <c r="AF1032" s="379"/>
      <c r="AG1032" s="379"/>
      <c r="AH1032" s="379"/>
      <c r="AI1032" s="379"/>
    </row>
    <row r="1033" customFormat="false" ht="12.75" hidden="false" customHeight="true" outlineLevel="0" collapsed="false">
      <c r="B1033" s="361"/>
      <c r="C1033" s="369"/>
      <c r="D1033" s="362"/>
      <c r="E1033" s="363"/>
      <c r="F1033" s="364"/>
      <c r="G1033" s="363"/>
      <c r="H1033" s="363"/>
      <c r="I1033" s="370"/>
      <c r="J1033" s="363"/>
      <c r="K1033" s="363"/>
      <c r="L1033" s="363"/>
      <c r="M1033" s="367"/>
      <c r="N1033" s="10"/>
      <c r="O1033" s="10"/>
      <c r="P1033" s="10"/>
      <c r="Q1033" s="10"/>
      <c r="R1033" s="10"/>
      <c r="S1033" s="10"/>
      <c r="T1033" s="10"/>
      <c r="U1033" s="10"/>
      <c r="V1033" s="10"/>
      <c r="W1033" s="10"/>
      <c r="X1033" s="10"/>
      <c r="Y1033" s="10"/>
      <c r="Z1033" s="10"/>
      <c r="AA1033" s="10"/>
      <c r="AB1033" s="10"/>
      <c r="AC1033" s="10"/>
      <c r="AD1033" s="10"/>
      <c r="AE1033" s="379"/>
      <c r="AF1033" s="379"/>
      <c r="AG1033" s="379"/>
      <c r="AH1033" s="379"/>
      <c r="AI1033" s="379"/>
    </row>
    <row r="1034" customFormat="false" ht="12.75" hidden="false" customHeight="true" outlineLevel="0" collapsed="false">
      <c r="B1034" s="361"/>
      <c r="C1034" s="369"/>
      <c r="D1034" s="362"/>
      <c r="E1034" s="363"/>
      <c r="F1034" s="364"/>
      <c r="G1034" s="363"/>
      <c r="H1034" s="363"/>
      <c r="I1034" s="370"/>
      <c r="J1034" s="363"/>
      <c r="K1034" s="363"/>
      <c r="L1034" s="363"/>
      <c r="M1034" s="367"/>
      <c r="N1034" s="10"/>
      <c r="O1034" s="10"/>
      <c r="P1034" s="10"/>
      <c r="Q1034" s="10"/>
      <c r="R1034" s="10"/>
      <c r="S1034" s="10"/>
      <c r="T1034" s="10"/>
      <c r="U1034" s="10"/>
      <c r="V1034" s="10"/>
      <c r="W1034" s="10"/>
      <c r="X1034" s="10"/>
      <c r="Y1034" s="10"/>
      <c r="Z1034" s="10"/>
      <c r="AA1034" s="10"/>
      <c r="AB1034" s="10"/>
      <c r="AC1034" s="10"/>
      <c r="AD1034" s="10"/>
      <c r="AE1034" s="379"/>
      <c r="AF1034" s="379"/>
      <c r="AG1034" s="379"/>
      <c r="AH1034" s="379"/>
      <c r="AI1034" s="379"/>
    </row>
    <row r="1035" customFormat="false" ht="12.75" hidden="false" customHeight="true" outlineLevel="0" collapsed="false">
      <c r="B1035" s="361"/>
      <c r="C1035" s="369"/>
      <c r="D1035" s="362"/>
      <c r="E1035" s="363"/>
      <c r="F1035" s="364"/>
      <c r="G1035" s="363"/>
      <c r="H1035" s="363"/>
      <c r="I1035" s="370"/>
      <c r="J1035" s="363"/>
      <c r="K1035" s="363"/>
      <c r="L1035" s="363"/>
      <c r="M1035" s="367"/>
      <c r="N1035" s="10"/>
      <c r="O1035" s="10"/>
      <c r="P1035" s="10"/>
      <c r="Q1035" s="10"/>
      <c r="R1035" s="10"/>
      <c r="S1035" s="10"/>
      <c r="T1035" s="10"/>
      <c r="U1035" s="10"/>
      <c r="V1035" s="10"/>
      <c r="W1035" s="10"/>
      <c r="X1035" s="10"/>
      <c r="Y1035" s="10"/>
      <c r="Z1035" s="10"/>
      <c r="AA1035" s="10"/>
      <c r="AB1035" s="10"/>
      <c r="AC1035" s="10"/>
      <c r="AD1035" s="10"/>
      <c r="AE1035" s="379"/>
      <c r="AF1035" s="379"/>
      <c r="AG1035" s="379"/>
      <c r="AH1035" s="379"/>
      <c r="AI1035" s="379"/>
    </row>
    <row r="1036" customFormat="false" ht="12.75" hidden="false" customHeight="true" outlineLevel="0" collapsed="false">
      <c r="B1036" s="361"/>
      <c r="C1036" s="369"/>
      <c r="D1036" s="362"/>
      <c r="E1036" s="363"/>
      <c r="F1036" s="364"/>
      <c r="G1036" s="363"/>
      <c r="H1036" s="363"/>
      <c r="I1036" s="370"/>
      <c r="J1036" s="363"/>
      <c r="K1036" s="363"/>
      <c r="L1036" s="363"/>
      <c r="M1036" s="367"/>
      <c r="N1036" s="10"/>
      <c r="O1036" s="10"/>
      <c r="P1036" s="10"/>
      <c r="Q1036" s="10"/>
      <c r="R1036" s="10"/>
      <c r="S1036" s="10"/>
      <c r="T1036" s="10"/>
      <c r="U1036" s="10"/>
      <c r="V1036" s="10"/>
      <c r="W1036" s="10"/>
      <c r="X1036" s="10"/>
      <c r="Y1036" s="10"/>
      <c r="Z1036" s="10"/>
      <c r="AA1036" s="10"/>
      <c r="AB1036" s="10"/>
      <c r="AC1036" s="10"/>
      <c r="AD1036" s="10"/>
      <c r="AE1036" s="379"/>
      <c r="AF1036" s="379"/>
      <c r="AG1036" s="379"/>
      <c r="AH1036" s="379"/>
      <c r="AI1036" s="379"/>
    </row>
    <row r="1037" customFormat="false" ht="12.75" hidden="false" customHeight="true" outlineLevel="0" collapsed="false">
      <c r="B1037" s="361"/>
      <c r="C1037" s="369"/>
      <c r="D1037" s="362"/>
      <c r="E1037" s="363"/>
      <c r="F1037" s="364"/>
      <c r="G1037" s="363"/>
      <c r="H1037" s="363"/>
      <c r="I1037" s="370"/>
      <c r="J1037" s="363"/>
      <c r="K1037" s="363"/>
      <c r="L1037" s="363"/>
      <c r="M1037" s="367"/>
      <c r="N1037" s="10"/>
      <c r="O1037" s="10"/>
      <c r="P1037" s="10"/>
      <c r="Q1037" s="10"/>
      <c r="R1037" s="10"/>
      <c r="S1037" s="10"/>
      <c r="T1037" s="10"/>
      <c r="U1037" s="10"/>
      <c r="V1037" s="10"/>
      <c r="W1037" s="10"/>
      <c r="X1037" s="10"/>
      <c r="Y1037" s="10"/>
      <c r="Z1037" s="10"/>
      <c r="AA1037" s="10"/>
      <c r="AB1037" s="10"/>
      <c r="AC1037" s="10"/>
      <c r="AD1037" s="10"/>
      <c r="AE1037" s="379"/>
      <c r="AF1037" s="379"/>
      <c r="AG1037" s="379"/>
      <c r="AH1037" s="379"/>
      <c r="AI1037" s="379"/>
    </row>
    <row r="1038" customFormat="false" ht="12.75" hidden="false" customHeight="true" outlineLevel="0" collapsed="false">
      <c r="B1038" s="361"/>
      <c r="C1038" s="369"/>
      <c r="D1038" s="362"/>
      <c r="E1038" s="363"/>
      <c r="F1038" s="364"/>
      <c r="G1038" s="363"/>
      <c r="H1038" s="363"/>
      <c r="I1038" s="370"/>
      <c r="J1038" s="370"/>
      <c r="K1038" s="363"/>
      <c r="L1038" s="363"/>
      <c r="M1038" s="367"/>
      <c r="N1038" s="10"/>
      <c r="O1038" s="10"/>
      <c r="P1038" s="10"/>
      <c r="Q1038" s="10"/>
      <c r="R1038" s="10"/>
      <c r="S1038" s="10"/>
      <c r="T1038" s="10"/>
      <c r="U1038" s="10"/>
      <c r="V1038" s="10"/>
      <c r="W1038" s="10"/>
      <c r="X1038" s="10"/>
      <c r="Y1038" s="10"/>
      <c r="Z1038" s="10"/>
      <c r="AA1038" s="10"/>
      <c r="AB1038" s="10"/>
      <c r="AC1038" s="10"/>
      <c r="AD1038" s="10"/>
      <c r="AE1038" s="379"/>
      <c r="AF1038" s="379"/>
      <c r="AG1038" s="379"/>
      <c r="AH1038" s="379"/>
      <c r="AI1038" s="379"/>
    </row>
    <row r="1039" customFormat="false" ht="12.75" hidden="false" customHeight="true" outlineLevel="0" collapsed="false">
      <c r="B1039" s="361"/>
      <c r="C1039" s="369"/>
      <c r="D1039" s="362"/>
      <c r="E1039" s="363"/>
      <c r="F1039" s="364"/>
      <c r="G1039" s="363"/>
      <c r="H1039" s="363"/>
      <c r="I1039" s="370"/>
      <c r="J1039" s="363"/>
      <c r="K1039" s="363"/>
      <c r="L1039" s="363"/>
      <c r="M1039" s="367"/>
      <c r="N1039" s="10"/>
      <c r="O1039" s="10"/>
      <c r="P1039" s="10"/>
      <c r="Q1039" s="10"/>
      <c r="R1039" s="10"/>
      <c r="S1039" s="10"/>
      <c r="T1039" s="10"/>
      <c r="U1039" s="10"/>
      <c r="V1039" s="10"/>
      <c r="W1039" s="10"/>
      <c r="X1039" s="10"/>
      <c r="Y1039" s="10"/>
      <c r="Z1039" s="10"/>
      <c r="AA1039" s="10"/>
      <c r="AB1039" s="10"/>
      <c r="AC1039" s="10"/>
      <c r="AD1039" s="10"/>
      <c r="AE1039" s="379"/>
      <c r="AF1039" s="379"/>
      <c r="AG1039" s="379"/>
      <c r="AH1039" s="379"/>
      <c r="AI1039" s="379"/>
    </row>
    <row r="1040" customFormat="false" ht="12.75" hidden="false" customHeight="true" outlineLevel="0" collapsed="false">
      <c r="B1040" s="361"/>
      <c r="C1040" s="369"/>
      <c r="D1040" s="362"/>
      <c r="E1040" s="363"/>
      <c r="F1040" s="364"/>
      <c r="G1040" s="363"/>
      <c r="H1040" s="363"/>
      <c r="I1040" s="370"/>
      <c r="J1040" s="363"/>
      <c r="K1040" s="363"/>
      <c r="L1040" s="370"/>
      <c r="M1040" s="367"/>
      <c r="N1040" s="10"/>
      <c r="O1040" s="10"/>
      <c r="P1040" s="10"/>
      <c r="Q1040" s="10"/>
      <c r="R1040" s="10"/>
      <c r="S1040" s="10"/>
      <c r="T1040" s="10"/>
      <c r="U1040" s="10"/>
      <c r="V1040" s="10"/>
      <c r="W1040" s="10"/>
      <c r="X1040" s="10"/>
      <c r="Y1040" s="10"/>
      <c r="Z1040" s="10"/>
      <c r="AA1040" s="10"/>
      <c r="AB1040" s="10"/>
      <c r="AC1040" s="10"/>
      <c r="AD1040" s="10"/>
      <c r="AE1040" s="379"/>
      <c r="AF1040" s="379"/>
      <c r="AG1040" s="379"/>
      <c r="AH1040" s="379"/>
      <c r="AI1040" s="379"/>
    </row>
    <row r="1041" customFormat="false" ht="12.75" hidden="false" customHeight="true" outlineLevel="0" collapsed="false">
      <c r="B1041" s="361"/>
      <c r="C1041" s="369"/>
      <c r="D1041" s="362"/>
      <c r="E1041" s="363"/>
      <c r="F1041" s="364"/>
      <c r="G1041" s="363"/>
      <c r="H1041" s="363"/>
      <c r="I1041" s="370"/>
      <c r="J1041" s="363"/>
      <c r="K1041" s="363"/>
      <c r="L1041" s="363"/>
      <c r="M1041" s="367"/>
      <c r="N1041" s="10"/>
      <c r="O1041" s="10"/>
      <c r="P1041" s="10"/>
      <c r="Q1041" s="10"/>
      <c r="R1041" s="10"/>
      <c r="S1041" s="10"/>
      <c r="T1041" s="10"/>
      <c r="U1041" s="10"/>
      <c r="V1041" s="10"/>
      <c r="W1041" s="10"/>
      <c r="X1041" s="10"/>
      <c r="Y1041" s="10"/>
      <c r="Z1041" s="10"/>
      <c r="AA1041" s="10"/>
      <c r="AB1041" s="10"/>
      <c r="AC1041" s="10"/>
      <c r="AD1041" s="10"/>
      <c r="AE1041" s="379"/>
      <c r="AF1041" s="379"/>
      <c r="AG1041" s="379"/>
      <c r="AH1041" s="379"/>
      <c r="AI1041" s="379"/>
    </row>
    <row r="1042" customFormat="false" ht="12.75" hidden="false" customHeight="true" outlineLevel="0" collapsed="false">
      <c r="B1042" s="361"/>
      <c r="C1042" s="369"/>
      <c r="D1042" s="362"/>
      <c r="E1042" s="363"/>
      <c r="F1042" s="364"/>
      <c r="G1042" s="363"/>
      <c r="H1042" s="363"/>
      <c r="I1042" s="370"/>
      <c r="J1042" s="363"/>
      <c r="K1042" s="363"/>
      <c r="L1042" s="363"/>
      <c r="M1042" s="367"/>
      <c r="N1042" s="10"/>
      <c r="O1042" s="10"/>
      <c r="P1042" s="10"/>
      <c r="Q1042" s="10"/>
      <c r="R1042" s="10"/>
      <c r="S1042" s="10"/>
      <c r="T1042" s="10"/>
      <c r="U1042" s="10"/>
      <c r="V1042" s="10"/>
      <c r="W1042" s="10"/>
      <c r="X1042" s="10"/>
      <c r="Y1042" s="10"/>
      <c r="Z1042" s="10"/>
      <c r="AA1042" s="10"/>
      <c r="AB1042" s="10"/>
      <c r="AC1042" s="10"/>
      <c r="AD1042" s="10"/>
      <c r="AE1042" s="379"/>
      <c r="AF1042" s="379"/>
      <c r="AG1042" s="379"/>
      <c r="AH1042" s="379"/>
      <c r="AI1042" s="379"/>
    </row>
    <row r="1043" customFormat="false" ht="12.75" hidden="false" customHeight="true" outlineLevel="0" collapsed="false">
      <c r="B1043" s="361"/>
      <c r="C1043" s="369"/>
      <c r="D1043" s="362"/>
      <c r="E1043" s="363"/>
      <c r="F1043" s="364"/>
      <c r="G1043" s="363"/>
      <c r="H1043" s="363"/>
      <c r="I1043" s="370"/>
      <c r="J1043" s="363"/>
      <c r="K1043" s="363"/>
      <c r="L1043" s="363"/>
      <c r="M1043" s="367"/>
      <c r="N1043" s="10"/>
      <c r="O1043" s="10"/>
      <c r="P1043" s="10"/>
      <c r="Q1043" s="10"/>
      <c r="R1043" s="10"/>
      <c r="S1043" s="10"/>
      <c r="T1043" s="10"/>
      <c r="U1043" s="10"/>
      <c r="V1043" s="10"/>
      <c r="W1043" s="10"/>
      <c r="X1043" s="10"/>
      <c r="Y1043" s="10"/>
      <c r="Z1043" s="10"/>
      <c r="AA1043" s="10"/>
      <c r="AB1043" s="10"/>
      <c r="AC1043" s="10"/>
      <c r="AD1043" s="10"/>
      <c r="AE1043" s="379"/>
      <c r="AF1043" s="379"/>
      <c r="AG1043" s="379"/>
      <c r="AH1043" s="379"/>
      <c r="AI1043" s="379"/>
    </row>
    <row r="1044" customFormat="false" ht="12.75" hidden="false" customHeight="true" outlineLevel="0" collapsed="false">
      <c r="B1044" s="361"/>
      <c r="C1044" s="369"/>
      <c r="D1044" s="362"/>
      <c r="E1044" s="363"/>
      <c r="F1044" s="364"/>
      <c r="G1044" s="363"/>
      <c r="H1044" s="363"/>
      <c r="I1044" s="370"/>
      <c r="J1044" s="363"/>
      <c r="K1044" s="363"/>
      <c r="L1044" s="363"/>
      <c r="M1044" s="367"/>
      <c r="N1044" s="10"/>
      <c r="O1044" s="10"/>
      <c r="P1044" s="10"/>
      <c r="Q1044" s="10"/>
      <c r="R1044" s="10"/>
      <c r="S1044" s="10"/>
      <c r="T1044" s="10"/>
      <c r="U1044" s="10"/>
      <c r="V1044" s="10"/>
      <c r="W1044" s="10"/>
      <c r="X1044" s="10"/>
      <c r="Y1044" s="10"/>
      <c r="Z1044" s="10"/>
      <c r="AA1044" s="10"/>
      <c r="AB1044" s="10"/>
      <c r="AC1044" s="10"/>
      <c r="AD1044" s="10"/>
      <c r="AE1044" s="379"/>
      <c r="AF1044" s="379"/>
      <c r="AG1044" s="379"/>
      <c r="AH1044" s="379"/>
      <c r="AI1044" s="379"/>
    </row>
    <row r="1045" customFormat="false" ht="12.75" hidden="false" customHeight="true" outlineLevel="0" collapsed="false">
      <c r="B1045" s="361"/>
      <c r="C1045" s="369"/>
      <c r="D1045" s="362"/>
      <c r="E1045" s="363"/>
      <c r="F1045" s="364"/>
      <c r="G1045" s="363"/>
      <c r="H1045" s="363"/>
      <c r="I1045" s="370"/>
      <c r="J1045" s="363"/>
      <c r="K1045" s="363"/>
      <c r="L1045" s="363"/>
      <c r="M1045" s="367"/>
      <c r="N1045" s="10"/>
      <c r="O1045" s="10"/>
      <c r="P1045" s="10"/>
      <c r="Q1045" s="10"/>
      <c r="R1045" s="10"/>
      <c r="S1045" s="10"/>
      <c r="T1045" s="10"/>
      <c r="U1045" s="10"/>
      <c r="V1045" s="10"/>
      <c r="W1045" s="10"/>
      <c r="X1045" s="10"/>
      <c r="Y1045" s="10"/>
      <c r="Z1045" s="10"/>
      <c r="AA1045" s="10"/>
      <c r="AB1045" s="10"/>
      <c r="AC1045" s="10"/>
      <c r="AD1045" s="10"/>
      <c r="AE1045" s="379"/>
      <c r="AF1045" s="379"/>
      <c r="AG1045" s="379"/>
      <c r="AH1045" s="379"/>
      <c r="AI1045" s="379"/>
    </row>
    <row r="1046" customFormat="false" ht="12.75" hidden="false" customHeight="true" outlineLevel="0" collapsed="false">
      <c r="B1046" s="361"/>
      <c r="C1046" s="369"/>
      <c r="D1046" s="362"/>
      <c r="E1046" s="363"/>
      <c r="F1046" s="364"/>
      <c r="G1046" s="363"/>
      <c r="H1046" s="363"/>
      <c r="I1046" s="370"/>
      <c r="J1046" s="363"/>
      <c r="K1046" s="363"/>
      <c r="L1046" s="363"/>
      <c r="M1046" s="367"/>
      <c r="N1046" s="10"/>
      <c r="O1046" s="10"/>
      <c r="P1046" s="10"/>
      <c r="Q1046" s="10"/>
      <c r="R1046" s="10"/>
      <c r="S1046" s="10"/>
      <c r="T1046" s="10"/>
      <c r="U1046" s="10"/>
      <c r="V1046" s="10"/>
      <c r="W1046" s="10"/>
      <c r="X1046" s="10"/>
      <c r="Y1046" s="10"/>
      <c r="Z1046" s="10"/>
      <c r="AA1046" s="10"/>
      <c r="AB1046" s="10"/>
      <c r="AC1046" s="10"/>
      <c r="AD1046" s="10"/>
      <c r="AE1046" s="379"/>
      <c r="AF1046" s="379"/>
      <c r="AG1046" s="379"/>
      <c r="AH1046" s="379"/>
      <c r="AI1046" s="379"/>
    </row>
    <row r="1047" customFormat="false" ht="12.75" hidden="false" customHeight="true" outlineLevel="0" collapsed="false">
      <c r="B1047" s="361"/>
      <c r="C1047" s="369"/>
      <c r="D1047" s="362"/>
      <c r="E1047" s="363"/>
      <c r="F1047" s="364"/>
      <c r="G1047" s="363"/>
      <c r="H1047" s="363"/>
      <c r="I1047" s="370"/>
      <c r="J1047" s="363"/>
      <c r="K1047" s="363"/>
      <c r="L1047" s="363"/>
      <c r="M1047" s="367"/>
      <c r="N1047" s="10"/>
      <c r="O1047" s="10"/>
      <c r="P1047" s="10"/>
      <c r="Q1047" s="10"/>
      <c r="R1047" s="10"/>
      <c r="S1047" s="10"/>
      <c r="T1047" s="10"/>
      <c r="U1047" s="10"/>
      <c r="V1047" s="10"/>
      <c r="W1047" s="10"/>
      <c r="X1047" s="10"/>
      <c r="Y1047" s="10"/>
      <c r="Z1047" s="10"/>
      <c r="AA1047" s="10"/>
      <c r="AB1047" s="10"/>
      <c r="AC1047" s="10"/>
      <c r="AD1047" s="10"/>
      <c r="AE1047" s="379"/>
      <c r="AF1047" s="379"/>
      <c r="AG1047" s="379"/>
      <c r="AH1047" s="379"/>
      <c r="AI1047" s="379"/>
    </row>
    <row r="1048" customFormat="false" ht="12.75" hidden="false" customHeight="true" outlineLevel="0" collapsed="false">
      <c r="B1048" s="361"/>
      <c r="C1048" s="369"/>
      <c r="D1048" s="362"/>
      <c r="E1048" s="363"/>
      <c r="F1048" s="364"/>
      <c r="G1048" s="363"/>
      <c r="H1048" s="363"/>
      <c r="I1048" s="370"/>
      <c r="J1048" s="363"/>
      <c r="K1048" s="363"/>
      <c r="L1048" s="363"/>
      <c r="M1048" s="367"/>
      <c r="N1048" s="10"/>
      <c r="O1048" s="10"/>
      <c r="P1048" s="10"/>
      <c r="Q1048" s="10"/>
      <c r="R1048" s="10"/>
      <c r="S1048" s="10"/>
      <c r="T1048" s="10"/>
      <c r="U1048" s="10"/>
      <c r="V1048" s="10"/>
      <c r="W1048" s="10"/>
      <c r="X1048" s="10"/>
      <c r="Y1048" s="10"/>
      <c r="Z1048" s="10"/>
      <c r="AA1048" s="10"/>
      <c r="AB1048" s="10"/>
      <c r="AC1048" s="10"/>
      <c r="AD1048" s="10"/>
      <c r="AE1048" s="379"/>
      <c r="AF1048" s="379"/>
      <c r="AG1048" s="379"/>
      <c r="AH1048" s="379"/>
      <c r="AI1048" s="379"/>
    </row>
    <row r="1049" customFormat="false" ht="12.75" hidden="false" customHeight="true" outlineLevel="0" collapsed="false">
      <c r="B1049" s="361"/>
      <c r="C1049" s="369"/>
      <c r="D1049" s="362"/>
      <c r="E1049" s="363"/>
      <c r="F1049" s="364"/>
      <c r="G1049" s="363"/>
      <c r="H1049" s="363"/>
      <c r="I1049" s="370"/>
      <c r="J1049" s="363"/>
      <c r="K1049" s="363"/>
      <c r="L1049" s="363"/>
      <c r="M1049" s="367"/>
      <c r="N1049" s="10"/>
      <c r="O1049" s="10"/>
      <c r="P1049" s="10"/>
      <c r="Q1049" s="10"/>
      <c r="R1049" s="10"/>
      <c r="S1049" s="10"/>
      <c r="T1049" s="10"/>
      <c r="U1049" s="10"/>
      <c r="V1049" s="10"/>
      <c r="W1049" s="10"/>
      <c r="X1049" s="10"/>
      <c r="Y1049" s="10"/>
      <c r="Z1049" s="10"/>
      <c r="AA1049" s="10"/>
      <c r="AB1049" s="10"/>
      <c r="AC1049" s="10"/>
      <c r="AD1049" s="10"/>
      <c r="AE1049" s="379"/>
      <c r="AF1049" s="379"/>
      <c r="AG1049" s="379"/>
      <c r="AH1049" s="379"/>
      <c r="AI1049" s="379"/>
    </row>
    <row r="1050" customFormat="false" ht="12.75" hidden="false" customHeight="true" outlineLevel="0" collapsed="false">
      <c r="B1050" s="361"/>
      <c r="C1050" s="369"/>
      <c r="D1050" s="362"/>
      <c r="E1050" s="363"/>
      <c r="F1050" s="364"/>
      <c r="G1050" s="363"/>
      <c r="H1050" s="363"/>
      <c r="I1050" s="370"/>
      <c r="J1050" s="363"/>
      <c r="K1050" s="363"/>
      <c r="L1050" s="363"/>
      <c r="M1050" s="367"/>
      <c r="N1050" s="10"/>
      <c r="O1050" s="10"/>
      <c r="P1050" s="10"/>
      <c r="Q1050" s="10"/>
      <c r="R1050" s="10"/>
      <c r="S1050" s="10"/>
      <c r="T1050" s="10"/>
      <c r="U1050" s="10"/>
      <c r="V1050" s="10"/>
      <c r="W1050" s="10"/>
      <c r="X1050" s="10"/>
      <c r="Y1050" s="10"/>
      <c r="Z1050" s="10"/>
      <c r="AA1050" s="10"/>
      <c r="AB1050" s="10"/>
      <c r="AC1050" s="10"/>
      <c r="AD1050" s="10"/>
      <c r="AE1050" s="379"/>
      <c r="AF1050" s="379"/>
      <c r="AG1050" s="379"/>
      <c r="AH1050" s="379"/>
      <c r="AI1050" s="379"/>
    </row>
    <row r="1051" customFormat="false" ht="12.75" hidden="false" customHeight="true" outlineLevel="0" collapsed="false">
      <c r="B1051" s="361"/>
      <c r="C1051" s="369"/>
      <c r="D1051" s="362"/>
      <c r="E1051" s="363"/>
      <c r="F1051" s="364"/>
      <c r="G1051" s="363"/>
      <c r="H1051" s="363"/>
      <c r="I1051" s="370"/>
      <c r="J1051" s="363"/>
      <c r="K1051" s="363"/>
      <c r="L1051" s="363"/>
      <c r="M1051" s="367"/>
      <c r="N1051" s="10"/>
      <c r="O1051" s="10"/>
      <c r="P1051" s="10"/>
      <c r="Q1051" s="10"/>
      <c r="R1051" s="10"/>
      <c r="S1051" s="10"/>
      <c r="T1051" s="10"/>
      <c r="U1051" s="10"/>
      <c r="V1051" s="10"/>
      <c r="W1051" s="10"/>
      <c r="X1051" s="10"/>
      <c r="Y1051" s="10"/>
      <c r="Z1051" s="10"/>
      <c r="AA1051" s="10"/>
      <c r="AB1051" s="10"/>
      <c r="AC1051" s="10"/>
      <c r="AD1051" s="10"/>
      <c r="AE1051" s="379"/>
      <c r="AF1051" s="379"/>
      <c r="AG1051" s="379"/>
      <c r="AH1051" s="379"/>
      <c r="AI1051" s="379"/>
    </row>
    <row r="1052" customFormat="false" ht="12.75" hidden="false" customHeight="true" outlineLevel="0" collapsed="false">
      <c r="B1052" s="361"/>
      <c r="C1052" s="369"/>
      <c r="D1052" s="362"/>
      <c r="E1052" s="363"/>
      <c r="F1052" s="364"/>
      <c r="G1052" s="363"/>
      <c r="H1052" s="363"/>
      <c r="I1052" s="370"/>
      <c r="J1052" s="363"/>
      <c r="K1052" s="363"/>
      <c r="L1052" s="363"/>
      <c r="M1052" s="367"/>
      <c r="N1052" s="10"/>
      <c r="O1052" s="10"/>
      <c r="P1052" s="10"/>
      <c r="Q1052" s="10"/>
      <c r="R1052" s="10"/>
      <c r="S1052" s="10"/>
      <c r="T1052" s="10"/>
      <c r="U1052" s="10"/>
      <c r="V1052" s="10"/>
      <c r="W1052" s="10"/>
      <c r="X1052" s="10"/>
      <c r="Y1052" s="10"/>
      <c r="Z1052" s="10"/>
      <c r="AA1052" s="10"/>
      <c r="AB1052" s="10"/>
      <c r="AC1052" s="10"/>
      <c r="AD1052" s="10"/>
      <c r="AE1052" s="379"/>
      <c r="AF1052" s="379"/>
      <c r="AG1052" s="379"/>
      <c r="AH1052" s="379"/>
      <c r="AI1052" s="379"/>
    </row>
    <row r="1053" customFormat="false" ht="12.75" hidden="false" customHeight="true" outlineLevel="0" collapsed="false">
      <c r="B1053" s="361"/>
      <c r="C1053" s="369"/>
      <c r="D1053" s="362"/>
      <c r="E1053" s="363"/>
      <c r="F1053" s="364"/>
      <c r="G1053" s="363"/>
      <c r="H1053" s="363"/>
      <c r="I1053" s="370"/>
      <c r="J1053" s="363"/>
      <c r="K1053" s="363"/>
      <c r="L1053" s="363"/>
      <c r="M1053" s="367"/>
      <c r="N1053" s="10"/>
      <c r="O1053" s="10"/>
      <c r="P1053" s="10"/>
      <c r="Q1053" s="10"/>
      <c r="R1053" s="10"/>
      <c r="S1053" s="10"/>
      <c r="T1053" s="10"/>
      <c r="U1053" s="10"/>
      <c r="V1053" s="10"/>
      <c r="W1053" s="10"/>
      <c r="X1053" s="10"/>
      <c r="Y1053" s="10"/>
      <c r="Z1053" s="10"/>
      <c r="AA1053" s="10"/>
      <c r="AB1053" s="10"/>
      <c r="AC1053" s="10"/>
      <c r="AD1053" s="10"/>
      <c r="AE1053" s="379"/>
      <c r="AF1053" s="379"/>
      <c r="AG1053" s="379"/>
      <c r="AH1053" s="379"/>
      <c r="AI1053" s="379"/>
    </row>
    <row r="1054" customFormat="false" ht="12.75" hidden="false" customHeight="true" outlineLevel="0" collapsed="false">
      <c r="B1054" s="361"/>
      <c r="C1054" s="369"/>
      <c r="D1054" s="362"/>
      <c r="E1054" s="363"/>
      <c r="F1054" s="364"/>
      <c r="G1054" s="363"/>
      <c r="H1054" s="363"/>
      <c r="I1054" s="370"/>
      <c r="J1054" s="363"/>
      <c r="K1054" s="363"/>
      <c r="L1054" s="363"/>
      <c r="M1054" s="367"/>
      <c r="N1054" s="10"/>
      <c r="O1054" s="10"/>
      <c r="P1054" s="10"/>
      <c r="Q1054" s="10"/>
      <c r="R1054" s="10"/>
      <c r="S1054" s="10"/>
      <c r="T1054" s="10"/>
      <c r="U1054" s="10"/>
      <c r="V1054" s="10"/>
      <c r="W1054" s="10"/>
      <c r="X1054" s="10"/>
      <c r="Y1054" s="10"/>
      <c r="Z1054" s="10"/>
      <c r="AA1054" s="10"/>
      <c r="AB1054" s="10"/>
      <c r="AC1054" s="10"/>
      <c r="AD1054" s="10"/>
      <c r="AE1054" s="379"/>
      <c r="AF1054" s="379"/>
      <c r="AG1054" s="379"/>
      <c r="AH1054" s="379"/>
      <c r="AI1054" s="379"/>
    </row>
    <row r="1055" customFormat="false" ht="12.75" hidden="false" customHeight="true" outlineLevel="0" collapsed="false">
      <c r="B1055" s="361"/>
      <c r="C1055" s="369"/>
      <c r="D1055" s="362"/>
      <c r="E1055" s="363"/>
      <c r="F1055" s="364"/>
      <c r="G1055" s="363"/>
      <c r="H1055" s="363"/>
      <c r="I1055" s="370"/>
      <c r="J1055" s="363"/>
      <c r="K1055" s="363"/>
      <c r="L1055" s="363"/>
      <c r="M1055" s="367"/>
      <c r="N1055" s="10"/>
      <c r="O1055" s="10"/>
      <c r="P1055" s="10"/>
      <c r="Q1055" s="10"/>
      <c r="R1055" s="10"/>
      <c r="S1055" s="10"/>
      <c r="T1055" s="10"/>
      <c r="U1055" s="10"/>
      <c r="V1055" s="10"/>
      <c r="W1055" s="10"/>
      <c r="X1055" s="10"/>
      <c r="Y1055" s="10"/>
      <c r="Z1055" s="10"/>
      <c r="AA1055" s="10"/>
      <c r="AB1055" s="10"/>
      <c r="AC1055" s="10"/>
      <c r="AD1055" s="10"/>
      <c r="AE1055" s="379"/>
      <c r="AF1055" s="379"/>
      <c r="AG1055" s="379"/>
      <c r="AH1055" s="379"/>
      <c r="AI1055" s="379"/>
    </row>
    <row r="1056" customFormat="false" ht="12.75" hidden="false" customHeight="true" outlineLevel="0" collapsed="false">
      <c r="B1056" s="361"/>
      <c r="C1056" s="369"/>
      <c r="D1056" s="362"/>
      <c r="E1056" s="363"/>
      <c r="F1056" s="364"/>
      <c r="G1056" s="363"/>
      <c r="H1056" s="363"/>
      <c r="I1056" s="370"/>
      <c r="J1056" s="363"/>
      <c r="K1056" s="363"/>
      <c r="L1056" s="363"/>
      <c r="M1056" s="367"/>
      <c r="N1056" s="10"/>
      <c r="O1056" s="10"/>
      <c r="P1056" s="10"/>
      <c r="Q1056" s="10"/>
      <c r="R1056" s="10"/>
      <c r="S1056" s="10"/>
      <c r="T1056" s="10"/>
      <c r="U1056" s="10"/>
      <c r="V1056" s="10"/>
      <c r="W1056" s="10"/>
      <c r="X1056" s="10"/>
      <c r="Y1056" s="10"/>
      <c r="Z1056" s="10"/>
      <c r="AA1056" s="10"/>
      <c r="AB1056" s="10"/>
      <c r="AC1056" s="10"/>
      <c r="AD1056" s="10"/>
      <c r="AE1056" s="379"/>
      <c r="AF1056" s="379"/>
      <c r="AG1056" s="379"/>
      <c r="AH1056" s="379"/>
      <c r="AI1056" s="379"/>
    </row>
    <row r="1057" customFormat="false" ht="12.75" hidden="false" customHeight="true" outlineLevel="0" collapsed="false">
      <c r="B1057" s="361"/>
      <c r="C1057" s="369"/>
      <c r="D1057" s="362"/>
      <c r="E1057" s="363"/>
      <c r="F1057" s="364"/>
      <c r="G1057" s="363"/>
      <c r="H1057" s="363"/>
      <c r="I1057" s="370"/>
      <c r="J1057" s="363"/>
      <c r="K1057" s="363"/>
      <c r="L1057" s="363"/>
      <c r="M1057" s="367"/>
      <c r="N1057" s="10"/>
      <c r="O1057" s="10"/>
      <c r="P1057" s="10"/>
      <c r="Q1057" s="10"/>
      <c r="R1057" s="10"/>
      <c r="S1057" s="10"/>
      <c r="T1057" s="10"/>
      <c r="U1057" s="10"/>
      <c r="V1057" s="10"/>
      <c r="W1057" s="10"/>
      <c r="X1057" s="10"/>
      <c r="Y1057" s="10"/>
      <c r="Z1057" s="10"/>
      <c r="AA1057" s="10"/>
      <c r="AB1057" s="10"/>
      <c r="AC1057" s="10"/>
      <c r="AD1057" s="10"/>
      <c r="AE1057" s="379"/>
      <c r="AF1057" s="379"/>
      <c r="AG1057" s="379"/>
      <c r="AH1057" s="379"/>
      <c r="AI1057" s="379"/>
    </row>
    <row r="1058" customFormat="false" ht="12.75" hidden="false" customHeight="true" outlineLevel="0" collapsed="false">
      <c r="B1058" s="361"/>
      <c r="C1058" s="369"/>
      <c r="D1058" s="362"/>
      <c r="E1058" s="363"/>
      <c r="F1058" s="364"/>
      <c r="G1058" s="363"/>
      <c r="H1058" s="363"/>
      <c r="I1058" s="370"/>
      <c r="J1058" s="363"/>
      <c r="K1058" s="363"/>
      <c r="L1058" s="363"/>
      <c r="M1058" s="367"/>
      <c r="N1058" s="10"/>
      <c r="O1058" s="10"/>
      <c r="P1058" s="10"/>
      <c r="Q1058" s="10"/>
      <c r="R1058" s="10"/>
      <c r="S1058" s="10"/>
      <c r="T1058" s="10"/>
      <c r="U1058" s="10"/>
      <c r="V1058" s="10"/>
      <c r="W1058" s="10"/>
      <c r="X1058" s="10"/>
      <c r="Y1058" s="10"/>
      <c r="Z1058" s="10"/>
      <c r="AA1058" s="10"/>
      <c r="AB1058" s="10"/>
      <c r="AC1058" s="10"/>
      <c r="AD1058" s="10"/>
      <c r="AE1058" s="379"/>
      <c r="AF1058" s="379"/>
      <c r="AG1058" s="379"/>
      <c r="AH1058" s="379"/>
      <c r="AI1058" s="379"/>
    </row>
    <row r="1059" customFormat="false" ht="12.75" hidden="false" customHeight="true" outlineLevel="0" collapsed="false">
      <c r="B1059" s="361"/>
      <c r="C1059" s="362"/>
      <c r="D1059" s="362"/>
      <c r="E1059" s="363"/>
      <c r="F1059" s="374"/>
      <c r="G1059" s="363"/>
      <c r="H1059" s="363"/>
      <c r="I1059" s="363"/>
      <c r="J1059" s="363"/>
      <c r="K1059" s="363"/>
      <c r="L1059" s="363"/>
      <c r="M1059" s="367"/>
      <c r="N1059" s="10"/>
      <c r="O1059" s="10"/>
      <c r="P1059" s="10"/>
      <c r="Q1059" s="10"/>
      <c r="R1059" s="10"/>
      <c r="S1059" s="10"/>
      <c r="T1059" s="10"/>
      <c r="U1059" s="10"/>
      <c r="V1059" s="10"/>
      <c r="W1059" s="10"/>
      <c r="X1059" s="10"/>
      <c r="Y1059" s="10"/>
      <c r="Z1059" s="10"/>
      <c r="AA1059" s="10"/>
      <c r="AB1059" s="10"/>
      <c r="AC1059" s="10"/>
      <c r="AD1059" s="10"/>
      <c r="AE1059" s="379"/>
      <c r="AF1059" s="379"/>
      <c r="AG1059" s="379"/>
      <c r="AH1059" s="379"/>
      <c r="AI1059" s="379"/>
    </row>
    <row r="1060" customFormat="false" ht="12.75" hidden="false" customHeight="true" outlineLevel="0" collapsed="false">
      <c r="B1060" s="361"/>
      <c r="C1060" s="362"/>
      <c r="D1060" s="362"/>
      <c r="E1060" s="363"/>
      <c r="F1060" s="374"/>
      <c r="G1060" s="363"/>
      <c r="H1060" s="363"/>
      <c r="I1060" s="363"/>
      <c r="J1060" s="363"/>
      <c r="K1060" s="363"/>
      <c r="L1060" s="363"/>
      <c r="M1060" s="367"/>
      <c r="N1060" s="10"/>
      <c r="O1060" s="10"/>
      <c r="P1060" s="10"/>
      <c r="Q1060" s="10"/>
      <c r="R1060" s="10"/>
      <c r="S1060" s="10"/>
      <c r="T1060" s="10"/>
      <c r="U1060" s="10"/>
      <c r="V1060" s="10"/>
      <c r="W1060" s="10"/>
      <c r="X1060" s="10"/>
      <c r="Y1060" s="10"/>
      <c r="Z1060" s="10"/>
      <c r="AA1060" s="10"/>
      <c r="AB1060" s="10"/>
      <c r="AC1060" s="10"/>
      <c r="AD1060" s="10"/>
      <c r="AE1060" s="379"/>
      <c r="AF1060" s="379"/>
      <c r="AG1060" s="379"/>
      <c r="AH1060" s="379"/>
      <c r="AI1060" s="379"/>
    </row>
    <row r="1061" customFormat="false" ht="12.75" hidden="false" customHeight="true" outlineLevel="0" collapsed="false">
      <c r="B1061" s="368"/>
      <c r="C1061" s="362"/>
      <c r="D1061" s="362"/>
      <c r="E1061" s="363"/>
      <c r="F1061" s="374"/>
      <c r="G1061" s="363"/>
      <c r="H1061" s="363"/>
      <c r="I1061" s="363"/>
      <c r="J1061" s="363"/>
      <c r="K1061" s="363"/>
      <c r="L1061" s="363"/>
      <c r="M1061" s="367"/>
      <c r="N1061" s="10"/>
      <c r="O1061" s="10"/>
      <c r="P1061" s="10"/>
      <c r="Q1061" s="10"/>
      <c r="R1061" s="10"/>
      <c r="S1061" s="10"/>
      <c r="T1061" s="10"/>
      <c r="U1061" s="10"/>
      <c r="V1061" s="10"/>
      <c r="W1061" s="10"/>
      <c r="X1061" s="10"/>
      <c r="Y1061" s="10"/>
      <c r="Z1061" s="10"/>
      <c r="AA1061" s="10"/>
      <c r="AB1061" s="10"/>
      <c r="AC1061" s="10"/>
      <c r="AD1061" s="10"/>
      <c r="AE1061" s="379"/>
      <c r="AF1061" s="379"/>
      <c r="AG1061" s="379"/>
      <c r="AH1061" s="379"/>
      <c r="AI1061" s="379"/>
    </row>
    <row r="1062" customFormat="false" ht="12.75" hidden="false" customHeight="true" outlineLevel="0" collapsed="false">
      <c r="B1062" s="361"/>
      <c r="C1062" s="362"/>
      <c r="D1062" s="362"/>
      <c r="E1062" s="363"/>
      <c r="F1062" s="374"/>
      <c r="G1062" s="363"/>
      <c r="H1062" s="363"/>
      <c r="I1062" s="363"/>
      <c r="J1062" s="363"/>
      <c r="K1062" s="363"/>
      <c r="L1062" s="363"/>
      <c r="M1062" s="367"/>
      <c r="N1062" s="10"/>
      <c r="O1062" s="10"/>
      <c r="P1062" s="10"/>
      <c r="Q1062" s="10"/>
      <c r="R1062" s="10"/>
      <c r="S1062" s="10"/>
      <c r="T1062" s="10"/>
      <c r="U1062" s="10"/>
      <c r="V1062" s="10"/>
      <c r="W1062" s="10"/>
      <c r="X1062" s="10"/>
      <c r="Y1062" s="10"/>
      <c r="Z1062" s="10"/>
      <c r="AA1062" s="10"/>
      <c r="AB1062" s="10"/>
      <c r="AC1062" s="10"/>
      <c r="AD1062" s="10"/>
      <c r="AE1062" s="379"/>
      <c r="AF1062" s="379"/>
      <c r="AG1062" s="379"/>
      <c r="AH1062" s="379"/>
      <c r="AI1062" s="379"/>
    </row>
    <row r="1063" customFormat="false" ht="12.75" hidden="false" customHeight="true" outlineLevel="0" collapsed="false">
      <c r="B1063" s="361"/>
      <c r="C1063" s="362"/>
      <c r="D1063" s="362"/>
      <c r="E1063" s="363"/>
      <c r="F1063" s="374"/>
      <c r="G1063" s="363"/>
      <c r="H1063" s="363"/>
      <c r="I1063" s="363"/>
      <c r="J1063" s="363"/>
      <c r="K1063" s="363"/>
      <c r="L1063" s="363"/>
      <c r="M1063" s="367"/>
      <c r="N1063" s="10"/>
      <c r="O1063" s="10"/>
      <c r="P1063" s="10"/>
      <c r="Q1063" s="10"/>
      <c r="R1063" s="10"/>
      <c r="S1063" s="10"/>
      <c r="T1063" s="10"/>
      <c r="U1063" s="10"/>
      <c r="V1063" s="10"/>
      <c r="W1063" s="10"/>
      <c r="X1063" s="10"/>
      <c r="Y1063" s="10"/>
      <c r="Z1063" s="10"/>
      <c r="AA1063" s="10"/>
      <c r="AB1063" s="10"/>
      <c r="AC1063" s="10"/>
      <c r="AD1063" s="10"/>
      <c r="AE1063" s="379"/>
      <c r="AF1063" s="379"/>
      <c r="AG1063" s="379"/>
      <c r="AH1063" s="379"/>
      <c r="AI1063" s="379"/>
    </row>
    <row r="1064" customFormat="false" ht="12.75" hidden="false" customHeight="true" outlineLevel="0" collapsed="false">
      <c r="B1064" s="368"/>
      <c r="C1064" s="362"/>
      <c r="D1064" s="362"/>
      <c r="E1064" s="363"/>
      <c r="F1064" s="374"/>
      <c r="G1064" s="363"/>
      <c r="H1064" s="363"/>
      <c r="I1064" s="363"/>
      <c r="J1064" s="363"/>
      <c r="K1064" s="363"/>
      <c r="L1064" s="363"/>
      <c r="M1064" s="367"/>
      <c r="N1064" s="10"/>
      <c r="O1064" s="10"/>
      <c r="P1064" s="10"/>
      <c r="Q1064" s="10"/>
      <c r="R1064" s="10"/>
      <c r="S1064" s="10"/>
      <c r="T1064" s="10"/>
      <c r="U1064" s="10"/>
      <c r="V1064" s="10"/>
      <c r="W1064" s="10"/>
      <c r="X1064" s="10"/>
      <c r="Y1064" s="10"/>
      <c r="Z1064" s="10"/>
      <c r="AA1064" s="10"/>
      <c r="AB1064" s="10"/>
      <c r="AC1064" s="10"/>
      <c r="AD1064" s="10"/>
      <c r="AE1064" s="379"/>
      <c r="AF1064" s="379"/>
      <c r="AG1064" s="379"/>
      <c r="AH1064" s="379"/>
      <c r="AI1064" s="379"/>
    </row>
    <row r="1065" customFormat="false" ht="12.75" hidden="false" customHeight="true" outlineLevel="0" collapsed="false">
      <c r="B1065" s="361"/>
      <c r="C1065" s="362"/>
      <c r="D1065" s="362"/>
      <c r="E1065" s="363"/>
      <c r="F1065" s="374"/>
      <c r="G1065" s="363"/>
      <c r="H1065" s="363"/>
      <c r="I1065" s="363"/>
      <c r="J1065" s="363"/>
      <c r="K1065" s="363"/>
      <c r="L1065" s="363"/>
      <c r="M1065" s="367"/>
      <c r="N1065" s="10"/>
      <c r="O1065" s="10"/>
      <c r="P1065" s="10"/>
      <c r="Q1065" s="10"/>
      <c r="R1065" s="10"/>
      <c r="S1065" s="10"/>
      <c r="T1065" s="10"/>
      <c r="U1065" s="10"/>
      <c r="V1065" s="10"/>
      <c r="W1065" s="10"/>
      <c r="X1065" s="10"/>
      <c r="Y1065" s="10"/>
      <c r="Z1065" s="10"/>
      <c r="AA1065" s="10"/>
      <c r="AB1065" s="10"/>
      <c r="AC1065" s="10"/>
      <c r="AD1065" s="10"/>
      <c r="AE1065" s="379"/>
      <c r="AF1065" s="379"/>
      <c r="AG1065" s="379"/>
      <c r="AH1065" s="379"/>
      <c r="AI1065" s="379"/>
    </row>
    <row r="1066" customFormat="false" ht="12.75" hidden="false" customHeight="true" outlineLevel="0" collapsed="false">
      <c r="B1066" s="361"/>
      <c r="C1066" s="362"/>
      <c r="D1066" s="362"/>
      <c r="E1066" s="363"/>
      <c r="F1066" s="374"/>
      <c r="G1066" s="363"/>
      <c r="H1066" s="363"/>
      <c r="I1066" s="363"/>
      <c r="J1066" s="363"/>
      <c r="K1066" s="363"/>
      <c r="L1066" s="363"/>
      <c r="M1066" s="367"/>
      <c r="N1066" s="10"/>
      <c r="O1066" s="10"/>
      <c r="P1066" s="10"/>
      <c r="Q1066" s="10"/>
      <c r="R1066" s="10"/>
      <c r="S1066" s="10"/>
      <c r="T1066" s="10"/>
      <c r="U1066" s="10"/>
      <c r="V1066" s="10"/>
      <c r="W1066" s="10"/>
      <c r="X1066" s="10"/>
      <c r="Y1066" s="10"/>
      <c r="Z1066" s="10"/>
      <c r="AA1066" s="10"/>
      <c r="AB1066" s="10"/>
      <c r="AC1066" s="10"/>
      <c r="AD1066" s="10"/>
      <c r="AE1066" s="379"/>
      <c r="AF1066" s="379"/>
      <c r="AG1066" s="379"/>
      <c r="AH1066" s="379"/>
      <c r="AI1066" s="379"/>
    </row>
    <row r="1067" customFormat="false" ht="12.75" hidden="false" customHeight="true" outlineLevel="0" collapsed="false">
      <c r="B1067" s="368"/>
      <c r="C1067" s="362"/>
      <c r="D1067" s="362"/>
      <c r="E1067" s="363"/>
      <c r="F1067" s="374"/>
      <c r="G1067" s="363"/>
      <c r="H1067" s="363"/>
      <c r="I1067" s="363"/>
      <c r="J1067" s="363"/>
      <c r="K1067" s="363"/>
      <c r="L1067" s="363"/>
      <c r="M1067" s="367"/>
      <c r="N1067" s="10"/>
      <c r="O1067" s="10"/>
      <c r="P1067" s="10"/>
      <c r="Q1067" s="10"/>
      <c r="R1067" s="10"/>
      <c r="S1067" s="10"/>
      <c r="T1067" s="10"/>
      <c r="U1067" s="10"/>
      <c r="V1067" s="10"/>
      <c r="W1067" s="10"/>
      <c r="X1067" s="10"/>
      <c r="Y1067" s="10"/>
      <c r="Z1067" s="10"/>
      <c r="AA1067" s="10"/>
      <c r="AB1067" s="10"/>
      <c r="AC1067" s="10"/>
      <c r="AD1067" s="10"/>
      <c r="AE1067" s="379"/>
      <c r="AF1067" s="379"/>
      <c r="AG1067" s="379"/>
      <c r="AH1067" s="379"/>
      <c r="AI1067" s="379"/>
    </row>
    <row r="1068" customFormat="false" ht="12.75" hidden="false" customHeight="true" outlineLevel="0" collapsed="false">
      <c r="B1068" s="361"/>
      <c r="C1068" s="362"/>
      <c r="D1068" s="362"/>
      <c r="E1068" s="363"/>
      <c r="F1068" s="374"/>
      <c r="G1068" s="363"/>
      <c r="H1068" s="363"/>
      <c r="I1068" s="363"/>
      <c r="J1068" s="363"/>
      <c r="K1068" s="363"/>
      <c r="L1068" s="363"/>
      <c r="M1068" s="367"/>
      <c r="N1068" s="10"/>
      <c r="O1068" s="10"/>
      <c r="P1068" s="10"/>
      <c r="Q1068" s="10"/>
      <c r="R1068" s="10"/>
      <c r="S1068" s="10"/>
      <c r="T1068" s="10"/>
      <c r="U1068" s="10"/>
      <c r="V1068" s="10"/>
      <c r="W1068" s="10"/>
      <c r="X1068" s="10"/>
      <c r="Y1068" s="10"/>
      <c r="Z1068" s="10"/>
      <c r="AA1068" s="10"/>
      <c r="AB1068" s="10"/>
      <c r="AC1068" s="10"/>
      <c r="AD1068" s="10"/>
      <c r="AE1068" s="379"/>
      <c r="AF1068" s="379"/>
      <c r="AG1068" s="379"/>
      <c r="AH1068" s="379"/>
      <c r="AI1068" s="379"/>
    </row>
    <row r="1069" customFormat="false" ht="12.75" hidden="false" customHeight="true" outlineLevel="0" collapsed="false">
      <c r="B1069" s="361"/>
      <c r="C1069" s="369"/>
      <c r="D1069" s="369"/>
      <c r="E1069" s="370"/>
      <c r="F1069" s="375"/>
      <c r="G1069" s="370"/>
      <c r="H1069" s="370"/>
      <c r="I1069" s="370"/>
      <c r="J1069" s="370"/>
      <c r="K1069" s="370"/>
      <c r="L1069" s="370"/>
      <c r="M1069" s="367"/>
      <c r="N1069" s="10"/>
      <c r="O1069" s="10"/>
      <c r="P1069" s="10"/>
      <c r="Q1069" s="10"/>
      <c r="R1069" s="10"/>
      <c r="S1069" s="10"/>
      <c r="T1069" s="10"/>
      <c r="U1069" s="10"/>
      <c r="V1069" s="10"/>
      <c r="W1069" s="10"/>
      <c r="X1069" s="10"/>
      <c r="Y1069" s="10"/>
      <c r="Z1069" s="10"/>
      <c r="AA1069" s="10"/>
      <c r="AB1069" s="10"/>
      <c r="AC1069" s="10"/>
      <c r="AD1069" s="10"/>
      <c r="AE1069" s="379"/>
      <c r="AF1069" s="379"/>
      <c r="AG1069" s="379"/>
      <c r="AH1069" s="379"/>
      <c r="AI1069" s="379"/>
    </row>
    <row r="1070" customFormat="false" ht="12.75" hidden="false" customHeight="true" outlineLevel="0" collapsed="false">
      <c r="B1070" s="361"/>
      <c r="C1070" s="369"/>
      <c r="D1070" s="362"/>
      <c r="E1070" s="363"/>
      <c r="F1070" s="364"/>
      <c r="G1070" s="363"/>
      <c r="H1070" s="363"/>
      <c r="I1070" s="370"/>
      <c r="J1070" s="363"/>
      <c r="K1070" s="370"/>
      <c r="L1070" s="363"/>
      <c r="M1070" s="367"/>
      <c r="N1070" s="10"/>
      <c r="O1070" s="10"/>
      <c r="P1070" s="10"/>
      <c r="Q1070" s="10"/>
      <c r="R1070" s="10"/>
      <c r="S1070" s="10"/>
      <c r="T1070" s="10"/>
      <c r="U1070" s="10"/>
      <c r="V1070" s="10"/>
      <c r="W1070" s="10"/>
      <c r="X1070" s="10"/>
      <c r="Y1070" s="10"/>
      <c r="Z1070" s="10"/>
      <c r="AA1070" s="10"/>
      <c r="AB1070" s="10"/>
      <c r="AC1070" s="10"/>
      <c r="AD1070" s="10"/>
      <c r="AE1070" s="379"/>
      <c r="AF1070" s="379"/>
      <c r="AG1070" s="379"/>
      <c r="AH1070" s="379"/>
      <c r="AI1070" s="379"/>
    </row>
    <row r="1071" customFormat="false" ht="12.75" hidden="false" customHeight="true" outlineLevel="0" collapsed="false">
      <c r="B1071" s="361"/>
      <c r="C1071" s="369"/>
      <c r="D1071" s="362"/>
      <c r="E1071" s="363"/>
      <c r="F1071" s="364"/>
      <c r="G1071" s="363"/>
      <c r="H1071" s="363"/>
      <c r="I1071" s="370"/>
      <c r="J1071" s="363"/>
      <c r="K1071" s="363"/>
      <c r="L1071" s="363"/>
      <c r="M1071" s="367"/>
      <c r="N1071" s="10"/>
      <c r="O1071" s="10"/>
      <c r="P1071" s="10"/>
      <c r="Q1071" s="10"/>
      <c r="R1071" s="10"/>
      <c r="S1071" s="10"/>
      <c r="T1071" s="10"/>
      <c r="U1071" s="10"/>
      <c r="V1071" s="10"/>
      <c r="W1071" s="10"/>
      <c r="X1071" s="10"/>
      <c r="Y1071" s="10"/>
      <c r="Z1071" s="10"/>
      <c r="AA1071" s="10"/>
      <c r="AB1071" s="10"/>
      <c r="AC1071" s="10"/>
      <c r="AD1071" s="10"/>
      <c r="AE1071" s="379"/>
      <c r="AF1071" s="379"/>
      <c r="AG1071" s="379"/>
      <c r="AH1071" s="379"/>
      <c r="AI1071" s="379"/>
    </row>
    <row r="1072" customFormat="false" ht="12.75" hidden="false" customHeight="true" outlineLevel="0" collapsed="false">
      <c r="B1072" s="361"/>
      <c r="C1072" s="369"/>
      <c r="D1072" s="362"/>
      <c r="E1072" s="363"/>
      <c r="F1072" s="364"/>
      <c r="G1072" s="363"/>
      <c r="H1072" s="363"/>
      <c r="I1072" s="370"/>
      <c r="J1072" s="363"/>
      <c r="K1072" s="363"/>
      <c r="L1072" s="363"/>
      <c r="M1072" s="367"/>
      <c r="N1072" s="10"/>
      <c r="O1072" s="10"/>
      <c r="P1072" s="10"/>
      <c r="Q1072" s="10"/>
      <c r="R1072" s="10"/>
      <c r="S1072" s="10"/>
      <c r="T1072" s="10"/>
      <c r="U1072" s="10"/>
      <c r="V1072" s="10"/>
      <c r="W1072" s="10"/>
      <c r="X1072" s="10"/>
      <c r="Y1072" s="10"/>
      <c r="Z1072" s="10"/>
      <c r="AA1072" s="10"/>
      <c r="AB1072" s="10"/>
      <c r="AC1072" s="10"/>
      <c r="AD1072" s="10"/>
      <c r="AE1072" s="379"/>
      <c r="AF1072" s="379"/>
      <c r="AG1072" s="379"/>
      <c r="AH1072" s="379"/>
      <c r="AI1072" s="379"/>
    </row>
    <row r="1073" customFormat="false" ht="12.75" hidden="false" customHeight="true" outlineLevel="0" collapsed="false">
      <c r="B1073" s="361"/>
      <c r="C1073" s="369"/>
      <c r="D1073" s="362"/>
      <c r="E1073" s="363"/>
      <c r="F1073" s="364"/>
      <c r="G1073" s="363"/>
      <c r="H1073" s="363"/>
      <c r="I1073" s="370"/>
      <c r="J1073" s="363"/>
      <c r="K1073" s="363"/>
      <c r="L1073" s="363"/>
      <c r="M1073" s="367"/>
      <c r="N1073" s="10"/>
      <c r="O1073" s="10"/>
      <c r="P1073" s="10"/>
      <c r="Q1073" s="10"/>
      <c r="R1073" s="10"/>
      <c r="S1073" s="10"/>
      <c r="T1073" s="10"/>
      <c r="U1073" s="10"/>
      <c r="V1073" s="10"/>
      <c r="W1073" s="10"/>
      <c r="X1073" s="10"/>
      <c r="Y1073" s="10"/>
      <c r="Z1073" s="10"/>
      <c r="AA1073" s="10"/>
      <c r="AB1073" s="10"/>
      <c r="AC1073" s="10"/>
      <c r="AD1073" s="10"/>
      <c r="AE1073" s="379"/>
      <c r="AF1073" s="379"/>
      <c r="AG1073" s="379"/>
      <c r="AH1073" s="379"/>
      <c r="AI1073" s="379"/>
    </row>
    <row r="1074" customFormat="false" ht="12.75" hidden="false" customHeight="true" outlineLevel="0" collapsed="false">
      <c r="B1074" s="361"/>
      <c r="C1074" s="369"/>
      <c r="D1074" s="362"/>
      <c r="E1074" s="363"/>
      <c r="F1074" s="364"/>
      <c r="G1074" s="363"/>
      <c r="H1074" s="363"/>
      <c r="I1074" s="370"/>
      <c r="J1074" s="363"/>
      <c r="K1074" s="363"/>
      <c r="L1074" s="363"/>
      <c r="M1074" s="367"/>
      <c r="N1074" s="10"/>
      <c r="O1074" s="10"/>
      <c r="P1074" s="10"/>
      <c r="Q1074" s="10"/>
      <c r="R1074" s="10"/>
      <c r="S1074" s="10"/>
      <c r="T1074" s="10"/>
      <c r="U1074" s="10"/>
      <c r="V1074" s="10"/>
      <c r="W1074" s="10"/>
      <c r="X1074" s="10"/>
      <c r="Y1074" s="10"/>
      <c r="Z1074" s="10"/>
      <c r="AA1074" s="10"/>
      <c r="AB1074" s="10"/>
      <c r="AC1074" s="10"/>
      <c r="AD1074" s="10"/>
      <c r="AE1074" s="379"/>
      <c r="AF1074" s="379"/>
      <c r="AG1074" s="379"/>
      <c r="AH1074" s="379"/>
      <c r="AI1074" s="379"/>
    </row>
    <row r="1075" customFormat="false" ht="12.75" hidden="false" customHeight="true" outlineLevel="0" collapsed="false">
      <c r="B1075" s="361"/>
      <c r="C1075" s="369"/>
      <c r="D1075" s="362"/>
      <c r="E1075" s="363"/>
      <c r="F1075" s="364"/>
      <c r="G1075" s="363"/>
      <c r="H1075" s="363"/>
      <c r="I1075" s="370"/>
      <c r="J1075" s="363"/>
      <c r="K1075" s="363"/>
      <c r="L1075" s="363"/>
      <c r="M1075" s="367"/>
      <c r="N1075" s="10"/>
      <c r="O1075" s="10"/>
      <c r="P1075" s="10"/>
      <c r="Q1075" s="10"/>
      <c r="R1075" s="10"/>
      <c r="S1075" s="10"/>
      <c r="T1075" s="10"/>
      <c r="U1075" s="10"/>
      <c r="V1075" s="10"/>
      <c r="W1075" s="10"/>
      <c r="X1075" s="10"/>
      <c r="Y1075" s="10"/>
      <c r="Z1075" s="10"/>
      <c r="AA1075" s="10"/>
      <c r="AB1075" s="10"/>
      <c r="AC1075" s="10"/>
      <c r="AD1075" s="10"/>
      <c r="AE1075" s="379"/>
      <c r="AF1075" s="379"/>
      <c r="AG1075" s="379"/>
      <c r="AH1075" s="379"/>
      <c r="AI1075" s="379"/>
    </row>
    <row r="1076" customFormat="false" ht="12.75" hidden="false" customHeight="true" outlineLevel="0" collapsed="false">
      <c r="B1076" s="361"/>
      <c r="C1076" s="369"/>
      <c r="D1076" s="362"/>
      <c r="E1076" s="363"/>
      <c r="F1076" s="364"/>
      <c r="G1076" s="363"/>
      <c r="H1076" s="363"/>
      <c r="I1076" s="370"/>
      <c r="J1076" s="363"/>
      <c r="K1076" s="363"/>
      <c r="L1076" s="363"/>
      <c r="M1076" s="367"/>
      <c r="N1076" s="10"/>
      <c r="O1076" s="10"/>
      <c r="P1076" s="10"/>
      <c r="Q1076" s="10"/>
      <c r="R1076" s="10"/>
      <c r="S1076" s="10"/>
      <c r="T1076" s="10"/>
      <c r="U1076" s="10"/>
      <c r="V1076" s="10"/>
      <c r="W1076" s="10"/>
      <c r="X1076" s="10"/>
      <c r="Y1076" s="10"/>
      <c r="Z1076" s="10"/>
      <c r="AA1076" s="10"/>
      <c r="AB1076" s="10"/>
      <c r="AC1076" s="10"/>
      <c r="AD1076" s="10"/>
      <c r="AE1076" s="379"/>
      <c r="AF1076" s="379"/>
      <c r="AG1076" s="379"/>
      <c r="AH1076" s="379"/>
      <c r="AI1076" s="379"/>
    </row>
    <row r="1077" customFormat="false" ht="12.75" hidden="false" customHeight="true" outlineLevel="0" collapsed="false">
      <c r="B1077" s="361"/>
      <c r="C1077" s="369"/>
      <c r="D1077" s="362"/>
      <c r="E1077" s="363"/>
      <c r="F1077" s="364"/>
      <c r="G1077" s="363"/>
      <c r="H1077" s="363"/>
      <c r="I1077" s="370"/>
      <c r="J1077" s="370"/>
      <c r="K1077" s="363"/>
      <c r="L1077" s="363"/>
      <c r="M1077" s="367"/>
      <c r="N1077" s="10"/>
      <c r="O1077" s="10"/>
      <c r="P1077" s="10"/>
      <c r="Q1077" s="10"/>
      <c r="R1077" s="10"/>
      <c r="S1077" s="10"/>
      <c r="T1077" s="10"/>
      <c r="U1077" s="10"/>
      <c r="V1077" s="10"/>
      <c r="W1077" s="10"/>
      <c r="X1077" s="10"/>
      <c r="Y1077" s="10"/>
      <c r="Z1077" s="10"/>
      <c r="AA1077" s="10"/>
      <c r="AB1077" s="10"/>
      <c r="AC1077" s="10"/>
      <c r="AD1077" s="10"/>
      <c r="AE1077" s="379"/>
      <c r="AF1077" s="379"/>
      <c r="AG1077" s="379"/>
      <c r="AH1077" s="379"/>
      <c r="AI1077" s="379"/>
    </row>
    <row r="1078" customFormat="false" ht="12.75" hidden="false" customHeight="true" outlineLevel="0" collapsed="false">
      <c r="B1078" s="361"/>
      <c r="C1078" s="369"/>
      <c r="D1078" s="362"/>
      <c r="E1078" s="363"/>
      <c r="F1078" s="364"/>
      <c r="G1078" s="363"/>
      <c r="H1078" s="363"/>
      <c r="I1078" s="370"/>
      <c r="J1078" s="363"/>
      <c r="K1078" s="363"/>
      <c r="L1078" s="363"/>
      <c r="M1078" s="367"/>
      <c r="N1078" s="10"/>
      <c r="O1078" s="10"/>
      <c r="P1078" s="10"/>
      <c r="Q1078" s="10"/>
      <c r="R1078" s="10"/>
      <c r="S1078" s="10"/>
      <c r="T1078" s="10"/>
      <c r="U1078" s="10"/>
      <c r="V1078" s="10"/>
      <c r="W1078" s="10"/>
      <c r="X1078" s="10"/>
      <c r="Y1078" s="10"/>
      <c r="Z1078" s="10"/>
      <c r="AA1078" s="10"/>
      <c r="AB1078" s="10"/>
      <c r="AC1078" s="10"/>
      <c r="AD1078" s="10"/>
      <c r="AE1078" s="379"/>
      <c r="AF1078" s="379"/>
      <c r="AG1078" s="379"/>
      <c r="AH1078" s="379"/>
      <c r="AI1078" s="379"/>
    </row>
    <row r="1079" customFormat="false" ht="12.75" hidden="false" customHeight="true" outlineLevel="0" collapsed="false">
      <c r="B1079" s="361"/>
      <c r="C1079" s="369"/>
      <c r="D1079" s="362"/>
      <c r="E1079" s="363"/>
      <c r="F1079" s="364"/>
      <c r="G1079" s="363"/>
      <c r="H1079" s="363"/>
      <c r="I1079" s="370"/>
      <c r="J1079" s="363"/>
      <c r="K1079" s="363"/>
      <c r="L1079" s="370"/>
      <c r="M1079" s="367"/>
      <c r="N1079" s="10"/>
      <c r="O1079" s="10"/>
      <c r="P1079" s="10"/>
      <c r="Q1079" s="10"/>
      <c r="R1079" s="10"/>
      <c r="S1079" s="10"/>
      <c r="T1079" s="10"/>
      <c r="U1079" s="10"/>
      <c r="V1079" s="10"/>
      <c r="W1079" s="10"/>
      <c r="X1079" s="10"/>
      <c r="Y1079" s="10"/>
      <c r="Z1079" s="10"/>
      <c r="AA1079" s="10"/>
      <c r="AB1079" s="10"/>
      <c r="AC1079" s="10"/>
      <c r="AD1079" s="10"/>
      <c r="AE1079" s="379"/>
      <c r="AF1079" s="379"/>
      <c r="AG1079" s="379"/>
      <c r="AH1079" s="379"/>
      <c r="AI1079" s="379"/>
    </row>
    <row r="1080" customFormat="false" ht="12.75" hidden="false" customHeight="true" outlineLevel="0" collapsed="false">
      <c r="B1080" s="361"/>
      <c r="C1080" s="369"/>
      <c r="D1080" s="362"/>
      <c r="E1080" s="363"/>
      <c r="F1080" s="364"/>
      <c r="G1080" s="363"/>
      <c r="H1080" s="363"/>
      <c r="I1080" s="370"/>
      <c r="J1080" s="363"/>
      <c r="K1080" s="363"/>
      <c r="L1080" s="363"/>
      <c r="M1080" s="367"/>
      <c r="N1080" s="10"/>
      <c r="O1080" s="10"/>
      <c r="P1080" s="10"/>
      <c r="Q1080" s="10"/>
      <c r="R1080" s="10"/>
      <c r="S1080" s="10"/>
      <c r="T1080" s="10"/>
      <c r="U1080" s="10"/>
      <c r="V1080" s="10"/>
      <c r="W1080" s="10"/>
      <c r="X1080" s="10"/>
      <c r="Y1080" s="10"/>
      <c r="Z1080" s="10"/>
      <c r="AA1080" s="10"/>
      <c r="AB1080" s="10"/>
      <c r="AC1080" s="10"/>
      <c r="AD1080" s="10"/>
      <c r="AE1080" s="379"/>
      <c r="AF1080" s="379"/>
      <c r="AG1080" s="379"/>
      <c r="AH1080" s="379"/>
      <c r="AI1080" s="379"/>
    </row>
    <row r="1081" customFormat="false" ht="12.75" hidden="false" customHeight="true" outlineLevel="0" collapsed="false">
      <c r="B1081" s="361"/>
      <c r="C1081" s="369"/>
      <c r="D1081" s="362"/>
      <c r="E1081" s="363"/>
      <c r="F1081" s="364"/>
      <c r="G1081" s="363"/>
      <c r="H1081" s="363"/>
      <c r="I1081" s="370"/>
      <c r="J1081" s="363"/>
      <c r="K1081" s="363"/>
      <c r="L1081" s="363"/>
      <c r="M1081" s="367"/>
      <c r="N1081" s="10"/>
      <c r="O1081" s="10"/>
      <c r="P1081" s="10"/>
      <c r="Q1081" s="10"/>
      <c r="R1081" s="10"/>
      <c r="S1081" s="10"/>
      <c r="T1081" s="10"/>
      <c r="U1081" s="10"/>
      <c r="V1081" s="10"/>
      <c r="W1081" s="10"/>
      <c r="X1081" s="10"/>
      <c r="Y1081" s="10"/>
      <c r="Z1081" s="10"/>
      <c r="AA1081" s="10"/>
      <c r="AB1081" s="10"/>
      <c r="AC1081" s="10"/>
      <c r="AD1081" s="10"/>
      <c r="AE1081" s="379"/>
      <c r="AF1081" s="37"/>
      <c r="AG1081" s="379"/>
      <c r="AH1081" s="379"/>
      <c r="AI1081" s="379"/>
      <c r="AJ1081" s="379"/>
    </row>
    <row r="1082" customFormat="false" ht="12.75" hidden="false" customHeight="true" outlineLevel="0" collapsed="false">
      <c r="B1082" s="361"/>
      <c r="C1082" s="369"/>
      <c r="D1082" s="362"/>
      <c r="E1082" s="363"/>
      <c r="F1082" s="364"/>
      <c r="G1082" s="363"/>
      <c r="H1082" s="363"/>
      <c r="I1082" s="370"/>
      <c r="J1082" s="363"/>
      <c r="K1082" s="363"/>
      <c r="L1082" s="363"/>
      <c r="M1082" s="367"/>
      <c r="N1082" s="10"/>
      <c r="O1082" s="10"/>
      <c r="P1082" s="10"/>
      <c r="Q1082" s="10"/>
      <c r="R1082" s="10"/>
      <c r="S1082" s="10"/>
      <c r="T1082" s="10"/>
      <c r="U1082" s="10"/>
      <c r="V1082" s="10"/>
      <c r="W1082" s="10"/>
      <c r="X1082" s="10"/>
      <c r="Y1082" s="10"/>
      <c r="Z1082" s="10"/>
      <c r="AA1082" s="10"/>
      <c r="AB1082" s="10"/>
      <c r="AC1082" s="10"/>
      <c r="AD1082" s="10"/>
      <c r="AE1082" s="379"/>
      <c r="AF1082" s="379"/>
      <c r="AG1082" s="37"/>
      <c r="AH1082" s="379"/>
      <c r="AI1082" s="379"/>
      <c r="AJ1082" s="379"/>
    </row>
    <row r="1083" customFormat="false" ht="12.75" hidden="false" customHeight="true" outlineLevel="0" collapsed="false">
      <c r="B1083" s="361"/>
      <c r="C1083" s="369"/>
      <c r="D1083" s="362"/>
      <c r="E1083" s="363"/>
      <c r="F1083" s="364"/>
      <c r="G1083" s="363"/>
      <c r="H1083" s="363"/>
      <c r="I1083" s="370"/>
      <c r="J1083" s="363"/>
      <c r="K1083" s="363"/>
      <c r="L1083" s="363"/>
      <c r="M1083" s="367"/>
      <c r="N1083" s="10"/>
      <c r="O1083" s="10"/>
      <c r="P1083" s="10"/>
      <c r="Q1083" s="10"/>
      <c r="R1083" s="10"/>
      <c r="S1083" s="10"/>
      <c r="T1083" s="10"/>
      <c r="U1083" s="10"/>
      <c r="V1083" s="10"/>
      <c r="W1083" s="10"/>
      <c r="X1083" s="10"/>
      <c r="Y1083" s="10"/>
      <c r="Z1083" s="10"/>
      <c r="AA1083" s="10"/>
      <c r="AB1083" s="10"/>
      <c r="AC1083" s="10"/>
      <c r="AD1083" s="10"/>
      <c r="AE1083" s="379"/>
      <c r="AF1083" s="379"/>
      <c r="AG1083" s="379"/>
      <c r="AH1083" s="379"/>
      <c r="AI1083" s="379"/>
    </row>
    <row r="1084" customFormat="false" ht="12.75" hidden="false" customHeight="true" outlineLevel="0" collapsed="false">
      <c r="B1084" s="361"/>
      <c r="C1084" s="369"/>
      <c r="D1084" s="362"/>
      <c r="E1084" s="363"/>
      <c r="F1084" s="364"/>
      <c r="G1084" s="363"/>
      <c r="H1084" s="363"/>
      <c r="I1084" s="370"/>
      <c r="J1084" s="363"/>
      <c r="K1084" s="363"/>
      <c r="L1084" s="363"/>
      <c r="M1084" s="367"/>
      <c r="N1084" s="10"/>
      <c r="O1084" s="10"/>
      <c r="P1084" s="10"/>
      <c r="Q1084" s="10"/>
      <c r="R1084" s="10"/>
      <c r="S1084" s="10"/>
      <c r="T1084" s="10"/>
      <c r="U1084" s="10"/>
      <c r="V1084" s="10"/>
      <c r="W1084" s="10"/>
      <c r="X1084" s="10"/>
      <c r="Y1084" s="10"/>
      <c r="Z1084" s="10"/>
      <c r="AA1084" s="10"/>
      <c r="AB1084" s="10"/>
      <c r="AC1084" s="10"/>
      <c r="AD1084" s="10"/>
      <c r="AE1084" s="379"/>
      <c r="AF1084" s="379"/>
      <c r="AG1084" s="379"/>
      <c r="AH1084" s="379"/>
      <c r="AI1084" s="379"/>
    </row>
    <row r="1085" customFormat="false" ht="12.75" hidden="false" customHeight="true" outlineLevel="0" collapsed="false">
      <c r="B1085" s="361"/>
      <c r="C1085" s="369"/>
      <c r="D1085" s="362"/>
      <c r="E1085" s="363"/>
      <c r="F1085" s="364"/>
      <c r="G1085" s="363"/>
      <c r="H1085" s="363"/>
      <c r="I1085" s="370"/>
      <c r="J1085" s="363"/>
      <c r="K1085" s="363"/>
      <c r="L1085" s="363"/>
      <c r="M1085" s="367"/>
      <c r="N1085" s="10"/>
      <c r="O1085" s="10"/>
      <c r="P1085" s="10"/>
      <c r="Q1085" s="10"/>
      <c r="R1085" s="10"/>
      <c r="S1085" s="10"/>
      <c r="T1085" s="10"/>
      <c r="U1085" s="10"/>
      <c r="V1085" s="10"/>
      <c r="W1085" s="10"/>
      <c r="X1085" s="10"/>
      <c r="Y1085" s="10"/>
      <c r="Z1085" s="10"/>
      <c r="AA1085" s="10"/>
      <c r="AB1085" s="10"/>
      <c r="AC1085" s="10"/>
      <c r="AD1085" s="10"/>
      <c r="AE1085" s="379"/>
      <c r="AF1085" s="379"/>
      <c r="AG1085" s="379"/>
      <c r="AH1085" s="379"/>
      <c r="AI1085" s="379"/>
    </row>
    <row r="1086" customFormat="false" ht="12.75" hidden="false" customHeight="true" outlineLevel="0" collapsed="false">
      <c r="B1086" s="361"/>
      <c r="C1086" s="369"/>
      <c r="D1086" s="362"/>
      <c r="E1086" s="363"/>
      <c r="F1086" s="364"/>
      <c r="G1086" s="363"/>
      <c r="H1086" s="363"/>
      <c r="I1086" s="370"/>
      <c r="J1086" s="363"/>
      <c r="K1086" s="363"/>
      <c r="L1086" s="363"/>
      <c r="M1086" s="367"/>
      <c r="N1086" s="10"/>
      <c r="O1086" s="10"/>
      <c r="P1086" s="10"/>
      <c r="Q1086" s="10"/>
      <c r="R1086" s="10"/>
      <c r="S1086" s="10"/>
      <c r="T1086" s="10"/>
      <c r="U1086" s="10"/>
      <c r="V1086" s="10"/>
      <c r="W1086" s="10"/>
      <c r="X1086" s="10"/>
      <c r="Y1086" s="10"/>
      <c r="Z1086" s="10"/>
      <c r="AA1086" s="10"/>
      <c r="AB1086" s="10"/>
      <c r="AC1086" s="10"/>
      <c r="AD1086" s="10"/>
      <c r="AE1086" s="379"/>
      <c r="AF1086" s="379"/>
      <c r="AG1086" s="379"/>
      <c r="AH1086" s="379"/>
      <c r="AI1086" s="379"/>
    </row>
    <row r="1087" customFormat="false" ht="12.75" hidden="false" customHeight="true" outlineLevel="0" collapsed="false">
      <c r="B1087" s="361"/>
      <c r="C1087" s="369"/>
      <c r="D1087" s="362"/>
      <c r="E1087" s="363"/>
      <c r="F1087" s="364"/>
      <c r="G1087" s="363"/>
      <c r="H1087" s="363"/>
      <c r="I1087" s="370"/>
      <c r="J1087" s="363"/>
      <c r="K1087" s="363"/>
      <c r="L1087" s="363"/>
      <c r="M1087" s="367"/>
      <c r="N1087" s="10"/>
      <c r="O1087" s="10"/>
      <c r="P1087" s="10"/>
      <c r="Q1087" s="10"/>
      <c r="R1087" s="10"/>
      <c r="S1087" s="10"/>
      <c r="T1087" s="10"/>
      <c r="U1087" s="10"/>
      <c r="V1087" s="10"/>
      <c r="W1087" s="10"/>
      <c r="X1087" s="10"/>
      <c r="Y1087" s="10"/>
      <c r="Z1087" s="10"/>
      <c r="AA1087" s="10"/>
      <c r="AB1087" s="10"/>
      <c r="AC1087" s="10"/>
      <c r="AD1087" s="10"/>
      <c r="AE1087" s="379"/>
      <c r="AF1087" s="379"/>
      <c r="AG1087" s="379"/>
      <c r="AH1087" s="379"/>
      <c r="AI1087" s="379"/>
    </row>
    <row r="1088" customFormat="false" ht="12.75" hidden="false" customHeight="true" outlineLevel="0" collapsed="false">
      <c r="B1088" s="361"/>
      <c r="C1088" s="369"/>
      <c r="D1088" s="362"/>
      <c r="E1088" s="363"/>
      <c r="F1088" s="364"/>
      <c r="G1088" s="363"/>
      <c r="H1088" s="363"/>
      <c r="I1088" s="370"/>
      <c r="J1088" s="363"/>
      <c r="K1088" s="363"/>
      <c r="L1088" s="363"/>
      <c r="M1088" s="367"/>
      <c r="N1088" s="10"/>
      <c r="O1088" s="10"/>
      <c r="P1088" s="10"/>
      <c r="Q1088" s="10"/>
      <c r="R1088" s="10"/>
      <c r="S1088" s="10"/>
      <c r="T1088" s="10"/>
      <c r="U1088" s="10"/>
      <c r="V1088" s="10"/>
      <c r="W1088" s="10"/>
      <c r="X1088" s="10"/>
      <c r="Y1088" s="10"/>
      <c r="Z1088" s="10"/>
      <c r="AA1088" s="10"/>
      <c r="AB1088" s="10"/>
      <c r="AC1088" s="10"/>
      <c r="AD1088" s="10"/>
      <c r="AE1088" s="379"/>
      <c r="AF1088" s="379"/>
      <c r="AG1088" s="379"/>
      <c r="AH1088" s="379"/>
      <c r="AI1088" s="379"/>
    </row>
    <row r="1089" customFormat="false" ht="12.75" hidden="false" customHeight="true" outlineLevel="0" collapsed="false">
      <c r="B1089" s="361"/>
      <c r="C1089" s="369"/>
      <c r="D1089" s="362"/>
      <c r="E1089" s="363"/>
      <c r="F1089" s="364"/>
      <c r="G1089" s="363"/>
      <c r="H1089" s="363"/>
      <c r="I1089" s="370"/>
      <c r="J1089" s="363"/>
      <c r="K1089" s="363"/>
      <c r="L1089" s="363"/>
      <c r="M1089" s="367"/>
      <c r="N1089" s="10"/>
      <c r="O1089" s="10"/>
      <c r="P1089" s="10"/>
      <c r="Q1089" s="10"/>
      <c r="R1089" s="10"/>
      <c r="S1089" s="10"/>
      <c r="T1089" s="10"/>
      <c r="U1089" s="10"/>
      <c r="V1089" s="10"/>
      <c r="W1089" s="10"/>
      <c r="X1089" s="10"/>
      <c r="Y1089" s="10"/>
      <c r="Z1089" s="10"/>
      <c r="AA1089" s="10"/>
      <c r="AB1089" s="10"/>
      <c r="AC1089" s="10"/>
      <c r="AD1089" s="10"/>
      <c r="AE1089" s="379"/>
      <c r="AF1089" s="379"/>
      <c r="AG1089" s="379"/>
      <c r="AH1089" s="379"/>
      <c r="AI1089" s="379"/>
    </row>
    <row r="1090" customFormat="false" ht="12.75" hidden="false" customHeight="true" outlineLevel="0" collapsed="false">
      <c r="B1090" s="361"/>
      <c r="C1090" s="369"/>
      <c r="D1090" s="362"/>
      <c r="E1090" s="363"/>
      <c r="F1090" s="364"/>
      <c r="G1090" s="363"/>
      <c r="H1090" s="363"/>
      <c r="I1090" s="370"/>
      <c r="J1090" s="363"/>
      <c r="K1090" s="363"/>
      <c r="L1090" s="363"/>
      <c r="M1090" s="367"/>
      <c r="N1090" s="10"/>
      <c r="O1090" s="10"/>
      <c r="P1090" s="10"/>
      <c r="Q1090" s="10"/>
      <c r="R1090" s="10"/>
      <c r="S1090" s="10"/>
      <c r="T1090" s="10"/>
      <c r="U1090" s="10"/>
      <c r="V1090" s="10"/>
      <c r="W1090" s="10"/>
      <c r="X1090" s="10"/>
      <c r="Y1090" s="10"/>
      <c r="Z1090" s="10"/>
      <c r="AA1090" s="10"/>
      <c r="AB1090" s="10"/>
      <c r="AC1090" s="10"/>
      <c r="AD1090" s="10"/>
      <c r="AE1090" s="379"/>
      <c r="AF1090" s="379"/>
      <c r="AG1090" s="379"/>
      <c r="AH1090" s="379"/>
      <c r="AI1090" s="379"/>
    </row>
    <row r="1091" customFormat="false" ht="12.75" hidden="false" customHeight="true" outlineLevel="0" collapsed="false">
      <c r="B1091" s="361"/>
      <c r="C1091" s="369"/>
      <c r="D1091" s="362"/>
      <c r="E1091" s="363"/>
      <c r="F1091" s="364"/>
      <c r="G1091" s="363"/>
      <c r="H1091" s="363"/>
      <c r="I1091" s="370"/>
      <c r="J1091" s="363"/>
      <c r="K1091" s="363"/>
      <c r="L1091" s="363"/>
      <c r="M1091" s="367"/>
      <c r="N1091" s="10"/>
      <c r="O1091" s="10"/>
      <c r="P1091" s="10"/>
      <c r="Q1091" s="10"/>
      <c r="R1091" s="10"/>
      <c r="S1091" s="10"/>
      <c r="T1091" s="10"/>
      <c r="U1091" s="10"/>
      <c r="V1091" s="10"/>
      <c r="W1091" s="10"/>
      <c r="X1091" s="10"/>
      <c r="Y1091" s="10"/>
      <c r="Z1091" s="10"/>
      <c r="AA1091" s="10"/>
      <c r="AB1091" s="10"/>
      <c r="AC1091" s="10"/>
      <c r="AD1091" s="10"/>
      <c r="AE1091" s="379"/>
      <c r="AF1091" s="379"/>
      <c r="AG1091" s="379"/>
      <c r="AH1091" s="379"/>
      <c r="AI1091" s="379"/>
    </row>
    <row r="1092" customFormat="false" ht="12.75" hidden="false" customHeight="true" outlineLevel="0" collapsed="false">
      <c r="B1092" s="361"/>
      <c r="C1092" s="369"/>
      <c r="D1092" s="362"/>
      <c r="E1092" s="363"/>
      <c r="F1092" s="364"/>
      <c r="G1092" s="363"/>
      <c r="H1092" s="363"/>
      <c r="I1092" s="370"/>
      <c r="J1092" s="363"/>
      <c r="K1092" s="363"/>
      <c r="L1092" s="363"/>
      <c r="M1092" s="367"/>
      <c r="N1092" s="10"/>
      <c r="O1092" s="10"/>
      <c r="P1092" s="10"/>
      <c r="Q1092" s="10"/>
      <c r="R1092" s="10"/>
      <c r="S1092" s="10"/>
      <c r="T1092" s="10"/>
      <c r="U1092" s="10"/>
      <c r="V1092" s="10"/>
      <c r="W1092" s="10"/>
      <c r="X1092" s="10"/>
      <c r="Y1092" s="10"/>
      <c r="Z1092" s="10"/>
      <c r="AA1092" s="10"/>
      <c r="AB1092" s="10"/>
      <c r="AC1092" s="10"/>
      <c r="AD1092" s="10"/>
      <c r="AE1092" s="379"/>
      <c r="AF1092" s="37"/>
      <c r="AG1092" s="379"/>
      <c r="AH1092" s="379"/>
      <c r="AI1092" s="379"/>
      <c r="AJ1092" s="379"/>
    </row>
    <row r="1093" customFormat="false" ht="12.75" hidden="false" customHeight="true" outlineLevel="0" collapsed="false">
      <c r="B1093" s="361"/>
      <c r="C1093" s="369"/>
      <c r="D1093" s="362"/>
      <c r="E1093" s="363"/>
      <c r="F1093" s="364"/>
      <c r="G1093" s="363"/>
      <c r="H1093" s="363"/>
      <c r="I1093" s="370"/>
      <c r="J1093" s="363"/>
      <c r="K1093" s="363"/>
      <c r="L1093" s="363"/>
      <c r="M1093" s="367"/>
      <c r="N1093" s="10"/>
      <c r="O1093" s="10"/>
      <c r="P1093" s="10"/>
      <c r="Q1093" s="10"/>
      <c r="R1093" s="10"/>
      <c r="S1093" s="10"/>
      <c r="T1093" s="10"/>
      <c r="U1093" s="10"/>
      <c r="V1093" s="10"/>
      <c r="W1093" s="10"/>
      <c r="X1093" s="10"/>
      <c r="Y1093" s="10"/>
      <c r="Z1093" s="10"/>
      <c r="AA1093" s="10"/>
      <c r="AB1093" s="10"/>
      <c r="AC1093" s="10"/>
      <c r="AD1093" s="10"/>
      <c r="AE1093" s="379"/>
      <c r="AF1093" s="379"/>
      <c r="AG1093" s="379"/>
      <c r="AH1093" s="379"/>
      <c r="AI1093" s="379"/>
    </row>
    <row r="1094" customFormat="false" ht="12.75" hidden="false" customHeight="true" outlineLevel="0" collapsed="false">
      <c r="B1094" s="361"/>
      <c r="C1094" s="369"/>
      <c r="D1094" s="362"/>
      <c r="E1094" s="363"/>
      <c r="F1094" s="364"/>
      <c r="G1094" s="363"/>
      <c r="H1094" s="363"/>
      <c r="I1094" s="370"/>
      <c r="J1094" s="363"/>
      <c r="K1094" s="363"/>
      <c r="L1094" s="363"/>
      <c r="M1094" s="367"/>
      <c r="N1094" s="10"/>
      <c r="O1094" s="10"/>
      <c r="P1094" s="10"/>
      <c r="Q1094" s="10"/>
      <c r="R1094" s="10"/>
      <c r="S1094" s="10"/>
      <c r="T1094" s="10"/>
      <c r="U1094" s="10"/>
      <c r="V1094" s="10"/>
      <c r="W1094" s="10"/>
      <c r="X1094" s="10"/>
      <c r="Y1094" s="10"/>
      <c r="Z1094" s="10"/>
      <c r="AA1094" s="10"/>
      <c r="AB1094" s="10"/>
      <c r="AC1094" s="10"/>
      <c r="AD1094" s="10"/>
      <c r="AE1094" s="379"/>
      <c r="AF1094" s="379"/>
      <c r="AG1094" s="379"/>
      <c r="AH1094" s="379"/>
      <c r="AI1094" s="379"/>
    </row>
    <row r="1095" customFormat="false" ht="12.75" hidden="false" customHeight="true" outlineLevel="0" collapsed="false">
      <c r="B1095" s="361"/>
      <c r="C1095" s="369"/>
      <c r="D1095" s="362"/>
      <c r="E1095" s="363"/>
      <c r="F1095" s="364"/>
      <c r="G1095" s="363"/>
      <c r="H1095" s="363"/>
      <c r="I1095" s="370"/>
      <c r="J1095" s="363"/>
      <c r="K1095" s="363"/>
      <c r="L1095" s="363"/>
      <c r="M1095" s="367"/>
      <c r="N1095" s="10"/>
      <c r="O1095" s="10"/>
      <c r="P1095" s="10"/>
      <c r="Q1095" s="10"/>
      <c r="R1095" s="10"/>
      <c r="S1095" s="10"/>
      <c r="T1095" s="10"/>
      <c r="U1095" s="10"/>
      <c r="V1095" s="10"/>
      <c r="W1095" s="10"/>
      <c r="X1095" s="10"/>
      <c r="Y1095" s="10"/>
      <c r="Z1095" s="10"/>
      <c r="AA1095" s="10"/>
      <c r="AB1095" s="10"/>
      <c r="AC1095" s="10"/>
      <c r="AD1095" s="10"/>
      <c r="AE1095" s="379"/>
      <c r="AF1095" s="379"/>
      <c r="AG1095" s="379"/>
      <c r="AH1095" s="379"/>
      <c r="AI1095" s="379"/>
    </row>
    <row r="1096" customFormat="false" ht="12.75" hidden="false" customHeight="true" outlineLevel="0" collapsed="false">
      <c r="B1096" s="361"/>
      <c r="C1096" s="369"/>
      <c r="D1096" s="362"/>
      <c r="E1096" s="363"/>
      <c r="F1096" s="364"/>
      <c r="G1096" s="363"/>
      <c r="H1096" s="363"/>
      <c r="I1096" s="370"/>
      <c r="J1096" s="363"/>
      <c r="K1096" s="363"/>
      <c r="L1096" s="363"/>
      <c r="M1096" s="367"/>
      <c r="N1096" s="10"/>
      <c r="O1096" s="10"/>
      <c r="P1096" s="10"/>
      <c r="Q1096" s="10"/>
      <c r="R1096" s="10"/>
      <c r="S1096" s="10"/>
      <c r="T1096" s="10"/>
      <c r="U1096" s="10"/>
      <c r="V1096" s="10"/>
      <c r="W1096" s="10"/>
      <c r="X1096" s="10"/>
      <c r="Y1096" s="10"/>
      <c r="Z1096" s="10"/>
      <c r="AA1096" s="10"/>
      <c r="AB1096" s="10"/>
      <c r="AC1096" s="10"/>
      <c r="AD1096" s="10"/>
      <c r="AE1096" s="379"/>
      <c r="AF1096" s="379"/>
      <c r="AG1096" s="379"/>
      <c r="AH1096" s="379"/>
      <c r="AI1096" s="379"/>
    </row>
    <row r="1097" customFormat="false" ht="12.75" hidden="false" customHeight="true" outlineLevel="0" collapsed="false">
      <c r="B1097" s="361"/>
      <c r="C1097" s="369"/>
      <c r="D1097" s="362"/>
      <c r="E1097" s="363"/>
      <c r="F1097" s="364"/>
      <c r="G1097" s="363"/>
      <c r="H1097" s="363"/>
      <c r="I1097" s="370"/>
      <c r="J1097" s="363"/>
      <c r="K1097" s="363"/>
      <c r="L1097" s="363"/>
      <c r="M1097" s="367"/>
      <c r="N1097" s="10"/>
      <c r="O1097" s="10"/>
      <c r="P1097" s="10"/>
      <c r="Q1097" s="10"/>
      <c r="R1097" s="10"/>
      <c r="S1097" s="10"/>
      <c r="T1097" s="10"/>
      <c r="U1097" s="10"/>
      <c r="V1097" s="10"/>
      <c r="W1097" s="10"/>
      <c r="X1097" s="10"/>
      <c r="Y1097" s="10"/>
      <c r="Z1097" s="10"/>
      <c r="AA1097" s="10"/>
      <c r="AB1097" s="10"/>
      <c r="AC1097" s="10"/>
      <c r="AD1097" s="10"/>
      <c r="AE1097" s="379"/>
      <c r="AF1097" s="379"/>
      <c r="AG1097" s="379"/>
      <c r="AH1097" s="379"/>
      <c r="AI1097" s="379"/>
    </row>
    <row r="1098" customFormat="false" ht="12.75" hidden="false" customHeight="true" outlineLevel="0" collapsed="false">
      <c r="B1098" s="361"/>
      <c r="C1098" s="362"/>
      <c r="D1098" s="362"/>
      <c r="E1098" s="363"/>
      <c r="F1098" s="374"/>
      <c r="G1098" s="363"/>
      <c r="H1098" s="363"/>
      <c r="I1098" s="363"/>
      <c r="J1098" s="363"/>
      <c r="K1098" s="363"/>
      <c r="L1098" s="363"/>
      <c r="M1098" s="367"/>
      <c r="N1098" s="10"/>
      <c r="O1098" s="10"/>
      <c r="P1098" s="10"/>
      <c r="Q1098" s="10"/>
      <c r="R1098" s="10"/>
      <c r="S1098" s="10"/>
      <c r="T1098" s="10"/>
      <c r="U1098" s="10"/>
      <c r="V1098" s="10"/>
      <c r="W1098" s="10"/>
      <c r="X1098" s="10"/>
      <c r="Y1098" s="10"/>
      <c r="Z1098" s="10"/>
      <c r="AA1098" s="10"/>
      <c r="AB1098" s="10"/>
      <c r="AC1098" s="10"/>
      <c r="AD1098" s="10"/>
      <c r="AE1098" s="379"/>
      <c r="AF1098" s="379"/>
      <c r="AG1098" s="379"/>
      <c r="AH1098" s="379"/>
      <c r="AI1098" s="379"/>
    </row>
    <row r="1099" customFormat="false" ht="12.75" hidden="false" customHeight="true" outlineLevel="0" collapsed="false">
      <c r="B1099" s="361"/>
      <c r="C1099" s="362"/>
      <c r="D1099" s="362"/>
      <c r="E1099" s="363"/>
      <c r="F1099" s="374"/>
      <c r="G1099" s="363"/>
      <c r="H1099" s="363"/>
      <c r="I1099" s="363"/>
      <c r="J1099" s="363"/>
      <c r="K1099" s="363"/>
      <c r="L1099" s="363"/>
      <c r="M1099" s="367"/>
      <c r="N1099" s="10"/>
      <c r="O1099" s="10"/>
      <c r="P1099" s="10"/>
      <c r="Q1099" s="10"/>
      <c r="R1099" s="10"/>
      <c r="S1099" s="10"/>
      <c r="T1099" s="10"/>
      <c r="U1099" s="10"/>
      <c r="V1099" s="10"/>
      <c r="W1099" s="10"/>
      <c r="X1099" s="10"/>
      <c r="Y1099" s="10"/>
      <c r="Z1099" s="10"/>
      <c r="AA1099" s="10"/>
      <c r="AB1099" s="10"/>
      <c r="AC1099" s="10"/>
      <c r="AD1099" s="10"/>
      <c r="AE1099" s="379"/>
      <c r="AF1099" s="379"/>
      <c r="AG1099" s="379"/>
      <c r="AH1099" s="379"/>
      <c r="AI1099" s="379"/>
    </row>
    <row r="1100" customFormat="false" ht="12.75" hidden="false" customHeight="true" outlineLevel="0" collapsed="false">
      <c r="B1100" s="368"/>
      <c r="C1100" s="362"/>
      <c r="D1100" s="362"/>
      <c r="E1100" s="363"/>
      <c r="F1100" s="374"/>
      <c r="G1100" s="363"/>
      <c r="H1100" s="363"/>
      <c r="I1100" s="363"/>
      <c r="J1100" s="363"/>
      <c r="K1100" s="363"/>
      <c r="L1100" s="363"/>
      <c r="M1100" s="367"/>
      <c r="N1100" s="10"/>
      <c r="O1100" s="10"/>
      <c r="P1100" s="10"/>
      <c r="Q1100" s="10"/>
      <c r="R1100" s="10"/>
      <c r="S1100" s="10"/>
      <c r="T1100" s="10"/>
      <c r="U1100" s="10"/>
      <c r="V1100" s="10"/>
      <c r="W1100" s="10"/>
      <c r="X1100" s="10"/>
      <c r="Y1100" s="10"/>
      <c r="Z1100" s="10"/>
      <c r="AA1100" s="10"/>
      <c r="AB1100" s="10"/>
      <c r="AC1100" s="10"/>
      <c r="AD1100" s="10"/>
      <c r="AE1100" s="379"/>
      <c r="AF1100" s="379"/>
      <c r="AG1100" s="379"/>
      <c r="AH1100" s="379"/>
      <c r="AI1100" s="379"/>
    </row>
    <row r="1101" customFormat="false" ht="12.75" hidden="false" customHeight="true" outlineLevel="0" collapsed="false">
      <c r="B1101" s="361"/>
      <c r="C1101" s="362"/>
      <c r="D1101" s="362"/>
      <c r="E1101" s="363"/>
      <c r="F1101" s="374"/>
      <c r="G1101" s="363"/>
      <c r="H1101" s="363"/>
      <c r="I1101" s="363"/>
      <c r="J1101" s="363"/>
      <c r="K1101" s="363"/>
      <c r="L1101" s="363"/>
      <c r="M1101" s="367"/>
      <c r="N1101" s="10"/>
      <c r="O1101" s="10"/>
      <c r="P1101" s="10"/>
      <c r="Q1101" s="10"/>
      <c r="R1101" s="10"/>
      <c r="S1101" s="10"/>
      <c r="T1101" s="10"/>
      <c r="U1101" s="10"/>
      <c r="V1101" s="10"/>
      <c r="W1101" s="10"/>
      <c r="X1101" s="10"/>
      <c r="Y1101" s="10"/>
      <c r="Z1101" s="10"/>
      <c r="AA1101" s="10"/>
      <c r="AB1101" s="10"/>
      <c r="AC1101" s="10"/>
      <c r="AD1101" s="10"/>
      <c r="AE1101" s="379"/>
      <c r="AF1101" s="379"/>
      <c r="AG1101" s="379"/>
      <c r="AH1101" s="379"/>
      <c r="AI1101" s="379"/>
    </row>
    <row r="1102" customFormat="false" ht="12.75" hidden="false" customHeight="true" outlineLevel="0" collapsed="false">
      <c r="B1102" s="361"/>
      <c r="C1102" s="362"/>
      <c r="D1102" s="362"/>
      <c r="E1102" s="363"/>
      <c r="F1102" s="374"/>
      <c r="G1102" s="363"/>
      <c r="H1102" s="363"/>
      <c r="I1102" s="363"/>
      <c r="J1102" s="363"/>
      <c r="K1102" s="363"/>
      <c r="L1102" s="363"/>
      <c r="M1102" s="367"/>
      <c r="N1102" s="10"/>
      <c r="O1102" s="10"/>
      <c r="P1102" s="10"/>
      <c r="Q1102" s="10"/>
      <c r="R1102" s="10"/>
      <c r="S1102" s="10"/>
      <c r="T1102" s="10"/>
      <c r="U1102" s="10"/>
      <c r="V1102" s="10"/>
      <c r="W1102" s="10"/>
      <c r="X1102" s="10"/>
      <c r="Y1102" s="10"/>
      <c r="Z1102" s="10"/>
      <c r="AA1102" s="10"/>
      <c r="AB1102" s="10"/>
      <c r="AC1102" s="10"/>
      <c r="AD1102" s="10"/>
      <c r="AE1102" s="379"/>
      <c r="AF1102" s="379"/>
      <c r="AG1102" s="379"/>
      <c r="AH1102" s="379"/>
      <c r="AI1102" s="379"/>
    </row>
    <row r="1103" customFormat="false" ht="12.75" hidden="false" customHeight="true" outlineLevel="0" collapsed="false">
      <c r="B1103" s="368"/>
      <c r="C1103" s="362"/>
      <c r="D1103" s="362"/>
      <c r="E1103" s="363"/>
      <c r="F1103" s="374"/>
      <c r="G1103" s="363"/>
      <c r="H1103" s="363"/>
      <c r="I1103" s="363"/>
      <c r="J1103" s="363"/>
      <c r="K1103" s="363"/>
      <c r="L1103" s="363"/>
      <c r="M1103" s="367"/>
      <c r="N1103" s="10"/>
      <c r="O1103" s="10"/>
      <c r="P1103" s="10"/>
      <c r="Q1103" s="10"/>
      <c r="R1103" s="10"/>
      <c r="S1103" s="10"/>
      <c r="T1103" s="10"/>
      <c r="U1103" s="10"/>
      <c r="V1103" s="10"/>
      <c r="W1103" s="10"/>
      <c r="X1103" s="10"/>
      <c r="Y1103" s="10"/>
      <c r="Z1103" s="10"/>
      <c r="AA1103" s="10"/>
      <c r="AB1103" s="10"/>
      <c r="AC1103" s="10"/>
      <c r="AD1103" s="10"/>
      <c r="AE1103" s="379"/>
      <c r="AF1103" s="379"/>
      <c r="AG1103" s="379"/>
      <c r="AH1103" s="379"/>
      <c r="AI1103" s="379"/>
    </row>
    <row r="1104" customFormat="false" ht="12.75" hidden="false" customHeight="true" outlineLevel="0" collapsed="false">
      <c r="B1104" s="361"/>
      <c r="C1104" s="362"/>
      <c r="D1104" s="362"/>
      <c r="E1104" s="363"/>
      <c r="F1104" s="374"/>
      <c r="G1104" s="363"/>
      <c r="H1104" s="363"/>
      <c r="I1104" s="363"/>
      <c r="J1104" s="363"/>
      <c r="K1104" s="363"/>
      <c r="L1104" s="363"/>
      <c r="M1104" s="367"/>
      <c r="N1104" s="10"/>
      <c r="O1104" s="10"/>
      <c r="P1104" s="10"/>
      <c r="Q1104" s="10"/>
      <c r="R1104" s="10"/>
      <c r="S1104" s="10"/>
      <c r="T1104" s="10"/>
      <c r="U1104" s="10"/>
      <c r="V1104" s="10"/>
      <c r="W1104" s="10"/>
      <c r="X1104" s="10"/>
      <c r="Y1104" s="10"/>
      <c r="Z1104" s="10"/>
      <c r="AA1104" s="10"/>
      <c r="AB1104" s="10"/>
      <c r="AC1104" s="10"/>
      <c r="AD1104" s="10"/>
      <c r="AE1104" s="379"/>
      <c r="AF1104" s="379"/>
      <c r="AG1104" s="379"/>
      <c r="AH1104" s="379"/>
      <c r="AI1104" s="379"/>
    </row>
    <row r="1105" customFormat="false" ht="12.75" hidden="false" customHeight="true" outlineLevel="0" collapsed="false">
      <c r="B1105" s="361"/>
      <c r="C1105" s="362"/>
      <c r="D1105" s="362"/>
      <c r="E1105" s="363"/>
      <c r="F1105" s="374"/>
      <c r="G1105" s="363"/>
      <c r="H1105" s="363"/>
      <c r="I1105" s="363"/>
      <c r="J1105" s="363"/>
      <c r="K1105" s="363"/>
      <c r="L1105" s="363"/>
      <c r="M1105" s="367"/>
      <c r="N1105" s="10"/>
      <c r="O1105" s="10"/>
      <c r="P1105" s="10"/>
      <c r="Q1105" s="10"/>
      <c r="R1105" s="10"/>
      <c r="S1105" s="10"/>
      <c r="T1105" s="10"/>
      <c r="U1105" s="10"/>
      <c r="V1105" s="10"/>
      <c r="W1105" s="10"/>
      <c r="X1105" s="10"/>
      <c r="Y1105" s="10"/>
      <c r="Z1105" s="10"/>
      <c r="AA1105" s="10"/>
      <c r="AB1105" s="10"/>
      <c r="AC1105" s="10"/>
      <c r="AD1105" s="10"/>
      <c r="AE1105" s="379"/>
      <c r="AF1105" s="379"/>
      <c r="AG1105" s="379"/>
      <c r="AH1105" s="379"/>
      <c r="AI1105" s="379"/>
    </row>
    <row r="1106" customFormat="false" ht="12.75" hidden="false" customHeight="true" outlineLevel="0" collapsed="false">
      <c r="B1106" s="368"/>
      <c r="C1106" s="362"/>
      <c r="D1106" s="362"/>
      <c r="E1106" s="363"/>
      <c r="F1106" s="374"/>
      <c r="G1106" s="363"/>
      <c r="H1106" s="363"/>
      <c r="I1106" s="363"/>
      <c r="J1106" s="363"/>
      <c r="K1106" s="363"/>
      <c r="L1106" s="363"/>
      <c r="M1106" s="367"/>
      <c r="N1106" s="10"/>
      <c r="O1106" s="10"/>
      <c r="P1106" s="10"/>
      <c r="Q1106" s="10"/>
      <c r="R1106" s="10"/>
      <c r="S1106" s="10"/>
      <c r="T1106" s="10"/>
      <c r="U1106" s="10"/>
      <c r="V1106" s="10"/>
      <c r="W1106" s="10"/>
      <c r="X1106" s="10"/>
      <c r="Y1106" s="10"/>
      <c r="Z1106" s="10"/>
      <c r="AA1106" s="10"/>
      <c r="AB1106" s="10"/>
      <c r="AC1106" s="10"/>
      <c r="AD1106" s="10"/>
      <c r="AE1106" s="379"/>
      <c r="AF1106" s="379"/>
      <c r="AG1106" s="379"/>
      <c r="AH1106" s="379"/>
      <c r="AI1106" s="379"/>
    </row>
    <row r="1107" customFormat="false" ht="12.75" hidden="false" customHeight="true" outlineLevel="0" collapsed="false">
      <c r="B1107" s="361"/>
      <c r="C1107" s="362"/>
      <c r="D1107" s="362"/>
      <c r="E1107" s="363"/>
      <c r="F1107" s="374"/>
      <c r="G1107" s="363"/>
      <c r="H1107" s="363"/>
      <c r="I1107" s="363"/>
      <c r="J1107" s="363"/>
      <c r="K1107" s="363"/>
      <c r="L1107" s="363"/>
      <c r="M1107" s="367"/>
      <c r="N1107" s="10"/>
      <c r="O1107" s="10"/>
      <c r="P1107" s="10"/>
      <c r="Q1107" s="10"/>
      <c r="R1107" s="10"/>
      <c r="S1107" s="10"/>
      <c r="T1107" s="10"/>
      <c r="U1107" s="10"/>
      <c r="V1107" s="10"/>
      <c r="W1107" s="10"/>
      <c r="X1107" s="10"/>
      <c r="Y1107" s="10"/>
      <c r="Z1107" s="10"/>
      <c r="AA1107" s="10"/>
      <c r="AB1107" s="10"/>
      <c r="AC1107" s="10"/>
      <c r="AD1107" s="10"/>
      <c r="AE1107" s="379"/>
      <c r="AF1107" s="379"/>
      <c r="AG1107" s="379"/>
      <c r="AH1107" s="379"/>
      <c r="AI1107" s="379"/>
    </row>
    <row r="1108" customFormat="false" ht="12.75" hidden="false" customHeight="true" outlineLevel="0" collapsed="false">
      <c r="B1108" s="361"/>
      <c r="C1108" s="369"/>
      <c r="D1108" s="369"/>
      <c r="E1108" s="370"/>
      <c r="F1108" s="375"/>
      <c r="G1108" s="370"/>
      <c r="H1108" s="370"/>
      <c r="I1108" s="370"/>
      <c r="J1108" s="370"/>
      <c r="K1108" s="370"/>
      <c r="L1108" s="370"/>
      <c r="M1108" s="367"/>
      <c r="N1108" s="10"/>
      <c r="O1108" s="10"/>
      <c r="P1108" s="10"/>
      <c r="Q1108" s="10"/>
      <c r="R1108" s="10"/>
      <c r="S1108" s="10"/>
      <c r="T1108" s="10"/>
      <c r="U1108" s="10"/>
      <c r="V1108" s="10"/>
      <c r="W1108" s="10"/>
      <c r="X1108" s="10"/>
      <c r="Y1108" s="10"/>
      <c r="Z1108" s="10"/>
      <c r="AA1108" s="10"/>
      <c r="AB1108" s="10"/>
      <c r="AC1108" s="10"/>
      <c r="AD1108" s="10"/>
      <c r="AE1108" s="379"/>
      <c r="AF1108" s="379"/>
      <c r="AG1108" s="379"/>
      <c r="AH1108" s="379"/>
      <c r="AI1108" s="379"/>
    </row>
    <row r="1109" customFormat="false" ht="12.75" hidden="false" customHeight="true" outlineLevel="0" collapsed="false">
      <c r="B1109" s="361"/>
      <c r="C1109" s="369"/>
      <c r="D1109" s="362"/>
      <c r="E1109" s="363"/>
      <c r="F1109" s="364"/>
      <c r="G1109" s="363"/>
      <c r="H1109" s="363"/>
      <c r="I1109" s="370"/>
      <c r="J1109" s="363"/>
      <c r="K1109" s="370"/>
      <c r="L1109" s="363"/>
      <c r="M1109" s="367"/>
      <c r="N1109" s="10"/>
      <c r="O1109" s="10"/>
      <c r="P1109" s="10"/>
      <c r="Q1109" s="10"/>
      <c r="R1109" s="10"/>
      <c r="S1109" s="10"/>
      <c r="T1109" s="10"/>
      <c r="U1109" s="10"/>
      <c r="V1109" s="10"/>
      <c r="W1109" s="10"/>
      <c r="X1109" s="10"/>
      <c r="Y1109" s="10"/>
      <c r="Z1109" s="10"/>
      <c r="AA1109" s="10"/>
      <c r="AB1109" s="10"/>
      <c r="AC1109" s="10"/>
      <c r="AD1109" s="10"/>
      <c r="AE1109" s="379"/>
      <c r="AF1109" s="37"/>
      <c r="AG1109" s="379"/>
      <c r="AH1109" s="379"/>
      <c r="AI1109" s="379"/>
      <c r="AJ1109" s="379"/>
    </row>
    <row r="1110" customFormat="false" ht="12.75" hidden="false" customHeight="true" outlineLevel="0" collapsed="false">
      <c r="B1110" s="361"/>
      <c r="C1110" s="369"/>
      <c r="D1110" s="362"/>
      <c r="E1110" s="363"/>
      <c r="F1110" s="364"/>
      <c r="G1110" s="363"/>
      <c r="H1110" s="363"/>
      <c r="I1110" s="370"/>
      <c r="J1110" s="363"/>
      <c r="K1110" s="363"/>
      <c r="L1110" s="363"/>
      <c r="M1110" s="367"/>
      <c r="N1110" s="10"/>
      <c r="O1110" s="10"/>
      <c r="P1110" s="10"/>
      <c r="Q1110" s="10"/>
      <c r="R1110" s="10"/>
      <c r="S1110" s="10"/>
      <c r="T1110" s="10"/>
      <c r="U1110" s="10"/>
      <c r="V1110" s="10"/>
      <c r="W1110" s="10"/>
      <c r="X1110" s="10"/>
      <c r="Y1110" s="10"/>
      <c r="Z1110" s="10"/>
      <c r="AA1110" s="10"/>
      <c r="AB1110" s="10"/>
      <c r="AC1110" s="10"/>
      <c r="AD1110" s="10"/>
      <c r="AE1110" s="379"/>
      <c r="AF1110" s="37"/>
      <c r="AG1110" s="379"/>
      <c r="AH1110" s="379"/>
      <c r="AI1110" s="379"/>
      <c r="AJ1110" s="379"/>
    </row>
    <row r="1111" customFormat="false" ht="12.75" hidden="false" customHeight="true" outlineLevel="0" collapsed="false">
      <c r="B1111" s="361"/>
      <c r="C1111" s="369"/>
      <c r="D1111" s="362"/>
      <c r="E1111" s="363"/>
      <c r="F1111" s="364"/>
      <c r="G1111" s="363"/>
      <c r="H1111" s="363"/>
      <c r="I1111" s="370"/>
      <c r="J1111" s="363"/>
      <c r="K1111" s="363"/>
      <c r="L1111" s="363"/>
      <c r="M1111" s="367"/>
      <c r="N1111" s="10"/>
      <c r="O1111" s="10"/>
      <c r="P1111" s="10"/>
      <c r="Q1111" s="10"/>
      <c r="R1111" s="10"/>
      <c r="S1111" s="10"/>
      <c r="T1111" s="10"/>
      <c r="U1111" s="10"/>
      <c r="V1111" s="10"/>
      <c r="W1111" s="10"/>
      <c r="X1111" s="10"/>
      <c r="Y1111" s="10"/>
      <c r="Z1111" s="10"/>
      <c r="AA1111" s="10"/>
      <c r="AB1111" s="10"/>
      <c r="AC1111" s="10"/>
      <c r="AD1111" s="10"/>
      <c r="AE1111" s="379"/>
      <c r="AF1111" s="37"/>
      <c r="AG1111" s="379"/>
      <c r="AH1111" s="379"/>
      <c r="AI1111" s="379"/>
      <c r="AJ1111" s="379"/>
    </row>
    <row r="1112" customFormat="false" ht="12.75" hidden="false" customHeight="true" outlineLevel="0" collapsed="false">
      <c r="B1112" s="361"/>
      <c r="C1112" s="369"/>
      <c r="D1112" s="362"/>
      <c r="E1112" s="363"/>
      <c r="F1112" s="364"/>
      <c r="G1112" s="363"/>
      <c r="H1112" s="363"/>
      <c r="I1112" s="370"/>
      <c r="J1112" s="363"/>
      <c r="K1112" s="363"/>
      <c r="L1112" s="363"/>
      <c r="M1112" s="367"/>
      <c r="N1112" s="10"/>
      <c r="O1112" s="10"/>
      <c r="P1112" s="10"/>
      <c r="Q1112" s="10"/>
      <c r="R1112" s="10"/>
      <c r="S1112" s="10"/>
      <c r="T1112" s="10"/>
      <c r="U1112" s="10"/>
      <c r="V1112" s="10"/>
      <c r="W1112" s="10"/>
      <c r="X1112" s="10"/>
      <c r="Y1112" s="10"/>
      <c r="Z1112" s="10"/>
      <c r="AA1112" s="10"/>
      <c r="AB1112" s="10"/>
      <c r="AC1112" s="10"/>
      <c r="AD1112" s="10"/>
      <c r="AE1112" s="379"/>
      <c r="AF1112" s="379"/>
      <c r="AG1112" s="379"/>
      <c r="AH1112" s="379"/>
      <c r="AI1112" s="379"/>
    </row>
    <row r="1113" customFormat="false" ht="12.75" hidden="false" customHeight="true" outlineLevel="0" collapsed="false">
      <c r="B1113" s="361"/>
      <c r="C1113" s="369"/>
      <c r="D1113" s="362"/>
      <c r="E1113" s="363"/>
      <c r="F1113" s="364"/>
      <c r="G1113" s="363"/>
      <c r="H1113" s="363"/>
      <c r="I1113" s="370"/>
      <c r="J1113" s="363"/>
      <c r="K1113" s="363"/>
      <c r="L1113" s="363"/>
      <c r="M1113" s="367"/>
      <c r="N1113" s="10"/>
      <c r="O1113" s="10"/>
      <c r="P1113" s="10"/>
      <c r="Q1113" s="10"/>
      <c r="R1113" s="10"/>
      <c r="S1113" s="10"/>
      <c r="T1113" s="10"/>
      <c r="U1113" s="10"/>
      <c r="V1113" s="10"/>
      <c r="W1113" s="10"/>
      <c r="X1113" s="10"/>
      <c r="Y1113" s="10"/>
      <c r="Z1113" s="10"/>
      <c r="AA1113" s="10"/>
      <c r="AB1113" s="10"/>
      <c r="AC1113" s="10"/>
      <c r="AD1113" s="10"/>
      <c r="AE1113" s="379"/>
      <c r="AF1113" s="379"/>
      <c r="AG1113" s="379"/>
      <c r="AH1113" s="379"/>
      <c r="AI1113" s="379"/>
    </row>
    <row r="1114" customFormat="false" ht="12.75" hidden="false" customHeight="true" outlineLevel="0" collapsed="false">
      <c r="B1114" s="361"/>
      <c r="C1114" s="369"/>
      <c r="D1114" s="362"/>
      <c r="E1114" s="363"/>
      <c r="F1114" s="364"/>
      <c r="G1114" s="363"/>
      <c r="H1114" s="363"/>
      <c r="I1114" s="370"/>
      <c r="J1114" s="363"/>
      <c r="K1114" s="363"/>
      <c r="L1114" s="363"/>
      <c r="M1114" s="367"/>
      <c r="N1114" s="10"/>
      <c r="O1114" s="10"/>
      <c r="P1114" s="10"/>
      <c r="Q1114" s="10"/>
      <c r="R1114" s="10"/>
      <c r="S1114" s="10"/>
      <c r="T1114" s="10"/>
      <c r="U1114" s="10"/>
      <c r="V1114" s="10"/>
      <c r="W1114" s="10"/>
      <c r="X1114" s="10"/>
      <c r="Y1114" s="10"/>
      <c r="Z1114" s="10"/>
      <c r="AA1114" s="10"/>
      <c r="AB1114" s="10"/>
      <c r="AC1114" s="10"/>
      <c r="AD1114" s="10"/>
      <c r="AE1114" s="379"/>
      <c r="AF1114" s="37"/>
      <c r="AG1114" s="379"/>
      <c r="AH1114" s="379"/>
      <c r="AI1114" s="379"/>
      <c r="AJ1114" s="379"/>
    </row>
    <row r="1115" customFormat="false" ht="12.75" hidden="false" customHeight="true" outlineLevel="0" collapsed="false">
      <c r="B1115" s="361"/>
      <c r="C1115" s="369"/>
      <c r="D1115" s="362"/>
      <c r="E1115" s="363"/>
      <c r="F1115" s="364"/>
      <c r="G1115" s="363"/>
      <c r="H1115" s="363"/>
      <c r="I1115" s="370"/>
      <c r="J1115" s="363"/>
      <c r="K1115" s="363"/>
      <c r="L1115" s="363"/>
      <c r="M1115" s="367"/>
      <c r="N1115" s="10"/>
      <c r="O1115" s="10"/>
      <c r="P1115" s="10"/>
      <c r="Q1115" s="10"/>
      <c r="R1115" s="10"/>
      <c r="S1115" s="10"/>
      <c r="T1115" s="10"/>
      <c r="U1115" s="10"/>
      <c r="V1115" s="10"/>
      <c r="W1115" s="10"/>
      <c r="X1115" s="10"/>
      <c r="Y1115" s="10"/>
      <c r="Z1115" s="10"/>
      <c r="AA1115" s="10"/>
      <c r="AB1115" s="10"/>
      <c r="AC1115" s="10"/>
      <c r="AD1115" s="10"/>
      <c r="AE1115" s="379"/>
      <c r="AF1115" s="37"/>
      <c r="AG1115" s="379"/>
      <c r="AH1115" s="379"/>
      <c r="AI1115" s="379"/>
      <c r="AJ1115" s="379"/>
    </row>
    <row r="1116" customFormat="false" ht="12.75" hidden="false" customHeight="true" outlineLevel="0" collapsed="false">
      <c r="B1116" s="361"/>
      <c r="C1116" s="369"/>
      <c r="D1116" s="362"/>
      <c r="E1116" s="363"/>
      <c r="F1116" s="364"/>
      <c r="G1116" s="363"/>
      <c r="H1116" s="363"/>
      <c r="I1116" s="370"/>
      <c r="J1116" s="370"/>
      <c r="K1116" s="363"/>
      <c r="L1116" s="363"/>
      <c r="M1116" s="367"/>
      <c r="N1116" s="10"/>
      <c r="O1116" s="10"/>
      <c r="P1116" s="10"/>
      <c r="Q1116" s="10"/>
      <c r="R1116" s="10"/>
      <c r="S1116" s="10"/>
      <c r="T1116" s="10"/>
      <c r="U1116" s="10"/>
      <c r="V1116" s="10"/>
      <c r="W1116" s="10"/>
      <c r="X1116" s="10"/>
      <c r="Y1116" s="10"/>
      <c r="Z1116" s="10"/>
      <c r="AA1116" s="10"/>
      <c r="AB1116" s="10"/>
      <c r="AC1116" s="10"/>
      <c r="AD1116" s="10"/>
      <c r="AE1116" s="379"/>
      <c r="AF1116" s="37"/>
      <c r="AG1116" s="379"/>
      <c r="AH1116" s="379"/>
      <c r="AI1116" s="379"/>
      <c r="AJ1116" s="379"/>
    </row>
    <row r="1117" customFormat="false" ht="12.75" hidden="false" customHeight="true" outlineLevel="0" collapsed="false">
      <c r="B1117" s="361"/>
      <c r="C1117" s="369"/>
      <c r="D1117" s="362"/>
      <c r="E1117" s="363"/>
      <c r="F1117" s="364"/>
      <c r="G1117" s="363"/>
      <c r="H1117" s="363"/>
      <c r="I1117" s="370"/>
      <c r="J1117" s="363"/>
      <c r="K1117" s="363"/>
      <c r="L1117" s="363"/>
      <c r="M1117" s="367"/>
      <c r="N1117" s="10"/>
      <c r="O1117" s="10"/>
      <c r="P1117" s="10"/>
      <c r="Q1117" s="10"/>
      <c r="R1117" s="10"/>
      <c r="S1117" s="10"/>
      <c r="T1117" s="10"/>
      <c r="U1117" s="10"/>
      <c r="V1117" s="10"/>
      <c r="W1117" s="10"/>
      <c r="X1117" s="10"/>
      <c r="Y1117" s="10"/>
      <c r="Z1117" s="10"/>
      <c r="AA1117" s="10"/>
      <c r="AB1117" s="10"/>
      <c r="AC1117" s="10"/>
      <c r="AD1117" s="10"/>
      <c r="AE1117" s="379"/>
      <c r="AF1117" s="37"/>
      <c r="AG1117" s="379"/>
      <c r="AH1117" s="379"/>
      <c r="AI1117" s="379"/>
      <c r="AJ1117" s="379"/>
    </row>
    <row r="1118" customFormat="false" ht="12.75" hidden="false" customHeight="true" outlineLevel="0" collapsed="false">
      <c r="B1118" s="361"/>
      <c r="C1118" s="369"/>
      <c r="D1118" s="362"/>
      <c r="E1118" s="363"/>
      <c r="F1118" s="364"/>
      <c r="G1118" s="363"/>
      <c r="H1118" s="363"/>
      <c r="I1118" s="370"/>
      <c r="J1118" s="363"/>
      <c r="K1118" s="363"/>
      <c r="L1118" s="370"/>
      <c r="M1118" s="367"/>
      <c r="N1118" s="10"/>
      <c r="O1118" s="10"/>
      <c r="P1118" s="10"/>
      <c r="Q1118" s="10"/>
      <c r="R1118" s="10"/>
      <c r="S1118" s="10"/>
      <c r="T1118" s="10"/>
      <c r="U1118" s="10"/>
      <c r="V1118" s="10"/>
      <c r="W1118" s="10"/>
      <c r="X1118" s="10"/>
      <c r="Y1118" s="10"/>
      <c r="Z1118" s="10"/>
      <c r="AA1118" s="10"/>
      <c r="AB1118" s="10"/>
      <c r="AC1118" s="10"/>
      <c r="AD1118" s="10"/>
      <c r="AE1118" s="379"/>
      <c r="AF1118" s="37"/>
      <c r="AG1118" s="379"/>
      <c r="AH1118" s="379"/>
      <c r="AI1118" s="379"/>
      <c r="AJ1118" s="379"/>
    </row>
    <row r="1119" customFormat="false" ht="12.75" hidden="false" customHeight="true" outlineLevel="0" collapsed="false">
      <c r="B1119" s="361"/>
      <c r="C1119" s="369"/>
      <c r="D1119" s="362"/>
      <c r="E1119" s="363"/>
      <c r="F1119" s="364"/>
      <c r="G1119" s="363"/>
      <c r="H1119" s="363"/>
      <c r="I1119" s="370"/>
      <c r="J1119" s="363"/>
      <c r="K1119" s="363"/>
      <c r="L1119" s="363"/>
      <c r="M1119" s="367"/>
      <c r="N1119" s="10"/>
      <c r="O1119" s="10"/>
      <c r="P1119" s="10"/>
      <c r="Q1119" s="10"/>
      <c r="R1119" s="10"/>
      <c r="S1119" s="10"/>
      <c r="T1119" s="10"/>
      <c r="U1119" s="10"/>
      <c r="V1119" s="10"/>
      <c r="W1119" s="10"/>
      <c r="X1119" s="10"/>
      <c r="Y1119" s="10"/>
      <c r="Z1119" s="10"/>
      <c r="AA1119" s="10"/>
      <c r="AB1119" s="10"/>
      <c r="AC1119" s="10"/>
      <c r="AD1119" s="10"/>
      <c r="AE1119" s="379"/>
      <c r="AF1119" s="37"/>
      <c r="AG1119" s="379"/>
      <c r="AH1119" s="379"/>
      <c r="AI1119" s="379"/>
      <c r="AJ1119" s="379"/>
    </row>
    <row r="1120" customFormat="false" ht="12.75" hidden="false" customHeight="true" outlineLevel="0" collapsed="false">
      <c r="B1120" s="361"/>
      <c r="C1120" s="369"/>
      <c r="D1120" s="362"/>
      <c r="E1120" s="363"/>
      <c r="F1120" s="364"/>
      <c r="G1120" s="363"/>
      <c r="H1120" s="363"/>
      <c r="I1120" s="370"/>
      <c r="J1120" s="363"/>
      <c r="K1120" s="363"/>
      <c r="L1120" s="363"/>
      <c r="M1120" s="367"/>
      <c r="N1120" s="10"/>
      <c r="O1120" s="10"/>
      <c r="P1120" s="10"/>
      <c r="Q1120" s="10"/>
      <c r="R1120" s="10"/>
      <c r="S1120" s="10"/>
      <c r="T1120" s="10"/>
      <c r="U1120" s="10"/>
      <c r="V1120" s="10"/>
      <c r="W1120" s="10"/>
      <c r="X1120" s="10"/>
      <c r="Y1120" s="10"/>
      <c r="Z1120" s="10"/>
      <c r="AA1120" s="10"/>
      <c r="AB1120" s="10"/>
      <c r="AC1120" s="10"/>
      <c r="AD1120" s="10"/>
      <c r="AE1120" s="379"/>
      <c r="AF1120" s="37"/>
      <c r="AG1120" s="379"/>
      <c r="AH1120" s="379"/>
      <c r="AI1120" s="379"/>
      <c r="AJ1120" s="379"/>
    </row>
    <row r="1121" customFormat="false" ht="12.75" hidden="false" customHeight="true" outlineLevel="0" collapsed="false">
      <c r="B1121" s="361"/>
      <c r="C1121" s="369"/>
      <c r="D1121" s="362"/>
      <c r="E1121" s="363"/>
      <c r="F1121" s="364"/>
      <c r="G1121" s="363"/>
      <c r="H1121" s="363"/>
      <c r="I1121" s="370"/>
      <c r="J1121" s="363"/>
      <c r="K1121" s="363"/>
      <c r="L1121" s="363"/>
      <c r="M1121" s="367"/>
      <c r="N1121" s="10"/>
      <c r="O1121" s="10"/>
      <c r="P1121" s="10"/>
      <c r="Q1121" s="10"/>
      <c r="R1121" s="10"/>
      <c r="S1121" s="10"/>
      <c r="T1121" s="10"/>
      <c r="U1121" s="10"/>
      <c r="V1121" s="10"/>
      <c r="W1121" s="10"/>
      <c r="X1121" s="10"/>
      <c r="Y1121" s="10"/>
      <c r="Z1121" s="10"/>
      <c r="AA1121" s="10"/>
      <c r="AB1121" s="10"/>
      <c r="AC1121" s="10"/>
      <c r="AD1121" s="10"/>
      <c r="AE1121" s="379"/>
      <c r="AF1121" s="37"/>
      <c r="AG1121" s="379"/>
      <c r="AH1121" s="379"/>
      <c r="AI1121" s="379"/>
      <c r="AJ1121" s="379"/>
    </row>
    <row r="1122" customFormat="false" ht="12.75" hidden="false" customHeight="true" outlineLevel="0" collapsed="false">
      <c r="B1122" s="361"/>
      <c r="C1122" s="369"/>
      <c r="D1122" s="362"/>
      <c r="E1122" s="363"/>
      <c r="F1122" s="364"/>
      <c r="G1122" s="363"/>
      <c r="H1122" s="363"/>
      <c r="I1122" s="370"/>
      <c r="J1122" s="363"/>
      <c r="K1122" s="363"/>
      <c r="L1122" s="363"/>
      <c r="M1122" s="367"/>
      <c r="N1122" s="10"/>
      <c r="O1122" s="10"/>
      <c r="P1122" s="10"/>
      <c r="Q1122" s="10"/>
      <c r="R1122" s="10"/>
      <c r="S1122" s="10"/>
      <c r="T1122" s="10"/>
      <c r="U1122" s="10"/>
      <c r="V1122" s="10"/>
      <c r="W1122" s="10"/>
      <c r="X1122" s="10"/>
      <c r="Y1122" s="10"/>
      <c r="Z1122" s="10"/>
      <c r="AA1122" s="10"/>
      <c r="AB1122" s="10"/>
      <c r="AC1122" s="10"/>
      <c r="AD1122" s="10"/>
      <c r="AE1122" s="379"/>
      <c r="AF1122" s="379"/>
      <c r="AG1122" s="379"/>
      <c r="AH1122" s="379"/>
      <c r="AI1122" s="379"/>
    </row>
    <row r="1123" customFormat="false" ht="12.75" hidden="false" customHeight="true" outlineLevel="0" collapsed="false">
      <c r="B1123" s="361"/>
      <c r="C1123" s="369"/>
      <c r="D1123" s="362"/>
      <c r="E1123" s="363"/>
      <c r="F1123" s="364"/>
      <c r="G1123" s="363"/>
      <c r="H1123" s="363"/>
      <c r="I1123" s="370"/>
      <c r="J1123" s="363"/>
      <c r="K1123" s="363"/>
      <c r="L1123" s="363"/>
      <c r="M1123" s="367"/>
      <c r="N1123" s="379"/>
      <c r="O1123" s="379"/>
      <c r="P1123" s="379"/>
      <c r="Q1123" s="379"/>
      <c r="R1123" s="379"/>
      <c r="S1123" s="379"/>
      <c r="T1123" s="379"/>
      <c r="U1123" s="10"/>
      <c r="V1123" s="379"/>
      <c r="W1123" s="379"/>
      <c r="X1123" s="379"/>
      <c r="Y1123" s="379"/>
      <c r="Z1123" s="379"/>
      <c r="AA1123" s="379"/>
      <c r="AB1123" s="379"/>
      <c r="AC1123" s="379"/>
      <c r="AD1123" s="379"/>
      <c r="AE1123" s="379"/>
      <c r="AF1123" s="37"/>
      <c r="AG1123" s="379"/>
      <c r="AH1123" s="379"/>
      <c r="AI1123" s="379"/>
      <c r="AJ1123" s="379"/>
    </row>
    <row r="1124" customFormat="false" ht="12.75" hidden="false" customHeight="true" outlineLevel="0" collapsed="false">
      <c r="B1124" s="361"/>
      <c r="C1124" s="369"/>
      <c r="D1124" s="362"/>
      <c r="E1124" s="363"/>
      <c r="F1124" s="364"/>
      <c r="G1124" s="363"/>
      <c r="H1124" s="363"/>
      <c r="I1124" s="370"/>
      <c r="J1124" s="363"/>
      <c r="K1124" s="363"/>
      <c r="L1124" s="363"/>
      <c r="M1124" s="367"/>
      <c r="N1124" s="379"/>
      <c r="O1124" s="379"/>
      <c r="P1124" s="379"/>
      <c r="Q1124" s="379"/>
      <c r="R1124" s="379"/>
      <c r="S1124" s="379"/>
      <c r="T1124" s="379"/>
      <c r="U1124" s="10"/>
      <c r="V1124" s="379"/>
      <c r="W1124" s="379"/>
      <c r="X1124" s="379"/>
      <c r="Y1124" s="379"/>
      <c r="Z1124" s="379"/>
      <c r="AA1124" s="379"/>
      <c r="AB1124" s="379"/>
      <c r="AC1124" s="379"/>
      <c r="AD1124" s="379"/>
      <c r="AE1124" s="379"/>
      <c r="AF1124" s="37"/>
      <c r="AG1124" s="379"/>
      <c r="AH1124" s="379"/>
      <c r="AI1124" s="379"/>
      <c r="AJ1124" s="379"/>
    </row>
    <row r="1125" customFormat="false" ht="12.75" hidden="false" customHeight="true" outlineLevel="0" collapsed="false">
      <c r="B1125" s="361"/>
      <c r="C1125" s="369"/>
      <c r="D1125" s="362"/>
      <c r="E1125" s="363"/>
      <c r="F1125" s="364"/>
      <c r="G1125" s="363"/>
      <c r="H1125" s="363"/>
      <c r="I1125" s="370"/>
      <c r="J1125" s="363"/>
      <c r="K1125" s="363"/>
      <c r="L1125" s="363"/>
      <c r="M1125" s="367"/>
      <c r="N1125" s="379"/>
      <c r="O1125" s="379"/>
      <c r="P1125" s="379"/>
      <c r="Q1125" s="379"/>
      <c r="R1125" s="379"/>
      <c r="S1125" s="379"/>
      <c r="T1125" s="379"/>
      <c r="U1125" s="10"/>
      <c r="V1125" s="379"/>
      <c r="W1125" s="379"/>
      <c r="X1125" s="379"/>
      <c r="Y1125" s="379"/>
      <c r="Z1125" s="379"/>
      <c r="AA1125" s="379"/>
      <c r="AB1125" s="379"/>
      <c r="AC1125" s="379"/>
      <c r="AD1125" s="379"/>
      <c r="AE1125" s="379"/>
      <c r="AF1125" s="37"/>
      <c r="AG1125" s="379"/>
      <c r="AH1125" s="379"/>
      <c r="AI1125" s="379"/>
      <c r="AJ1125" s="379"/>
    </row>
    <row r="1126" customFormat="false" ht="12.75" hidden="false" customHeight="true" outlineLevel="0" collapsed="false">
      <c r="B1126" s="361"/>
      <c r="C1126" s="369"/>
      <c r="D1126" s="362"/>
      <c r="E1126" s="363"/>
      <c r="F1126" s="364"/>
      <c r="G1126" s="363"/>
      <c r="H1126" s="363"/>
      <c r="I1126" s="370"/>
      <c r="J1126" s="363"/>
      <c r="K1126" s="363"/>
      <c r="L1126" s="363"/>
      <c r="M1126" s="367"/>
      <c r="N1126" s="379"/>
      <c r="O1126" s="379"/>
      <c r="P1126" s="379"/>
      <c r="Q1126" s="379"/>
      <c r="R1126" s="379"/>
      <c r="S1126" s="379"/>
      <c r="T1126" s="379"/>
      <c r="U1126" s="10"/>
      <c r="V1126" s="379"/>
      <c r="W1126" s="379"/>
      <c r="X1126" s="379"/>
      <c r="Y1126" s="379"/>
      <c r="Z1126" s="379"/>
      <c r="AA1126" s="379"/>
      <c r="AB1126" s="379"/>
      <c r="AC1126" s="379"/>
      <c r="AD1126" s="379"/>
      <c r="AE1126" s="379"/>
      <c r="AF1126" s="380"/>
      <c r="AG1126" s="379"/>
      <c r="AH1126" s="379"/>
      <c r="AI1126" s="379"/>
      <c r="AJ1126" s="379"/>
    </row>
    <row r="1127" customFormat="false" ht="12.75" hidden="false" customHeight="true" outlineLevel="0" collapsed="false">
      <c r="B1127" s="361"/>
      <c r="C1127" s="369"/>
      <c r="D1127" s="362"/>
      <c r="E1127" s="363"/>
      <c r="F1127" s="364"/>
      <c r="G1127" s="363"/>
      <c r="H1127" s="363"/>
      <c r="I1127" s="370"/>
      <c r="J1127" s="363"/>
      <c r="K1127" s="363"/>
      <c r="L1127" s="363"/>
      <c r="M1127" s="367"/>
      <c r="N1127" s="379"/>
      <c r="O1127" s="379"/>
      <c r="P1127" s="379"/>
      <c r="Q1127" s="379"/>
      <c r="R1127" s="379"/>
      <c r="S1127" s="379"/>
      <c r="T1127" s="379"/>
      <c r="U1127" s="379"/>
      <c r="V1127" s="379"/>
      <c r="W1127" s="379"/>
      <c r="X1127" s="379"/>
      <c r="Y1127" s="379"/>
      <c r="Z1127" s="379"/>
      <c r="AA1127" s="379"/>
      <c r="AB1127" s="379"/>
      <c r="AC1127" s="379"/>
      <c r="AD1127" s="379"/>
      <c r="AE1127" s="379"/>
      <c r="AF1127" s="37"/>
      <c r="AG1127" s="37"/>
      <c r="AH1127" s="379"/>
      <c r="AI1127" s="379"/>
      <c r="AJ1127" s="379"/>
    </row>
    <row r="1128" customFormat="false" ht="12.75" hidden="false" customHeight="true" outlineLevel="0" collapsed="false">
      <c r="B1128" s="361"/>
      <c r="C1128" s="369"/>
      <c r="D1128" s="362"/>
      <c r="E1128" s="363"/>
      <c r="F1128" s="364"/>
      <c r="G1128" s="363"/>
      <c r="H1128" s="363"/>
      <c r="I1128" s="370"/>
      <c r="J1128" s="363"/>
      <c r="K1128" s="363"/>
      <c r="L1128" s="363"/>
      <c r="M1128" s="367"/>
      <c r="N1128" s="379"/>
      <c r="O1128" s="379"/>
      <c r="P1128" s="379"/>
      <c r="Q1128" s="379"/>
      <c r="R1128" s="379"/>
      <c r="S1128" s="379"/>
      <c r="T1128" s="379"/>
      <c r="U1128" s="379"/>
      <c r="V1128" s="379"/>
      <c r="W1128" s="379"/>
      <c r="X1128" s="379"/>
      <c r="Y1128" s="379"/>
      <c r="Z1128" s="379"/>
      <c r="AA1128" s="379"/>
      <c r="AB1128" s="379"/>
      <c r="AC1128" s="379"/>
      <c r="AD1128" s="379"/>
      <c r="AE1128" s="379"/>
      <c r="AF1128" s="379"/>
      <c r="AG1128" s="379"/>
      <c r="AH1128" s="37"/>
      <c r="AI1128" s="379"/>
      <c r="AJ1128" s="379"/>
    </row>
    <row r="1129" customFormat="false" ht="12.75" hidden="false" customHeight="true" outlineLevel="0" collapsed="false">
      <c r="B1129" s="361"/>
      <c r="C1129" s="369"/>
      <c r="D1129" s="362"/>
      <c r="E1129" s="363"/>
      <c r="F1129" s="364"/>
      <c r="G1129" s="363"/>
      <c r="H1129" s="363"/>
      <c r="I1129" s="370"/>
      <c r="J1129" s="363"/>
      <c r="K1129" s="363"/>
      <c r="L1129" s="363"/>
      <c r="M1129" s="367"/>
      <c r="N1129" s="379"/>
      <c r="O1129" s="379"/>
      <c r="P1129" s="379"/>
      <c r="Q1129" s="379"/>
      <c r="R1129" s="379"/>
      <c r="S1129" s="379"/>
      <c r="T1129" s="379"/>
      <c r="U1129" s="379"/>
      <c r="V1129" s="379"/>
      <c r="W1129" s="379"/>
      <c r="X1129" s="379"/>
      <c r="Y1129" s="379"/>
      <c r="Z1129" s="379"/>
      <c r="AA1129" s="379"/>
      <c r="AB1129" s="379"/>
      <c r="AC1129" s="379"/>
      <c r="AD1129" s="379"/>
      <c r="AE1129" s="379"/>
      <c r="AF1129" s="37"/>
      <c r="AG1129" s="379"/>
      <c r="AH1129" s="379"/>
      <c r="AI1129" s="379"/>
      <c r="AJ1129" s="379"/>
    </row>
    <row r="1130" customFormat="false" ht="12.75" hidden="false" customHeight="true" outlineLevel="0" collapsed="false">
      <c r="B1130" s="361"/>
      <c r="C1130" s="369"/>
      <c r="D1130" s="362"/>
      <c r="E1130" s="363"/>
      <c r="F1130" s="364"/>
      <c r="G1130" s="363"/>
      <c r="H1130" s="363"/>
      <c r="I1130" s="370"/>
      <c r="J1130" s="363"/>
      <c r="K1130" s="363"/>
      <c r="L1130" s="363"/>
      <c r="M1130" s="367"/>
      <c r="N1130" s="379"/>
      <c r="O1130" s="379"/>
      <c r="P1130" s="379"/>
      <c r="Q1130" s="379"/>
      <c r="R1130" s="379"/>
      <c r="S1130" s="379"/>
      <c r="T1130" s="379"/>
      <c r="U1130" s="379"/>
      <c r="V1130" s="379"/>
      <c r="W1130" s="379"/>
      <c r="X1130" s="379"/>
      <c r="Y1130" s="379"/>
      <c r="Z1130" s="379"/>
      <c r="AA1130" s="379"/>
      <c r="AB1130" s="379"/>
      <c r="AC1130" s="379"/>
      <c r="AD1130" s="379"/>
      <c r="AE1130" s="37"/>
      <c r="AF1130" s="379"/>
      <c r="AG1130" s="379"/>
      <c r="AH1130" s="379"/>
      <c r="AI1130" s="379"/>
      <c r="AJ1130" s="379"/>
    </row>
    <row r="1131" customFormat="false" ht="12.75" hidden="false" customHeight="true" outlineLevel="0" collapsed="false">
      <c r="B1131" s="361"/>
      <c r="C1131" s="369"/>
      <c r="D1131" s="362"/>
      <c r="E1131" s="363"/>
      <c r="F1131" s="364"/>
      <c r="G1131" s="363"/>
      <c r="H1131" s="363"/>
      <c r="I1131" s="370"/>
      <c r="J1131" s="363"/>
      <c r="K1131" s="363"/>
      <c r="L1131" s="363"/>
      <c r="M1131" s="367"/>
      <c r="N1131" s="379"/>
      <c r="O1131" s="379"/>
      <c r="P1131" s="379"/>
      <c r="Q1131" s="379"/>
      <c r="R1131" s="379"/>
      <c r="S1131" s="379"/>
      <c r="T1131" s="379"/>
      <c r="U1131" s="379"/>
      <c r="V1131" s="379"/>
      <c r="W1131" s="379"/>
      <c r="X1131" s="379"/>
      <c r="Y1131" s="379"/>
      <c r="Z1131" s="379"/>
      <c r="AA1131" s="379"/>
      <c r="AB1131" s="379"/>
      <c r="AC1131" s="379"/>
      <c r="AD1131" s="379"/>
      <c r="AE1131" s="379"/>
      <c r="AF1131" s="37"/>
      <c r="AG1131" s="379"/>
      <c r="AH1131" s="379"/>
      <c r="AI1131" s="379"/>
      <c r="AJ1131" s="379"/>
    </row>
    <row r="1132" customFormat="false" ht="12.75" hidden="false" customHeight="true" outlineLevel="0" collapsed="false">
      <c r="B1132" s="361"/>
      <c r="C1132" s="369"/>
      <c r="D1132" s="362"/>
      <c r="E1132" s="363"/>
      <c r="F1132" s="364"/>
      <c r="G1132" s="363"/>
      <c r="H1132" s="363"/>
      <c r="I1132" s="370"/>
      <c r="J1132" s="363"/>
      <c r="K1132" s="363"/>
      <c r="L1132" s="363"/>
      <c r="M1132" s="367"/>
      <c r="N1132" s="379"/>
      <c r="O1132" s="379"/>
      <c r="P1132" s="379"/>
      <c r="Q1132" s="379"/>
      <c r="R1132" s="379"/>
      <c r="S1132" s="379"/>
      <c r="T1132" s="379"/>
      <c r="U1132" s="379"/>
      <c r="V1132" s="379"/>
      <c r="W1132" s="379"/>
      <c r="X1132" s="379"/>
      <c r="Y1132" s="379"/>
      <c r="Z1132" s="379"/>
      <c r="AA1132" s="379"/>
      <c r="AB1132" s="379"/>
      <c r="AC1132" s="379"/>
      <c r="AD1132" s="379"/>
      <c r="AE1132" s="379"/>
      <c r="AF1132" s="37"/>
      <c r="AG1132" s="379"/>
      <c r="AH1132" s="379"/>
      <c r="AI1132" s="379"/>
      <c r="AJ1132" s="379"/>
    </row>
    <row r="1133" customFormat="false" ht="12.75" hidden="false" customHeight="true" outlineLevel="0" collapsed="false">
      <c r="B1133" s="361"/>
      <c r="C1133" s="369"/>
      <c r="D1133" s="362"/>
      <c r="E1133" s="363"/>
      <c r="F1133" s="364"/>
      <c r="G1133" s="363"/>
      <c r="H1133" s="363"/>
      <c r="I1133" s="370"/>
      <c r="J1133" s="363"/>
      <c r="K1133" s="363"/>
      <c r="L1133" s="363"/>
      <c r="M1133" s="367"/>
      <c r="N1133" s="379"/>
      <c r="O1133" s="379"/>
      <c r="P1133" s="379"/>
      <c r="Q1133" s="379"/>
      <c r="R1133" s="379"/>
      <c r="S1133" s="379"/>
      <c r="T1133" s="379"/>
      <c r="U1133" s="379"/>
      <c r="V1133" s="379"/>
      <c r="W1133" s="379"/>
      <c r="X1133" s="379"/>
      <c r="Y1133" s="379"/>
      <c r="Z1133" s="379"/>
      <c r="AA1133" s="379"/>
      <c r="AB1133" s="379"/>
      <c r="AC1133" s="379"/>
      <c r="AD1133" s="379"/>
      <c r="AE1133" s="379"/>
      <c r="AF1133" s="37"/>
      <c r="AG1133" s="379"/>
      <c r="AH1133" s="379"/>
      <c r="AI1133" s="379"/>
      <c r="AJ1133" s="379"/>
    </row>
    <row r="1134" customFormat="false" ht="12.75" hidden="false" customHeight="true" outlineLevel="0" collapsed="false">
      <c r="B1134" s="361"/>
      <c r="C1134" s="369"/>
      <c r="D1134" s="362"/>
      <c r="E1134" s="363"/>
      <c r="F1134" s="364"/>
      <c r="G1134" s="363"/>
      <c r="H1134" s="363"/>
      <c r="I1134" s="370"/>
      <c r="J1134" s="363"/>
      <c r="K1134" s="363"/>
      <c r="L1134" s="363"/>
      <c r="M1134" s="367"/>
      <c r="N1134" s="379"/>
      <c r="O1134" s="379"/>
      <c r="P1134" s="379"/>
      <c r="Q1134" s="379"/>
      <c r="R1134" s="379"/>
      <c r="S1134" s="379"/>
      <c r="T1134" s="379"/>
      <c r="U1134" s="379"/>
      <c r="V1134" s="379"/>
      <c r="W1134" s="379"/>
      <c r="X1134" s="379"/>
      <c r="Y1134" s="379"/>
      <c r="Z1134" s="379"/>
      <c r="AA1134" s="379"/>
      <c r="AB1134" s="379"/>
      <c r="AC1134" s="379"/>
      <c r="AD1134" s="379"/>
      <c r="AE1134" s="379"/>
      <c r="AF1134" s="37"/>
      <c r="AG1134" s="379"/>
      <c r="AH1134" s="379"/>
      <c r="AI1134" s="379"/>
      <c r="AJ1134" s="379"/>
    </row>
    <row r="1135" customFormat="false" ht="12.75" hidden="false" customHeight="true" outlineLevel="0" collapsed="false">
      <c r="B1135" s="361"/>
      <c r="C1135" s="369"/>
      <c r="D1135" s="362"/>
      <c r="E1135" s="363"/>
      <c r="F1135" s="364"/>
      <c r="G1135" s="363"/>
      <c r="H1135" s="363"/>
      <c r="I1135" s="370"/>
      <c r="J1135" s="363"/>
      <c r="K1135" s="363"/>
      <c r="L1135" s="363"/>
      <c r="M1135" s="367"/>
      <c r="N1135" s="379"/>
      <c r="O1135" s="379"/>
      <c r="P1135" s="379"/>
      <c r="Q1135" s="379"/>
      <c r="R1135" s="379"/>
      <c r="S1135" s="379"/>
      <c r="T1135" s="379"/>
      <c r="U1135" s="379"/>
      <c r="V1135" s="379"/>
      <c r="W1135" s="379"/>
      <c r="X1135" s="379"/>
      <c r="Y1135" s="379"/>
      <c r="Z1135" s="379"/>
      <c r="AA1135" s="379"/>
      <c r="AB1135" s="379"/>
      <c r="AC1135" s="379"/>
      <c r="AD1135" s="379"/>
      <c r="AE1135" s="379"/>
      <c r="AF1135" s="37"/>
      <c r="AG1135" s="379"/>
      <c r="AH1135" s="379"/>
      <c r="AI1135" s="379"/>
      <c r="AJ1135" s="379"/>
    </row>
    <row r="1136" customFormat="false" ht="12.75" hidden="false" customHeight="true" outlineLevel="0" collapsed="false">
      <c r="B1136" s="361"/>
      <c r="C1136" s="369"/>
      <c r="D1136" s="362"/>
      <c r="E1136" s="363"/>
      <c r="F1136" s="364"/>
      <c r="G1136" s="363"/>
      <c r="H1136" s="363"/>
      <c r="I1136" s="370"/>
      <c r="J1136" s="363"/>
      <c r="K1136" s="363"/>
      <c r="L1136" s="363"/>
      <c r="M1136" s="367"/>
      <c r="N1136" s="379"/>
      <c r="O1136" s="379"/>
      <c r="P1136" s="379"/>
      <c r="Q1136" s="379"/>
      <c r="R1136" s="379"/>
      <c r="S1136" s="379"/>
      <c r="T1136" s="379"/>
      <c r="U1136" s="379"/>
      <c r="V1136" s="379"/>
      <c r="W1136" s="379"/>
      <c r="X1136" s="379"/>
      <c r="Y1136" s="379"/>
      <c r="Z1136" s="379"/>
      <c r="AA1136" s="379"/>
      <c r="AB1136" s="379"/>
      <c r="AC1136" s="379"/>
      <c r="AD1136" s="379"/>
      <c r="AE1136" s="379"/>
      <c r="AF1136" s="37"/>
      <c r="AG1136" s="379"/>
      <c r="AH1136" s="379"/>
      <c r="AI1136" s="379"/>
      <c r="AJ1136" s="379"/>
    </row>
    <row r="1137" customFormat="false" ht="12.75" hidden="false" customHeight="true" outlineLevel="0" collapsed="false">
      <c r="B1137" s="368"/>
      <c r="C1137" s="369"/>
      <c r="D1137" s="369"/>
      <c r="E1137" s="363"/>
      <c r="F1137" s="372"/>
      <c r="G1137" s="363"/>
      <c r="H1137" s="363"/>
      <c r="I1137" s="370"/>
      <c r="J1137" s="363"/>
      <c r="K1137" s="370"/>
      <c r="L1137" s="363"/>
      <c r="M1137" s="367"/>
      <c r="N1137" s="379"/>
      <c r="O1137" s="379"/>
      <c r="P1137" s="379"/>
      <c r="Q1137" s="379"/>
      <c r="R1137" s="379"/>
      <c r="S1137" s="379"/>
      <c r="T1137" s="379"/>
      <c r="U1137" s="379"/>
      <c r="V1137" s="379"/>
      <c r="W1137" s="379"/>
      <c r="X1137" s="379"/>
      <c r="Y1137" s="379"/>
      <c r="Z1137" s="379"/>
      <c r="AA1137" s="379"/>
      <c r="AB1137" s="379"/>
      <c r="AC1137" s="379"/>
      <c r="AD1137" s="379"/>
      <c r="AE1137" s="379"/>
      <c r="AF1137" s="37"/>
      <c r="AG1137" s="379"/>
      <c r="AH1137" s="379"/>
      <c r="AI1137" s="379"/>
      <c r="AJ1137" s="379"/>
    </row>
    <row r="1138" customFormat="false" ht="12.75" hidden="false" customHeight="true" outlineLevel="0" collapsed="false">
      <c r="B1138" s="368"/>
      <c r="C1138" s="369"/>
      <c r="D1138" s="369"/>
      <c r="E1138" s="363"/>
      <c r="F1138" s="372"/>
      <c r="G1138" s="363"/>
      <c r="H1138" s="363"/>
      <c r="I1138" s="370"/>
      <c r="J1138" s="363"/>
      <c r="K1138" s="370"/>
      <c r="L1138" s="363"/>
      <c r="M1138" s="367"/>
      <c r="N1138" s="379"/>
      <c r="O1138" s="379"/>
      <c r="P1138" s="379"/>
      <c r="Q1138" s="379"/>
      <c r="R1138" s="379"/>
      <c r="S1138" s="379"/>
      <c r="T1138" s="379"/>
      <c r="U1138" s="379"/>
      <c r="V1138" s="379"/>
      <c r="W1138" s="379"/>
      <c r="X1138" s="379"/>
      <c r="Y1138" s="379"/>
      <c r="Z1138" s="379"/>
      <c r="AA1138" s="379"/>
      <c r="AB1138" s="379"/>
      <c r="AC1138" s="379"/>
      <c r="AD1138" s="379"/>
      <c r="AE1138" s="379"/>
      <c r="AF1138" s="37"/>
      <c r="AG1138" s="379"/>
      <c r="AH1138" s="379"/>
      <c r="AI1138" s="379"/>
      <c r="AJ1138" s="379"/>
    </row>
    <row r="1139" customFormat="false" ht="12.75" hidden="false" customHeight="true" outlineLevel="0" collapsed="false">
      <c r="B1139" s="368"/>
      <c r="C1139" s="369"/>
      <c r="D1139" s="369"/>
      <c r="E1139" s="363"/>
      <c r="F1139" s="372"/>
      <c r="G1139" s="363"/>
      <c r="H1139" s="363"/>
      <c r="I1139" s="370"/>
      <c r="J1139" s="363"/>
      <c r="K1139" s="370"/>
      <c r="L1139" s="363"/>
      <c r="M1139" s="367"/>
      <c r="N1139" s="379"/>
      <c r="O1139" s="379"/>
      <c r="P1139" s="379"/>
      <c r="Q1139" s="379"/>
      <c r="R1139" s="379"/>
      <c r="S1139" s="379"/>
      <c r="T1139" s="379"/>
      <c r="U1139" s="379"/>
      <c r="V1139" s="379"/>
      <c r="W1139" s="379"/>
      <c r="X1139" s="379"/>
      <c r="Y1139" s="379"/>
      <c r="Z1139" s="379"/>
      <c r="AA1139" s="379"/>
      <c r="AB1139" s="379"/>
      <c r="AC1139" s="379"/>
      <c r="AD1139" s="379"/>
      <c r="AE1139" s="379"/>
      <c r="AF1139" s="37"/>
      <c r="AG1139" s="379"/>
      <c r="AH1139" s="379"/>
      <c r="AI1139" s="379"/>
      <c r="AJ1139" s="379"/>
    </row>
    <row r="1140" customFormat="false" ht="12.75" hidden="false" customHeight="true" outlineLevel="0" collapsed="false">
      <c r="B1140" s="368"/>
      <c r="C1140" s="369"/>
      <c r="D1140" s="369"/>
      <c r="E1140" s="363"/>
      <c r="F1140" s="372"/>
      <c r="G1140" s="363"/>
      <c r="H1140" s="370"/>
      <c r="I1140" s="370"/>
      <c r="J1140" s="363"/>
      <c r="K1140" s="370"/>
      <c r="L1140" s="363"/>
      <c r="M1140" s="367"/>
      <c r="N1140" s="379"/>
      <c r="O1140" s="379"/>
      <c r="P1140" s="379"/>
      <c r="Q1140" s="379"/>
      <c r="R1140" s="379"/>
      <c r="S1140" s="379"/>
      <c r="T1140" s="379"/>
      <c r="U1140" s="379"/>
      <c r="V1140" s="379"/>
      <c r="W1140" s="379"/>
      <c r="X1140" s="379"/>
      <c r="Y1140" s="379"/>
      <c r="Z1140" s="379"/>
      <c r="AA1140" s="379"/>
      <c r="AB1140" s="379"/>
      <c r="AC1140" s="379"/>
      <c r="AD1140" s="379"/>
      <c r="AE1140" s="379"/>
      <c r="AF1140" s="37"/>
      <c r="AG1140" s="379"/>
      <c r="AH1140" s="379"/>
      <c r="AI1140" s="379"/>
      <c r="AJ1140" s="379"/>
    </row>
    <row r="1141" customFormat="false" ht="12.75" hidden="false" customHeight="true" outlineLevel="0" collapsed="false">
      <c r="B1141" s="368"/>
      <c r="C1141" s="369"/>
      <c r="D1141" s="369"/>
      <c r="E1141" s="363"/>
      <c r="F1141" s="372"/>
      <c r="G1141" s="363"/>
      <c r="H1141" s="363"/>
      <c r="I1141" s="370"/>
      <c r="J1141" s="363"/>
      <c r="K1141" s="370"/>
      <c r="L1141" s="363"/>
      <c r="M1141" s="367"/>
      <c r="N1141" s="379"/>
      <c r="O1141" s="379"/>
      <c r="P1141" s="379"/>
      <c r="Q1141" s="379"/>
      <c r="R1141" s="379"/>
      <c r="S1141" s="379"/>
      <c r="T1141" s="379"/>
      <c r="U1141" s="379"/>
      <c r="V1141" s="379"/>
      <c r="W1141" s="379"/>
      <c r="X1141" s="379"/>
      <c r="Y1141" s="379"/>
      <c r="Z1141" s="379"/>
      <c r="AA1141" s="379"/>
      <c r="AB1141" s="379"/>
      <c r="AC1141" s="379"/>
      <c r="AD1141" s="379"/>
      <c r="AE1141" s="379"/>
      <c r="AF1141" s="37"/>
      <c r="AG1141" s="379"/>
      <c r="AH1141" s="379"/>
      <c r="AI1141" s="379"/>
      <c r="AJ1141" s="379"/>
    </row>
    <row r="1142" customFormat="false" ht="12.75" hidden="false" customHeight="true" outlineLevel="0" collapsed="false">
      <c r="B1142" s="368"/>
      <c r="C1142" s="369"/>
      <c r="D1142" s="369"/>
      <c r="E1142" s="363"/>
      <c r="F1142" s="372"/>
      <c r="G1142" s="363"/>
      <c r="H1142" s="363"/>
      <c r="I1142" s="370"/>
      <c r="J1142" s="363"/>
      <c r="K1142" s="370"/>
      <c r="L1142" s="363"/>
      <c r="M1142" s="367"/>
      <c r="N1142" s="379"/>
      <c r="O1142" s="379"/>
      <c r="P1142" s="379"/>
      <c r="Q1142" s="379"/>
      <c r="R1142" s="379"/>
      <c r="S1142" s="379"/>
      <c r="T1142" s="379"/>
      <c r="U1142" s="379"/>
      <c r="V1142" s="379"/>
      <c r="W1142" s="379"/>
      <c r="X1142" s="379"/>
      <c r="Y1142" s="379"/>
      <c r="Z1142" s="379"/>
      <c r="AA1142" s="379"/>
      <c r="AB1142" s="379"/>
      <c r="AC1142" s="379"/>
      <c r="AD1142" s="379"/>
      <c r="AE1142" s="379"/>
      <c r="AF1142" s="37"/>
      <c r="AG1142" s="379"/>
      <c r="AH1142" s="379"/>
      <c r="AI1142" s="379"/>
      <c r="AJ1142" s="379"/>
    </row>
    <row r="1143" customFormat="false" ht="12.75" hidden="false" customHeight="true" outlineLevel="0" collapsed="false">
      <c r="B1143" s="368"/>
      <c r="C1143" s="369"/>
      <c r="D1143" s="369"/>
      <c r="E1143" s="363"/>
      <c r="F1143" s="372"/>
      <c r="G1143" s="363"/>
      <c r="H1143" s="363"/>
      <c r="I1143" s="370"/>
      <c r="J1143" s="363"/>
      <c r="K1143" s="370"/>
      <c r="L1143" s="363"/>
      <c r="M1143" s="367"/>
      <c r="N1143" s="379"/>
      <c r="O1143" s="379"/>
      <c r="P1143" s="379"/>
      <c r="Q1143" s="379"/>
      <c r="R1143" s="379"/>
      <c r="S1143" s="379"/>
      <c r="T1143" s="379"/>
      <c r="U1143" s="379"/>
      <c r="V1143" s="379"/>
      <c r="W1143" s="379"/>
      <c r="X1143" s="379"/>
      <c r="Y1143" s="379"/>
      <c r="Z1143" s="379"/>
      <c r="AA1143" s="379"/>
      <c r="AB1143" s="379"/>
      <c r="AC1143" s="379"/>
      <c r="AD1143" s="379"/>
      <c r="AE1143" s="379"/>
      <c r="AF1143" s="37"/>
      <c r="AG1143" s="379"/>
      <c r="AH1143" s="379"/>
      <c r="AI1143" s="379"/>
      <c r="AJ1143" s="379"/>
    </row>
    <row r="1144" customFormat="false" ht="12.75" hidden="false" customHeight="true" outlineLevel="0" collapsed="false">
      <c r="B1144" s="368"/>
      <c r="C1144" s="369"/>
      <c r="D1144" s="369"/>
      <c r="E1144" s="363"/>
      <c r="F1144" s="372"/>
      <c r="G1144" s="363"/>
      <c r="H1144" s="363"/>
      <c r="I1144" s="370"/>
      <c r="J1144" s="363"/>
      <c r="K1144" s="370"/>
      <c r="L1144" s="363"/>
      <c r="M1144" s="367"/>
      <c r="N1144" s="379"/>
      <c r="O1144" s="379"/>
      <c r="P1144" s="379"/>
      <c r="Q1144" s="379"/>
      <c r="R1144" s="379"/>
      <c r="S1144" s="379"/>
      <c r="T1144" s="379"/>
      <c r="U1144" s="379"/>
      <c r="V1144" s="379"/>
      <c r="W1144" s="379"/>
      <c r="X1144" s="379"/>
      <c r="Y1144" s="379"/>
      <c r="Z1144" s="379"/>
      <c r="AA1144" s="379"/>
      <c r="AB1144" s="379"/>
      <c r="AC1144" s="379"/>
      <c r="AD1144" s="379"/>
      <c r="AE1144" s="379"/>
      <c r="AF1144" s="37"/>
      <c r="AG1144" s="379"/>
      <c r="AH1144" s="379"/>
      <c r="AI1144" s="379"/>
      <c r="AJ1144" s="379"/>
    </row>
    <row r="1145" customFormat="false" ht="12.75" hidden="false" customHeight="true" outlineLevel="0" collapsed="false">
      <c r="B1145" s="368"/>
      <c r="C1145" s="369"/>
      <c r="D1145" s="369"/>
      <c r="E1145" s="363"/>
      <c r="F1145" s="372"/>
      <c r="G1145" s="363"/>
      <c r="H1145" s="370"/>
      <c r="I1145" s="370"/>
      <c r="J1145" s="363"/>
      <c r="K1145" s="370"/>
      <c r="L1145" s="363"/>
      <c r="M1145" s="367"/>
      <c r="N1145" s="379"/>
      <c r="O1145" s="379"/>
      <c r="P1145" s="379"/>
      <c r="Q1145" s="379"/>
      <c r="R1145" s="379"/>
      <c r="S1145" s="379"/>
      <c r="T1145" s="379"/>
      <c r="U1145" s="379"/>
      <c r="V1145" s="379"/>
      <c r="W1145" s="379"/>
      <c r="X1145" s="379"/>
      <c r="Y1145" s="379"/>
      <c r="Z1145" s="379"/>
      <c r="AA1145" s="379"/>
      <c r="AB1145" s="379"/>
      <c r="AC1145" s="379"/>
      <c r="AD1145" s="379"/>
      <c r="AE1145" s="379"/>
      <c r="AF1145" s="37"/>
      <c r="AG1145" s="379"/>
      <c r="AH1145" s="379"/>
      <c r="AI1145" s="379"/>
      <c r="AJ1145" s="379"/>
    </row>
    <row r="1146" customFormat="false" ht="12.75" hidden="false" customHeight="true" outlineLevel="0" collapsed="false">
      <c r="B1146" s="368"/>
      <c r="C1146" s="369"/>
      <c r="D1146" s="369"/>
      <c r="E1146" s="363"/>
      <c r="F1146" s="372"/>
      <c r="G1146" s="363"/>
      <c r="H1146" s="370"/>
      <c r="I1146" s="370"/>
      <c r="J1146" s="363"/>
      <c r="K1146" s="370"/>
      <c r="L1146" s="363"/>
      <c r="M1146" s="367"/>
      <c r="N1146" s="379"/>
      <c r="O1146" s="379"/>
      <c r="P1146" s="379"/>
      <c r="Q1146" s="379"/>
      <c r="R1146" s="379"/>
      <c r="S1146" s="379"/>
      <c r="T1146" s="379"/>
      <c r="U1146" s="379"/>
      <c r="V1146" s="379"/>
      <c r="W1146" s="379"/>
      <c r="X1146" s="379"/>
      <c r="Y1146" s="379"/>
      <c r="Z1146" s="379"/>
      <c r="AA1146" s="379"/>
      <c r="AB1146" s="379"/>
      <c r="AC1146" s="379"/>
      <c r="AD1146" s="379"/>
      <c r="AE1146" s="379"/>
      <c r="AF1146" s="37"/>
      <c r="AG1146" s="379"/>
      <c r="AH1146" s="379"/>
      <c r="AI1146" s="379"/>
      <c r="AJ1146" s="379"/>
    </row>
    <row r="1147" customFormat="false" ht="12.75" hidden="false" customHeight="true" outlineLevel="0" collapsed="false">
      <c r="B1147" s="368"/>
      <c r="C1147" s="369"/>
      <c r="D1147" s="369"/>
      <c r="E1147" s="363"/>
      <c r="F1147" s="372"/>
      <c r="G1147" s="363"/>
      <c r="H1147" s="363"/>
      <c r="I1147" s="370"/>
      <c r="J1147" s="363"/>
      <c r="K1147" s="370"/>
      <c r="L1147" s="363"/>
      <c r="M1147" s="367"/>
      <c r="N1147" s="379"/>
      <c r="O1147" s="379"/>
      <c r="P1147" s="379"/>
      <c r="Q1147" s="379"/>
      <c r="R1147" s="379"/>
      <c r="S1147" s="379"/>
      <c r="T1147" s="379"/>
      <c r="U1147" s="379"/>
      <c r="V1147" s="379"/>
      <c r="W1147" s="379"/>
      <c r="X1147" s="379"/>
      <c r="Y1147" s="379"/>
      <c r="Z1147" s="379"/>
      <c r="AA1147" s="379"/>
      <c r="AB1147" s="379"/>
      <c r="AC1147" s="379"/>
      <c r="AD1147" s="379"/>
      <c r="AE1147" s="379"/>
      <c r="AF1147" s="37"/>
      <c r="AG1147" s="379"/>
      <c r="AH1147" s="379"/>
      <c r="AI1147" s="379"/>
      <c r="AJ1147" s="379"/>
    </row>
    <row r="1148" customFormat="false" ht="12.75" hidden="false" customHeight="true" outlineLevel="0" collapsed="false">
      <c r="B1148" s="368"/>
      <c r="C1148" s="369"/>
      <c r="D1148" s="369"/>
      <c r="E1148" s="363"/>
      <c r="F1148" s="372"/>
      <c r="G1148" s="363"/>
      <c r="H1148" s="370"/>
      <c r="I1148" s="370"/>
      <c r="J1148" s="363"/>
      <c r="K1148" s="370"/>
      <c r="L1148" s="363"/>
      <c r="M1148" s="367"/>
      <c r="N1148" s="379"/>
      <c r="O1148" s="379"/>
      <c r="P1148" s="379"/>
      <c r="Q1148" s="379"/>
      <c r="R1148" s="379"/>
      <c r="S1148" s="379"/>
      <c r="T1148" s="379"/>
      <c r="U1148" s="379"/>
      <c r="V1148" s="379"/>
      <c r="W1148" s="379"/>
      <c r="X1148" s="379"/>
      <c r="Y1148" s="379"/>
      <c r="Z1148" s="379"/>
      <c r="AA1148" s="379"/>
      <c r="AB1148" s="379"/>
      <c r="AC1148" s="379"/>
      <c r="AD1148" s="379"/>
      <c r="AE1148" s="379"/>
      <c r="AF1148" s="37"/>
      <c r="AG1148" s="379"/>
      <c r="AH1148" s="379"/>
      <c r="AI1148" s="379"/>
      <c r="AJ1148" s="379"/>
    </row>
    <row r="1149" customFormat="false" ht="12.75" hidden="false" customHeight="true" outlineLevel="0" collapsed="false">
      <c r="B1149" s="368"/>
      <c r="C1149" s="369"/>
      <c r="D1149" s="369"/>
      <c r="E1149" s="363"/>
      <c r="F1149" s="372"/>
      <c r="G1149" s="363"/>
      <c r="H1149" s="370"/>
      <c r="I1149" s="370"/>
      <c r="J1149" s="363"/>
      <c r="K1149" s="370"/>
      <c r="L1149" s="363"/>
      <c r="M1149" s="367"/>
      <c r="N1149" s="379"/>
      <c r="O1149" s="379"/>
      <c r="P1149" s="379"/>
      <c r="Q1149" s="379"/>
      <c r="R1149" s="379"/>
      <c r="S1149" s="379"/>
      <c r="T1149" s="379"/>
      <c r="U1149" s="379"/>
      <c r="V1149" s="379"/>
      <c r="W1149" s="379"/>
      <c r="X1149" s="379"/>
      <c r="Y1149" s="379"/>
      <c r="Z1149" s="379"/>
      <c r="AA1149" s="379"/>
      <c r="AB1149" s="379"/>
      <c r="AC1149" s="379"/>
      <c r="AD1149" s="379"/>
      <c r="AE1149" s="379"/>
      <c r="AF1149" s="37"/>
      <c r="AG1149" s="379"/>
      <c r="AH1149" s="379"/>
      <c r="AI1149" s="379"/>
      <c r="AJ1149" s="379"/>
    </row>
    <row r="1150" customFormat="false" ht="12.75" hidden="false" customHeight="true" outlineLevel="0" collapsed="false">
      <c r="B1150" s="368"/>
      <c r="C1150" s="369"/>
      <c r="D1150" s="369"/>
      <c r="E1150" s="363"/>
      <c r="F1150" s="372"/>
      <c r="G1150" s="363"/>
      <c r="H1150" s="363"/>
      <c r="I1150" s="370"/>
      <c r="J1150" s="363"/>
      <c r="K1150" s="370"/>
      <c r="L1150" s="363"/>
      <c r="M1150" s="367"/>
      <c r="N1150" s="379"/>
      <c r="O1150" s="379"/>
      <c r="P1150" s="379"/>
      <c r="Q1150" s="379"/>
      <c r="R1150" s="379"/>
      <c r="S1150" s="379"/>
      <c r="T1150" s="379"/>
      <c r="U1150" s="379"/>
      <c r="V1150" s="379"/>
      <c r="W1150" s="379"/>
      <c r="X1150" s="379"/>
      <c r="Y1150" s="379"/>
      <c r="Z1150" s="379"/>
      <c r="AA1150" s="379"/>
      <c r="AB1150" s="379"/>
      <c r="AC1150" s="379"/>
      <c r="AD1150" s="379"/>
      <c r="AE1150" s="379"/>
      <c r="AF1150" s="37"/>
      <c r="AG1150" s="379"/>
      <c r="AH1150" s="379"/>
      <c r="AI1150" s="379"/>
      <c r="AJ1150" s="379"/>
    </row>
    <row r="1151" customFormat="false" ht="12.75" hidden="false" customHeight="true" outlineLevel="0" collapsed="false">
      <c r="B1151" s="368"/>
      <c r="C1151" s="369"/>
      <c r="D1151" s="369"/>
      <c r="E1151" s="363"/>
      <c r="F1151" s="372"/>
      <c r="G1151" s="363"/>
      <c r="H1151" s="370"/>
      <c r="I1151" s="370"/>
      <c r="J1151" s="363"/>
      <c r="K1151" s="370"/>
      <c r="L1151" s="363"/>
      <c r="M1151" s="367"/>
      <c r="N1151" s="379"/>
      <c r="O1151" s="379"/>
      <c r="P1151" s="379"/>
      <c r="Q1151" s="379"/>
      <c r="R1151" s="379"/>
      <c r="S1151" s="379"/>
      <c r="T1151" s="379"/>
      <c r="U1151" s="379"/>
      <c r="V1151" s="379"/>
      <c r="W1151" s="379"/>
      <c r="X1151" s="379"/>
      <c r="Y1151" s="379"/>
      <c r="Z1151" s="379"/>
      <c r="AA1151" s="379"/>
      <c r="AB1151" s="379"/>
      <c r="AC1151" s="379"/>
      <c r="AD1151" s="379"/>
      <c r="AE1151" s="379"/>
      <c r="AF1151" s="37"/>
      <c r="AG1151" s="379"/>
      <c r="AH1151" s="379"/>
      <c r="AI1151" s="379"/>
      <c r="AJ1151" s="379"/>
    </row>
    <row r="1152" customFormat="false" ht="12.75" hidden="false" customHeight="true" outlineLevel="0" collapsed="false">
      <c r="B1152" s="368"/>
      <c r="C1152" s="369"/>
      <c r="D1152" s="369"/>
      <c r="E1152" s="363"/>
      <c r="F1152" s="372"/>
      <c r="G1152" s="363"/>
      <c r="H1152" s="363"/>
      <c r="I1152" s="370"/>
      <c r="J1152" s="363"/>
      <c r="K1152" s="370"/>
      <c r="L1152" s="363"/>
      <c r="M1152" s="367"/>
      <c r="N1152" s="379"/>
      <c r="O1152" s="379"/>
      <c r="P1152" s="379"/>
      <c r="Q1152" s="379"/>
      <c r="R1152" s="379"/>
      <c r="S1152" s="379"/>
      <c r="T1152" s="379"/>
      <c r="U1152" s="379"/>
      <c r="V1152" s="379"/>
      <c r="W1152" s="379"/>
      <c r="X1152" s="379"/>
      <c r="Y1152" s="379"/>
      <c r="Z1152" s="379"/>
      <c r="AA1152" s="379"/>
      <c r="AB1152" s="379"/>
      <c r="AC1152" s="379"/>
      <c r="AD1152" s="379"/>
      <c r="AE1152" s="379"/>
      <c r="AF1152" s="37"/>
      <c r="AG1152" s="379"/>
      <c r="AH1152" s="379"/>
      <c r="AI1152" s="379"/>
      <c r="AJ1152" s="379"/>
    </row>
    <row r="1153" customFormat="false" ht="12.75" hidden="false" customHeight="true" outlineLevel="0" collapsed="false">
      <c r="B1153" s="368"/>
      <c r="C1153" s="369"/>
      <c r="D1153" s="369"/>
      <c r="E1153" s="363"/>
      <c r="F1153" s="372"/>
      <c r="G1153" s="363"/>
      <c r="H1153" s="370"/>
      <c r="I1153" s="370"/>
      <c r="J1153" s="363"/>
      <c r="K1153" s="370"/>
      <c r="L1153" s="363"/>
      <c r="M1153" s="367"/>
      <c r="N1153" s="379"/>
      <c r="O1153" s="379"/>
      <c r="P1153" s="379"/>
      <c r="Q1153" s="379"/>
      <c r="R1153" s="379"/>
      <c r="S1153" s="379"/>
      <c r="T1153" s="379"/>
      <c r="U1153" s="379"/>
      <c r="V1153" s="379"/>
      <c r="W1153" s="379"/>
      <c r="X1153" s="379"/>
      <c r="Y1153" s="379"/>
      <c r="Z1153" s="379"/>
      <c r="AA1153" s="379"/>
      <c r="AB1153" s="379"/>
      <c r="AC1153" s="379"/>
      <c r="AD1153" s="379"/>
      <c r="AE1153" s="379"/>
      <c r="AF1153" s="37"/>
      <c r="AG1153" s="379"/>
      <c r="AH1153" s="379"/>
      <c r="AI1153" s="379"/>
      <c r="AJ1153" s="379"/>
    </row>
    <row r="1154" customFormat="false" ht="12.75" hidden="false" customHeight="true" outlineLevel="0" collapsed="false">
      <c r="B1154" s="368"/>
      <c r="C1154" s="369"/>
      <c r="D1154" s="369"/>
      <c r="E1154" s="363"/>
      <c r="F1154" s="372"/>
      <c r="G1154" s="363"/>
      <c r="H1154" s="363"/>
      <c r="I1154" s="370"/>
      <c r="J1154" s="363"/>
      <c r="K1154" s="370"/>
      <c r="L1154" s="363"/>
      <c r="M1154" s="367"/>
      <c r="N1154" s="379"/>
      <c r="O1154" s="379"/>
      <c r="P1154" s="379"/>
      <c r="Q1154" s="379"/>
      <c r="R1154" s="379"/>
      <c r="S1154" s="379"/>
      <c r="T1154" s="379"/>
      <c r="U1154" s="379"/>
      <c r="V1154" s="379"/>
      <c r="W1154" s="379"/>
      <c r="X1154" s="379"/>
      <c r="Y1154" s="379"/>
      <c r="Z1154" s="379"/>
      <c r="AA1154" s="379"/>
      <c r="AB1154" s="379"/>
      <c r="AC1154" s="379"/>
      <c r="AD1154" s="379"/>
      <c r="AE1154" s="379"/>
      <c r="AF1154" s="37"/>
      <c r="AG1154" s="379"/>
      <c r="AH1154" s="379"/>
      <c r="AI1154" s="379"/>
      <c r="AJ1154" s="379"/>
    </row>
    <row r="1155" customFormat="false" ht="12.75" hidden="false" customHeight="true" outlineLevel="0" collapsed="false">
      <c r="B1155" s="368"/>
      <c r="C1155" s="369"/>
      <c r="D1155" s="369"/>
      <c r="E1155" s="363"/>
      <c r="F1155" s="372"/>
      <c r="G1155" s="363"/>
      <c r="H1155" s="370"/>
      <c r="I1155" s="370"/>
      <c r="J1155" s="363"/>
      <c r="K1155" s="370"/>
      <c r="L1155" s="363"/>
      <c r="M1155" s="367"/>
      <c r="N1155" s="379"/>
      <c r="O1155" s="379"/>
      <c r="P1155" s="379"/>
      <c r="Q1155" s="379"/>
      <c r="R1155" s="379"/>
      <c r="S1155" s="379"/>
      <c r="T1155" s="379"/>
      <c r="U1155" s="379"/>
      <c r="V1155" s="379"/>
      <c r="W1155" s="379"/>
      <c r="X1155" s="379"/>
      <c r="Y1155" s="379"/>
      <c r="Z1155" s="379"/>
      <c r="AA1155" s="379"/>
      <c r="AB1155" s="379"/>
      <c r="AC1155" s="379"/>
      <c r="AD1155" s="379"/>
      <c r="AE1155" s="379"/>
      <c r="AF1155" s="37"/>
      <c r="AG1155" s="379"/>
      <c r="AH1155" s="379"/>
      <c r="AI1155" s="379"/>
      <c r="AJ1155" s="379"/>
    </row>
    <row r="1156" customFormat="false" ht="12.75" hidden="false" customHeight="true" outlineLevel="0" collapsed="false">
      <c r="B1156" s="368"/>
      <c r="C1156" s="369"/>
      <c r="D1156" s="369"/>
      <c r="E1156" s="363"/>
      <c r="F1156" s="372"/>
      <c r="G1156" s="363"/>
      <c r="H1156" s="363"/>
      <c r="I1156" s="370"/>
      <c r="J1156" s="363"/>
      <c r="K1156" s="370"/>
      <c r="L1156" s="363"/>
      <c r="M1156" s="367"/>
      <c r="N1156" s="379"/>
      <c r="O1156" s="379"/>
      <c r="P1156" s="379"/>
      <c r="Q1156" s="379"/>
      <c r="R1156" s="379"/>
      <c r="S1156" s="379"/>
      <c r="T1156" s="379"/>
      <c r="U1156" s="379"/>
      <c r="V1156" s="379"/>
      <c r="W1156" s="379"/>
      <c r="X1156" s="379"/>
      <c r="Y1156" s="379"/>
      <c r="Z1156" s="379"/>
      <c r="AA1156" s="379"/>
      <c r="AB1156" s="379"/>
      <c r="AC1156" s="379"/>
      <c r="AD1156" s="379"/>
      <c r="AE1156" s="379"/>
      <c r="AF1156" s="37"/>
      <c r="AG1156" s="379"/>
      <c r="AH1156" s="379"/>
      <c r="AI1156" s="379"/>
      <c r="AJ1156" s="379"/>
    </row>
    <row r="1157" customFormat="false" ht="12.75" hidden="false" customHeight="true" outlineLevel="0" collapsed="false">
      <c r="B1157" s="368"/>
      <c r="C1157" s="369"/>
      <c r="D1157" s="369"/>
      <c r="E1157" s="363"/>
      <c r="F1157" s="372"/>
      <c r="G1157" s="363"/>
      <c r="H1157" s="370"/>
      <c r="I1157" s="370"/>
      <c r="J1157" s="363"/>
      <c r="K1157" s="370"/>
      <c r="L1157" s="363"/>
      <c r="M1157" s="367"/>
      <c r="N1157" s="379"/>
      <c r="O1157" s="379"/>
      <c r="P1157" s="379"/>
      <c r="Q1157" s="379"/>
      <c r="R1157" s="379"/>
      <c r="S1157" s="379"/>
      <c r="T1157" s="379"/>
      <c r="U1157" s="379"/>
      <c r="V1157" s="379"/>
      <c r="W1157" s="379"/>
      <c r="X1157" s="379"/>
      <c r="Y1157" s="379"/>
      <c r="Z1157" s="379"/>
      <c r="AA1157" s="379"/>
      <c r="AB1157" s="379"/>
      <c r="AC1157" s="379"/>
      <c r="AD1157" s="379"/>
      <c r="AE1157" s="379"/>
      <c r="AF1157" s="37"/>
      <c r="AG1157" s="379"/>
      <c r="AH1157" s="379"/>
      <c r="AI1157" s="379"/>
      <c r="AJ1157" s="379"/>
    </row>
    <row r="1158" customFormat="false" ht="12.75" hidden="false" customHeight="true" outlineLevel="0" collapsed="false">
      <c r="B1158" s="368"/>
      <c r="C1158" s="369"/>
      <c r="D1158" s="369"/>
      <c r="E1158" s="363"/>
      <c r="F1158" s="372"/>
      <c r="G1158" s="363"/>
      <c r="H1158" s="370"/>
      <c r="I1158" s="370"/>
      <c r="J1158" s="363"/>
      <c r="K1158" s="370"/>
      <c r="L1158" s="363"/>
      <c r="M1158" s="367"/>
      <c r="N1158" s="379"/>
      <c r="O1158" s="379"/>
      <c r="P1158" s="379"/>
      <c r="Q1158" s="379"/>
      <c r="R1158" s="379"/>
      <c r="S1158" s="379"/>
      <c r="T1158" s="379"/>
      <c r="U1158" s="379"/>
      <c r="V1158" s="379"/>
      <c r="W1158" s="379"/>
      <c r="X1158" s="379"/>
      <c r="Y1158" s="379"/>
      <c r="Z1158" s="379"/>
      <c r="AA1158" s="379"/>
      <c r="AB1158" s="379"/>
      <c r="AC1158" s="379"/>
      <c r="AD1158" s="379"/>
      <c r="AE1158" s="379"/>
      <c r="AF1158" s="37"/>
      <c r="AG1158" s="379"/>
      <c r="AH1158" s="379"/>
      <c r="AI1158" s="379"/>
      <c r="AJ1158" s="379"/>
    </row>
    <row r="1159" customFormat="false" ht="12.75" hidden="false" customHeight="true" outlineLevel="0" collapsed="false">
      <c r="B1159" s="368"/>
      <c r="C1159" s="369"/>
      <c r="D1159" s="369"/>
      <c r="E1159" s="363"/>
      <c r="F1159" s="372"/>
      <c r="G1159" s="363"/>
      <c r="H1159" s="363"/>
      <c r="I1159" s="370"/>
      <c r="J1159" s="363"/>
      <c r="K1159" s="370"/>
      <c r="L1159" s="363"/>
      <c r="M1159" s="367"/>
      <c r="N1159" s="379"/>
      <c r="O1159" s="379"/>
      <c r="P1159" s="379"/>
      <c r="Q1159" s="379"/>
      <c r="R1159" s="379"/>
      <c r="S1159" s="379"/>
      <c r="T1159" s="379"/>
      <c r="U1159" s="379"/>
      <c r="V1159" s="379"/>
      <c r="W1159" s="379"/>
      <c r="X1159" s="379"/>
      <c r="Y1159" s="379"/>
      <c r="Z1159" s="379"/>
      <c r="AA1159" s="379"/>
      <c r="AB1159" s="379"/>
      <c r="AC1159" s="379"/>
      <c r="AD1159" s="379"/>
      <c r="AE1159" s="379"/>
      <c r="AF1159" s="37"/>
      <c r="AG1159" s="379"/>
      <c r="AH1159" s="379"/>
      <c r="AI1159" s="379"/>
      <c r="AJ1159" s="379"/>
    </row>
    <row r="1160" customFormat="false" ht="12.75" hidden="false" customHeight="true" outlineLevel="0" collapsed="false">
      <c r="B1160" s="368"/>
      <c r="C1160" s="369"/>
      <c r="D1160" s="369"/>
      <c r="E1160" s="363"/>
      <c r="F1160" s="372"/>
      <c r="G1160" s="363"/>
      <c r="H1160" s="363"/>
      <c r="I1160" s="370"/>
      <c r="J1160" s="363"/>
      <c r="K1160" s="370"/>
      <c r="L1160" s="363"/>
      <c r="M1160" s="367"/>
      <c r="N1160" s="379"/>
      <c r="O1160" s="379"/>
      <c r="P1160" s="379"/>
      <c r="Q1160" s="379"/>
      <c r="R1160" s="379"/>
      <c r="S1160" s="379"/>
      <c r="T1160" s="379"/>
      <c r="U1160" s="379"/>
      <c r="V1160" s="379"/>
      <c r="W1160" s="379"/>
      <c r="X1160" s="379"/>
      <c r="Y1160" s="379"/>
      <c r="Z1160" s="379"/>
      <c r="AA1160" s="379"/>
      <c r="AB1160" s="379"/>
      <c r="AC1160" s="379"/>
      <c r="AD1160" s="379"/>
      <c r="AE1160" s="379"/>
      <c r="AF1160" s="37"/>
      <c r="AG1160" s="379"/>
      <c r="AH1160" s="379"/>
      <c r="AI1160" s="379"/>
      <c r="AJ1160" s="379"/>
    </row>
    <row r="1161" customFormat="false" ht="12.75" hidden="false" customHeight="true" outlineLevel="0" collapsed="false">
      <c r="B1161" s="368"/>
      <c r="C1161" s="369"/>
      <c r="D1161" s="369"/>
      <c r="E1161" s="363"/>
      <c r="F1161" s="372"/>
      <c r="G1161" s="363"/>
      <c r="H1161" s="363"/>
      <c r="I1161" s="370"/>
      <c r="J1161" s="363"/>
      <c r="K1161" s="370"/>
      <c r="L1161" s="363"/>
      <c r="M1161" s="367"/>
      <c r="N1161" s="379"/>
      <c r="O1161" s="379"/>
      <c r="P1161" s="379"/>
      <c r="Q1161" s="379"/>
      <c r="R1161" s="379"/>
      <c r="S1161" s="379"/>
      <c r="T1161" s="379"/>
      <c r="U1161" s="379"/>
      <c r="V1161" s="379"/>
      <c r="W1161" s="379"/>
      <c r="X1161" s="379"/>
      <c r="Y1161" s="379"/>
      <c r="Z1161" s="379"/>
      <c r="AA1161" s="379"/>
      <c r="AB1161" s="379"/>
      <c r="AC1161" s="379"/>
      <c r="AD1161" s="379"/>
      <c r="AE1161" s="379"/>
      <c r="AF1161" s="37"/>
      <c r="AG1161" s="379"/>
      <c r="AH1161" s="379"/>
      <c r="AI1161" s="379"/>
      <c r="AJ1161" s="379"/>
    </row>
    <row r="1162" customFormat="false" ht="12.75" hidden="false" customHeight="true" outlineLevel="0" collapsed="false">
      <c r="B1162" s="368"/>
      <c r="C1162" s="369"/>
      <c r="D1162" s="369"/>
      <c r="E1162" s="363"/>
      <c r="F1162" s="372"/>
      <c r="G1162" s="363"/>
      <c r="H1162" s="363"/>
      <c r="I1162" s="370"/>
      <c r="J1162" s="363"/>
      <c r="K1162" s="370"/>
      <c r="L1162" s="363"/>
      <c r="M1162" s="367"/>
      <c r="N1162" s="379"/>
      <c r="O1162" s="379"/>
      <c r="P1162" s="379"/>
      <c r="Q1162" s="379"/>
      <c r="R1162" s="379"/>
      <c r="S1162" s="379"/>
      <c r="T1162" s="379"/>
      <c r="U1162" s="379"/>
      <c r="V1162" s="379"/>
      <c r="W1162" s="379"/>
      <c r="X1162" s="379"/>
      <c r="Y1162" s="379"/>
      <c r="Z1162" s="379"/>
      <c r="AA1162" s="379"/>
      <c r="AB1162" s="379"/>
      <c r="AC1162" s="379"/>
      <c r="AD1162" s="379"/>
      <c r="AE1162" s="379"/>
      <c r="AF1162" s="37"/>
      <c r="AG1162" s="379"/>
      <c r="AH1162" s="379"/>
      <c r="AI1162" s="379"/>
      <c r="AJ1162" s="379"/>
    </row>
    <row r="1163" customFormat="false" ht="12.75" hidden="false" customHeight="true" outlineLevel="0" collapsed="false">
      <c r="B1163" s="368"/>
      <c r="C1163" s="369"/>
      <c r="D1163" s="369"/>
      <c r="E1163" s="363"/>
      <c r="F1163" s="372"/>
      <c r="G1163" s="363"/>
      <c r="H1163" s="363"/>
      <c r="I1163" s="370"/>
      <c r="J1163" s="363"/>
      <c r="K1163" s="370"/>
      <c r="L1163" s="363"/>
      <c r="M1163" s="367"/>
      <c r="N1163" s="379"/>
      <c r="O1163" s="379"/>
      <c r="P1163" s="379"/>
      <c r="Q1163" s="379"/>
      <c r="R1163" s="379"/>
      <c r="S1163" s="379"/>
      <c r="T1163" s="379"/>
      <c r="U1163" s="379"/>
      <c r="V1163" s="379"/>
      <c r="W1163" s="379"/>
      <c r="X1163" s="379"/>
      <c r="Y1163" s="379"/>
      <c r="Z1163" s="379"/>
      <c r="AA1163" s="379"/>
      <c r="AB1163" s="379"/>
      <c r="AC1163" s="379"/>
      <c r="AD1163" s="379"/>
      <c r="AE1163" s="379"/>
      <c r="AF1163" s="37"/>
      <c r="AG1163" s="379"/>
      <c r="AH1163" s="379"/>
      <c r="AI1163" s="379"/>
      <c r="AJ1163" s="379"/>
    </row>
    <row r="1164" customFormat="false" ht="12.75" hidden="false" customHeight="true" outlineLevel="0" collapsed="false">
      <c r="B1164" s="368"/>
      <c r="C1164" s="369"/>
      <c r="D1164" s="369"/>
      <c r="E1164" s="363"/>
      <c r="F1164" s="372"/>
      <c r="G1164" s="363"/>
      <c r="H1164" s="370"/>
      <c r="I1164" s="370"/>
      <c r="J1164" s="363"/>
      <c r="K1164" s="370"/>
      <c r="L1164" s="363"/>
      <c r="M1164" s="367"/>
      <c r="N1164" s="379"/>
      <c r="O1164" s="379"/>
      <c r="P1164" s="379"/>
      <c r="Q1164" s="379"/>
      <c r="R1164" s="379"/>
      <c r="S1164" s="379"/>
      <c r="T1164" s="379"/>
      <c r="U1164" s="379"/>
      <c r="V1164" s="379"/>
      <c r="W1164" s="379"/>
      <c r="X1164" s="379"/>
      <c r="Y1164" s="379"/>
      <c r="Z1164" s="379"/>
      <c r="AA1164" s="379"/>
      <c r="AB1164" s="379"/>
      <c r="AC1164" s="379"/>
      <c r="AD1164" s="379"/>
      <c r="AE1164" s="379"/>
      <c r="AF1164" s="37"/>
      <c r="AG1164" s="379"/>
      <c r="AH1164" s="379"/>
      <c r="AI1164" s="379"/>
      <c r="AJ1164" s="379"/>
    </row>
    <row r="1165" customFormat="false" ht="12.75" hidden="false" customHeight="true" outlineLevel="0" collapsed="false">
      <c r="B1165" s="368"/>
      <c r="C1165" s="369"/>
      <c r="D1165" s="369"/>
      <c r="E1165" s="363"/>
      <c r="F1165" s="372"/>
      <c r="G1165" s="363"/>
      <c r="H1165" s="370"/>
      <c r="I1165" s="370"/>
      <c r="J1165" s="363"/>
      <c r="K1165" s="370"/>
      <c r="L1165" s="363"/>
      <c r="M1165" s="367"/>
      <c r="N1165" s="379"/>
      <c r="O1165" s="379"/>
      <c r="P1165" s="379"/>
      <c r="Q1165" s="379"/>
      <c r="R1165" s="379"/>
      <c r="S1165" s="379"/>
      <c r="T1165" s="379"/>
      <c r="U1165" s="379"/>
      <c r="V1165" s="379"/>
      <c r="W1165" s="379"/>
      <c r="X1165" s="379"/>
      <c r="Y1165" s="379"/>
      <c r="Z1165" s="379"/>
      <c r="AA1165" s="379"/>
      <c r="AB1165" s="379"/>
      <c r="AC1165" s="379"/>
      <c r="AD1165" s="379"/>
      <c r="AE1165" s="379"/>
      <c r="AF1165" s="37"/>
      <c r="AG1165" s="379"/>
      <c r="AH1165" s="379"/>
      <c r="AI1165" s="379"/>
      <c r="AJ1165" s="379"/>
    </row>
    <row r="1166" customFormat="false" ht="12.75" hidden="false" customHeight="true" outlineLevel="0" collapsed="false">
      <c r="B1166" s="368"/>
      <c r="C1166" s="369"/>
      <c r="D1166" s="369"/>
      <c r="E1166" s="363"/>
      <c r="F1166" s="372"/>
      <c r="G1166" s="363"/>
      <c r="H1166" s="370"/>
      <c r="I1166" s="370"/>
      <c r="J1166" s="363"/>
      <c r="K1166" s="370"/>
      <c r="L1166" s="363"/>
      <c r="M1166" s="367"/>
      <c r="N1166" s="379"/>
      <c r="O1166" s="379"/>
      <c r="P1166" s="379"/>
      <c r="Q1166" s="379"/>
      <c r="R1166" s="379"/>
      <c r="S1166" s="379"/>
      <c r="T1166" s="379"/>
      <c r="U1166" s="379"/>
      <c r="V1166" s="379"/>
      <c r="W1166" s="379"/>
      <c r="X1166" s="379"/>
      <c r="Y1166" s="379"/>
      <c r="Z1166" s="379"/>
      <c r="AA1166" s="379"/>
      <c r="AB1166" s="379"/>
      <c r="AC1166" s="379"/>
      <c r="AD1166" s="379"/>
      <c r="AE1166" s="379"/>
      <c r="AF1166" s="37"/>
      <c r="AG1166" s="379"/>
      <c r="AH1166" s="379"/>
      <c r="AI1166" s="379"/>
      <c r="AJ1166" s="379"/>
    </row>
    <row r="1167" customFormat="false" ht="12.75" hidden="false" customHeight="true" outlineLevel="0" collapsed="false">
      <c r="B1167" s="368"/>
      <c r="C1167" s="369"/>
      <c r="D1167" s="369"/>
      <c r="E1167" s="363"/>
      <c r="F1167" s="374"/>
      <c r="G1167" s="363"/>
      <c r="H1167" s="363"/>
      <c r="I1167" s="370"/>
      <c r="J1167" s="363"/>
      <c r="K1167" s="381"/>
      <c r="L1167" s="363"/>
      <c r="M1167" s="367"/>
      <c r="N1167" s="379"/>
      <c r="O1167" s="379"/>
      <c r="P1167" s="379"/>
      <c r="Q1167" s="379"/>
      <c r="R1167" s="379"/>
      <c r="S1167" s="379"/>
      <c r="T1167" s="379"/>
      <c r="U1167" s="379"/>
      <c r="V1167" s="379"/>
      <c r="W1167" s="379"/>
      <c r="X1167" s="379"/>
      <c r="Y1167" s="379"/>
      <c r="Z1167" s="379"/>
      <c r="AA1167" s="379"/>
      <c r="AB1167" s="379"/>
      <c r="AC1167" s="379"/>
      <c r="AD1167" s="379"/>
      <c r="AE1167" s="379"/>
      <c r="AF1167" s="37"/>
      <c r="AG1167" s="379"/>
      <c r="AH1167" s="379"/>
      <c r="AI1167" s="379"/>
      <c r="AJ1167" s="379"/>
    </row>
    <row r="1168" customFormat="false" ht="12.75" hidden="false" customHeight="true" outlineLevel="0" collapsed="false">
      <c r="B1168" s="368"/>
      <c r="C1168" s="369"/>
      <c r="D1168" s="369"/>
      <c r="E1168" s="363"/>
      <c r="F1168" s="374"/>
      <c r="G1168" s="363"/>
      <c r="H1168" s="370"/>
      <c r="I1168" s="370"/>
      <c r="J1168" s="363"/>
      <c r="K1168" s="381"/>
      <c r="L1168" s="363"/>
      <c r="M1168" s="367"/>
      <c r="N1168" s="379"/>
      <c r="O1168" s="379"/>
      <c r="P1168" s="379"/>
      <c r="Q1168" s="379"/>
      <c r="R1168" s="379"/>
      <c r="S1168" s="379"/>
      <c r="T1168" s="379"/>
      <c r="U1168" s="379"/>
      <c r="V1168" s="379"/>
      <c r="W1168" s="379"/>
      <c r="X1168" s="379"/>
      <c r="Y1168" s="379"/>
      <c r="Z1168" s="379"/>
      <c r="AA1168" s="379"/>
      <c r="AB1168" s="379"/>
      <c r="AC1168" s="379"/>
      <c r="AD1168" s="379"/>
      <c r="AE1168" s="379"/>
      <c r="AF1168" s="37"/>
      <c r="AG1168" s="379"/>
      <c r="AH1168" s="379"/>
      <c r="AI1168" s="379"/>
      <c r="AJ1168" s="379"/>
    </row>
    <row r="1169" customFormat="false" ht="12.75" hidden="false" customHeight="true" outlineLevel="0" collapsed="false">
      <c r="B1169" s="368"/>
      <c r="C1169" s="369"/>
      <c r="D1169" s="369"/>
      <c r="E1169" s="363"/>
      <c r="F1169" s="374"/>
      <c r="G1169" s="370"/>
      <c r="H1169" s="363"/>
      <c r="I1169" s="370"/>
      <c r="J1169" s="370"/>
      <c r="K1169" s="381"/>
      <c r="L1169" s="363"/>
      <c r="M1169" s="367"/>
      <c r="N1169" s="379"/>
      <c r="O1169" s="379"/>
      <c r="P1169" s="379"/>
      <c r="Q1169" s="379"/>
      <c r="R1169" s="379"/>
      <c r="S1169" s="379"/>
      <c r="T1169" s="379"/>
      <c r="U1169" s="379"/>
      <c r="V1169" s="379"/>
      <c r="W1169" s="379"/>
      <c r="X1169" s="379"/>
      <c r="Y1169" s="379"/>
      <c r="Z1169" s="379"/>
      <c r="AA1169" s="379"/>
      <c r="AB1169" s="379"/>
      <c r="AC1169" s="379"/>
      <c r="AD1169" s="379"/>
      <c r="AE1169" s="379"/>
      <c r="AF1169" s="37"/>
      <c r="AG1169" s="379"/>
      <c r="AH1169" s="379"/>
      <c r="AI1169" s="379"/>
      <c r="AJ1169" s="379"/>
    </row>
    <row r="1170" customFormat="false" ht="12.75" hidden="false" customHeight="true" outlineLevel="0" collapsed="false">
      <c r="B1170" s="368"/>
      <c r="C1170" s="369"/>
      <c r="D1170" s="369"/>
      <c r="E1170" s="363"/>
      <c r="F1170" s="374"/>
      <c r="G1170" s="370"/>
      <c r="H1170" s="363"/>
      <c r="I1170" s="370"/>
      <c r="J1170" s="370"/>
      <c r="K1170" s="381"/>
      <c r="L1170" s="363"/>
      <c r="M1170" s="367"/>
      <c r="N1170" s="379"/>
      <c r="O1170" s="379"/>
      <c r="P1170" s="379"/>
      <c r="Q1170" s="379"/>
      <c r="R1170" s="379"/>
      <c r="S1170" s="379"/>
      <c r="T1170" s="379"/>
      <c r="U1170" s="379"/>
      <c r="V1170" s="379"/>
      <c r="W1170" s="379"/>
      <c r="X1170" s="379"/>
      <c r="Y1170" s="379"/>
      <c r="Z1170" s="379"/>
      <c r="AA1170" s="379"/>
      <c r="AB1170" s="379"/>
      <c r="AC1170" s="379"/>
      <c r="AD1170" s="379"/>
      <c r="AE1170" s="379"/>
      <c r="AF1170" s="37"/>
      <c r="AG1170" s="379"/>
      <c r="AH1170" s="379"/>
      <c r="AI1170" s="379"/>
      <c r="AJ1170" s="379"/>
    </row>
    <row r="1171" customFormat="false" ht="12.75" hidden="false" customHeight="true" outlineLevel="0" collapsed="false">
      <c r="B1171" s="368"/>
      <c r="C1171" s="369"/>
      <c r="D1171" s="369"/>
      <c r="E1171" s="363"/>
      <c r="F1171" s="374"/>
      <c r="G1171" s="370"/>
      <c r="H1171" s="363"/>
      <c r="I1171" s="370"/>
      <c r="J1171" s="370"/>
      <c r="K1171" s="381"/>
      <c r="L1171" s="363"/>
      <c r="M1171" s="367"/>
      <c r="N1171" s="379"/>
      <c r="O1171" s="379"/>
      <c r="P1171" s="379"/>
      <c r="Q1171" s="379"/>
      <c r="R1171" s="379"/>
      <c r="S1171" s="379"/>
      <c r="T1171" s="379"/>
      <c r="U1171" s="379"/>
      <c r="V1171" s="379"/>
      <c r="W1171" s="379"/>
      <c r="X1171" s="379"/>
      <c r="Y1171" s="379"/>
      <c r="Z1171" s="379"/>
      <c r="AA1171" s="379"/>
      <c r="AB1171" s="379"/>
      <c r="AC1171" s="379"/>
      <c r="AD1171" s="379"/>
      <c r="AE1171" s="379"/>
      <c r="AF1171" s="37"/>
      <c r="AG1171" s="379"/>
      <c r="AH1171" s="379"/>
      <c r="AI1171" s="379"/>
      <c r="AJ1171" s="379"/>
    </row>
    <row r="1172" customFormat="false" ht="12.75" hidden="false" customHeight="true" outlineLevel="0" collapsed="false">
      <c r="B1172" s="368"/>
      <c r="C1172" s="369"/>
      <c r="D1172" s="369"/>
      <c r="E1172" s="363"/>
      <c r="F1172" s="374"/>
      <c r="G1172" s="370"/>
      <c r="H1172" s="363"/>
      <c r="I1172" s="370"/>
      <c r="J1172" s="370"/>
      <c r="K1172" s="381"/>
      <c r="L1172" s="363"/>
      <c r="M1172" s="367"/>
      <c r="N1172" s="379"/>
      <c r="O1172" s="379"/>
      <c r="P1172" s="379"/>
      <c r="Q1172" s="379"/>
      <c r="R1172" s="379"/>
      <c r="S1172" s="379"/>
      <c r="T1172" s="379"/>
      <c r="U1172" s="379"/>
      <c r="V1172" s="379"/>
      <c r="W1172" s="379"/>
      <c r="X1172" s="379"/>
      <c r="Y1172" s="379"/>
      <c r="Z1172" s="379"/>
      <c r="AA1172" s="379"/>
      <c r="AB1172" s="379"/>
      <c r="AC1172" s="379"/>
      <c r="AD1172" s="379"/>
      <c r="AE1172" s="379"/>
      <c r="AF1172" s="37"/>
      <c r="AG1172" s="379"/>
      <c r="AH1172" s="379"/>
      <c r="AI1172" s="379"/>
      <c r="AJ1172" s="379"/>
    </row>
    <row r="1173" customFormat="false" ht="12.75" hidden="false" customHeight="true" outlineLevel="0" collapsed="false">
      <c r="B1173" s="368"/>
      <c r="C1173" s="369"/>
      <c r="D1173" s="369"/>
      <c r="E1173" s="363"/>
      <c r="F1173" s="372"/>
      <c r="G1173" s="370"/>
      <c r="H1173" s="363"/>
      <c r="I1173" s="370"/>
      <c r="J1173" s="370"/>
      <c r="K1173" s="381"/>
      <c r="L1173" s="363"/>
      <c r="M1173" s="367"/>
      <c r="N1173" s="379"/>
      <c r="O1173" s="379"/>
      <c r="P1173" s="379"/>
      <c r="Q1173" s="379"/>
      <c r="R1173" s="379"/>
      <c r="S1173" s="379"/>
      <c r="T1173" s="379"/>
      <c r="U1173" s="379"/>
      <c r="V1173" s="379"/>
      <c r="W1173" s="379"/>
      <c r="X1173" s="379"/>
      <c r="Y1173" s="379"/>
      <c r="Z1173" s="379"/>
      <c r="AA1173" s="379"/>
      <c r="AB1173" s="379"/>
      <c r="AC1173" s="379"/>
      <c r="AD1173" s="379"/>
      <c r="AE1173" s="379"/>
      <c r="AF1173" s="37"/>
      <c r="AG1173" s="379"/>
      <c r="AH1173" s="379"/>
      <c r="AI1173" s="379"/>
      <c r="AJ1173" s="379"/>
    </row>
    <row r="1174" customFormat="false" ht="12.75" hidden="false" customHeight="true" outlineLevel="0" collapsed="false">
      <c r="B1174" s="368"/>
      <c r="C1174" s="369"/>
      <c r="D1174" s="369"/>
      <c r="E1174" s="363"/>
      <c r="F1174" s="372"/>
      <c r="G1174" s="370"/>
      <c r="H1174" s="370"/>
      <c r="I1174" s="370"/>
      <c r="J1174" s="370"/>
      <c r="K1174" s="381"/>
      <c r="L1174" s="363"/>
      <c r="M1174" s="367"/>
      <c r="N1174" s="379"/>
      <c r="O1174" s="379"/>
      <c r="P1174" s="379"/>
      <c r="Q1174" s="379"/>
      <c r="R1174" s="379"/>
      <c r="S1174" s="379"/>
      <c r="T1174" s="379"/>
      <c r="U1174" s="379"/>
      <c r="V1174" s="379"/>
      <c r="W1174" s="379"/>
      <c r="X1174" s="379"/>
      <c r="Y1174" s="379"/>
      <c r="Z1174" s="379"/>
      <c r="AA1174" s="379"/>
      <c r="AB1174" s="379"/>
      <c r="AC1174" s="379"/>
      <c r="AD1174" s="379"/>
      <c r="AE1174" s="379"/>
      <c r="AF1174" s="37"/>
      <c r="AG1174" s="379"/>
      <c r="AH1174" s="379"/>
      <c r="AI1174" s="379"/>
      <c r="AJ1174" s="379"/>
    </row>
    <row r="1175" customFormat="false" ht="12.75" hidden="false" customHeight="true" outlineLevel="0" collapsed="false">
      <c r="B1175" s="368"/>
      <c r="C1175" s="369"/>
      <c r="D1175" s="369"/>
      <c r="E1175" s="363"/>
      <c r="F1175" s="372"/>
      <c r="G1175" s="370"/>
      <c r="H1175" s="363"/>
      <c r="I1175" s="370"/>
      <c r="J1175" s="370"/>
      <c r="K1175" s="381"/>
      <c r="L1175" s="363"/>
      <c r="M1175" s="367"/>
      <c r="N1175" s="379"/>
      <c r="O1175" s="379"/>
      <c r="P1175" s="379"/>
      <c r="Q1175" s="379"/>
      <c r="R1175" s="379"/>
      <c r="S1175" s="379"/>
      <c r="T1175" s="379"/>
      <c r="U1175" s="379"/>
      <c r="V1175" s="379"/>
      <c r="W1175" s="379"/>
      <c r="X1175" s="379"/>
      <c r="Y1175" s="379"/>
      <c r="Z1175" s="379"/>
      <c r="AA1175" s="379"/>
      <c r="AB1175" s="379"/>
      <c r="AC1175" s="379"/>
      <c r="AD1175" s="379"/>
      <c r="AE1175" s="379"/>
      <c r="AF1175" s="37"/>
      <c r="AG1175" s="379"/>
      <c r="AH1175" s="379"/>
      <c r="AI1175" s="379"/>
      <c r="AJ1175" s="379"/>
    </row>
    <row r="1176" customFormat="false" ht="12.75" hidden="false" customHeight="true" outlineLevel="0" collapsed="false">
      <c r="B1176" s="368"/>
      <c r="C1176" s="369"/>
      <c r="D1176" s="369"/>
      <c r="E1176" s="363"/>
      <c r="F1176" s="372"/>
      <c r="G1176" s="370"/>
      <c r="H1176" s="363"/>
      <c r="I1176" s="370"/>
      <c r="J1176" s="370"/>
      <c r="K1176" s="381"/>
      <c r="L1176" s="363"/>
      <c r="M1176" s="367"/>
      <c r="N1176" s="379"/>
      <c r="O1176" s="379"/>
      <c r="P1176" s="379"/>
      <c r="Q1176" s="379"/>
      <c r="R1176" s="379"/>
      <c r="S1176" s="379"/>
      <c r="T1176" s="379"/>
      <c r="U1176" s="379"/>
      <c r="V1176" s="379"/>
      <c r="W1176" s="379"/>
      <c r="X1176" s="379"/>
      <c r="Y1176" s="379"/>
      <c r="Z1176" s="379"/>
      <c r="AA1176" s="379"/>
      <c r="AB1176" s="379"/>
      <c r="AC1176" s="379"/>
      <c r="AD1176" s="379"/>
      <c r="AE1176" s="379"/>
      <c r="AF1176" s="37"/>
      <c r="AG1176" s="379"/>
      <c r="AH1176" s="379"/>
      <c r="AI1176" s="379"/>
      <c r="AJ1176" s="379"/>
    </row>
    <row r="1177" customFormat="false" ht="12.75" hidden="false" customHeight="true" outlineLevel="0" collapsed="false">
      <c r="B1177" s="368"/>
      <c r="C1177" s="369"/>
      <c r="D1177" s="369"/>
      <c r="E1177" s="363"/>
      <c r="F1177" s="372"/>
      <c r="G1177" s="370"/>
      <c r="H1177" s="363"/>
      <c r="I1177" s="370"/>
      <c r="J1177" s="370"/>
      <c r="K1177" s="381"/>
      <c r="L1177" s="363"/>
      <c r="M1177" s="367"/>
      <c r="N1177" s="379"/>
      <c r="O1177" s="379"/>
      <c r="P1177" s="379"/>
      <c r="Q1177" s="379"/>
      <c r="R1177" s="379"/>
      <c r="S1177" s="379"/>
      <c r="T1177" s="379"/>
      <c r="U1177" s="379"/>
      <c r="V1177" s="379"/>
      <c r="W1177" s="379"/>
      <c r="X1177" s="379"/>
      <c r="Y1177" s="379"/>
      <c r="Z1177" s="379"/>
      <c r="AA1177" s="379"/>
      <c r="AB1177" s="379"/>
      <c r="AC1177" s="379"/>
      <c r="AD1177" s="379"/>
      <c r="AE1177" s="379"/>
      <c r="AF1177" s="37"/>
      <c r="AG1177" s="379"/>
      <c r="AH1177" s="379"/>
      <c r="AI1177" s="379"/>
      <c r="AJ1177" s="379"/>
    </row>
    <row r="1178" customFormat="false" ht="12.75" hidden="false" customHeight="true" outlineLevel="0" collapsed="false">
      <c r="B1178" s="368"/>
      <c r="C1178" s="369"/>
      <c r="D1178" s="369"/>
      <c r="E1178" s="363"/>
      <c r="F1178" s="372"/>
      <c r="G1178" s="370"/>
      <c r="H1178" s="363"/>
      <c r="I1178" s="370"/>
      <c r="J1178" s="370"/>
      <c r="K1178" s="381"/>
      <c r="L1178" s="363"/>
      <c r="M1178" s="367"/>
      <c r="N1178" s="379"/>
      <c r="O1178" s="379"/>
      <c r="P1178" s="379"/>
      <c r="Q1178" s="379"/>
      <c r="R1178" s="379"/>
      <c r="S1178" s="379"/>
      <c r="T1178" s="379"/>
      <c r="U1178" s="379"/>
      <c r="V1178" s="379"/>
      <c r="W1178" s="379"/>
      <c r="X1178" s="379"/>
      <c r="Y1178" s="379"/>
      <c r="Z1178" s="379"/>
      <c r="AA1178" s="379"/>
      <c r="AB1178" s="379"/>
      <c r="AC1178" s="379"/>
      <c r="AD1178" s="379"/>
      <c r="AE1178" s="379"/>
      <c r="AF1178" s="37"/>
      <c r="AG1178" s="379"/>
      <c r="AH1178" s="379"/>
      <c r="AI1178" s="379"/>
      <c r="AJ1178" s="379"/>
    </row>
    <row r="1179" customFormat="false" ht="12.75" hidden="false" customHeight="true" outlineLevel="0" collapsed="false">
      <c r="B1179" s="368"/>
      <c r="C1179" s="369"/>
      <c r="D1179" s="369"/>
      <c r="E1179" s="363"/>
      <c r="F1179" s="372"/>
      <c r="G1179" s="370"/>
      <c r="H1179" s="363"/>
      <c r="I1179" s="370"/>
      <c r="J1179" s="370"/>
      <c r="K1179" s="381"/>
      <c r="L1179" s="363"/>
      <c r="M1179" s="367"/>
      <c r="N1179" s="379"/>
      <c r="O1179" s="379"/>
      <c r="P1179" s="379"/>
      <c r="Q1179" s="379"/>
      <c r="R1179" s="379"/>
      <c r="S1179" s="379"/>
      <c r="T1179" s="379"/>
      <c r="U1179" s="379"/>
      <c r="V1179" s="379"/>
      <c r="W1179" s="379"/>
      <c r="X1179" s="379"/>
      <c r="Y1179" s="379"/>
      <c r="Z1179" s="379"/>
      <c r="AA1179" s="379"/>
      <c r="AB1179" s="379"/>
      <c r="AC1179" s="379"/>
      <c r="AD1179" s="379"/>
      <c r="AE1179" s="379"/>
      <c r="AF1179" s="37"/>
      <c r="AG1179" s="379"/>
      <c r="AH1179" s="379"/>
      <c r="AI1179" s="379"/>
      <c r="AJ1179" s="379"/>
    </row>
    <row r="1180" customFormat="false" ht="12.75" hidden="false" customHeight="true" outlineLevel="0" collapsed="false">
      <c r="B1180" s="368"/>
      <c r="C1180" s="369"/>
      <c r="D1180" s="369"/>
      <c r="E1180" s="363"/>
      <c r="F1180" s="372"/>
      <c r="G1180" s="370"/>
      <c r="H1180" s="363"/>
      <c r="I1180" s="370"/>
      <c r="J1180" s="370"/>
      <c r="K1180" s="381"/>
      <c r="L1180" s="363"/>
      <c r="M1180" s="367"/>
      <c r="N1180" s="379"/>
      <c r="O1180" s="379"/>
      <c r="P1180" s="379"/>
      <c r="Q1180" s="379"/>
      <c r="R1180" s="379"/>
      <c r="S1180" s="379"/>
      <c r="T1180" s="379"/>
      <c r="U1180" s="379"/>
      <c r="V1180" s="379"/>
      <c r="W1180" s="379"/>
      <c r="X1180" s="379"/>
      <c r="Y1180" s="379"/>
      <c r="Z1180" s="379"/>
      <c r="AA1180" s="379"/>
      <c r="AB1180" s="379"/>
      <c r="AC1180" s="379"/>
      <c r="AD1180" s="379"/>
      <c r="AE1180" s="379"/>
      <c r="AF1180" s="37"/>
      <c r="AG1180" s="379"/>
      <c r="AH1180" s="379"/>
      <c r="AI1180" s="379"/>
      <c r="AJ1180" s="379"/>
    </row>
    <row r="1181" customFormat="false" ht="12.75" hidden="false" customHeight="true" outlineLevel="0" collapsed="false">
      <c r="B1181" s="368"/>
      <c r="C1181" s="369"/>
      <c r="D1181" s="369"/>
      <c r="E1181" s="363"/>
      <c r="F1181" s="372"/>
      <c r="G1181" s="370"/>
      <c r="H1181" s="370"/>
      <c r="I1181" s="370"/>
      <c r="J1181" s="370"/>
      <c r="K1181" s="381"/>
      <c r="L1181" s="363"/>
      <c r="M1181" s="367"/>
      <c r="N1181" s="379"/>
      <c r="O1181" s="379"/>
      <c r="P1181" s="379"/>
      <c r="Q1181" s="379"/>
      <c r="R1181" s="379"/>
      <c r="S1181" s="379"/>
      <c r="T1181" s="379"/>
      <c r="U1181" s="379"/>
      <c r="V1181" s="379"/>
      <c r="W1181" s="379"/>
      <c r="X1181" s="379"/>
      <c r="Y1181" s="379"/>
      <c r="Z1181" s="379"/>
      <c r="AA1181" s="379"/>
      <c r="AB1181" s="379"/>
      <c r="AC1181" s="379"/>
      <c r="AD1181" s="379"/>
      <c r="AE1181" s="379"/>
      <c r="AF1181" s="37"/>
      <c r="AG1181" s="379"/>
      <c r="AH1181" s="379"/>
      <c r="AI1181" s="379"/>
      <c r="AJ1181" s="379"/>
    </row>
    <row r="1182" customFormat="false" ht="12.75" hidden="false" customHeight="true" outlineLevel="0" collapsed="false">
      <c r="B1182" s="368"/>
      <c r="C1182" s="369"/>
      <c r="D1182" s="369"/>
      <c r="E1182" s="363"/>
      <c r="F1182" s="372"/>
      <c r="G1182" s="370"/>
      <c r="H1182" s="370"/>
      <c r="I1182" s="370"/>
      <c r="J1182" s="370"/>
      <c r="K1182" s="381"/>
      <c r="L1182" s="363"/>
      <c r="M1182" s="367"/>
      <c r="N1182" s="379"/>
      <c r="O1182" s="379"/>
      <c r="P1182" s="379"/>
      <c r="Q1182" s="379"/>
      <c r="R1182" s="379"/>
      <c r="S1182" s="379"/>
      <c r="T1182" s="379"/>
      <c r="U1182" s="379"/>
      <c r="V1182" s="379"/>
      <c r="W1182" s="379"/>
      <c r="X1182" s="379"/>
      <c r="Y1182" s="379"/>
      <c r="Z1182" s="379"/>
      <c r="AA1182" s="379"/>
      <c r="AB1182" s="379"/>
      <c r="AC1182" s="379"/>
      <c r="AD1182" s="379"/>
      <c r="AE1182" s="379"/>
      <c r="AF1182" s="37"/>
      <c r="AG1182" s="379"/>
      <c r="AH1182" s="379"/>
      <c r="AI1182" s="379"/>
      <c r="AJ1182" s="379"/>
    </row>
    <row r="1183" customFormat="false" ht="12.75" hidden="false" customHeight="true" outlineLevel="0" collapsed="false">
      <c r="B1183" s="368"/>
      <c r="C1183" s="369"/>
      <c r="D1183" s="369"/>
      <c r="E1183" s="363"/>
      <c r="F1183" s="372"/>
      <c r="G1183" s="370"/>
      <c r="H1183" s="363"/>
      <c r="I1183" s="370"/>
      <c r="J1183" s="370"/>
      <c r="K1183" s="381"/>
      <c r="L1183" s="363"/>
      <c r="M1183" s="367"/>
      <c r="N1183" s="379"/>
      <c r="O1183" s="379"/>
      <c r="P1183" s="379"/>
      <c r="Q1183" s="379"/>
      <c r="R1183" s="379"/>
      <c r="S1183" s="379"/>
      <c r="T1183" s="379"/>
      <c r="U1183" s="379"/>
      <c r="V1183" s="379"/>
      <c r="W1183" s="379"/>
      <c r="X1183" s="379"/>
      <c r="Y1183" s="379"/>
      <c r="Z1183" s="379"/>
      <c r="AA1183" s="379"/>
      <c r="AB1183" s="379"/>
      <c r="AC1183" s="379"/>
      <c r="AD1183" s="379"/>
      <c r="AE1183" s="379"/>
      <c r="AF1183" s="37"/>
      <c r="AG1183" s="379"/>
      <c r="AH1183" s="379"/>
      <c r="AI1183" s="379"/>
      <c r="AJ1183" s="379"/>
    </row>
    <row r="1184" customFormat="false" ht="12.75" hidden="false" customHeight="true" outlineLevel="0" collapsed="false">
      <c r="B1184" s="368"/>
      <c r="C1184" s="369"/>
      <c r="D1184" s="369"/>
      <c r="E1184" s="363"/>
      <c r="F1184" s="372"/>
      <c r="G1184" s="370"/>
      <c r="H1184" s="363"/>
      <c r="I1184" s="370"/>
      <c r="J1184" s="370"/>
      <c r="K1184" s="381"/>
      <c r="L1184" s="363"/>
      <c r="M1184" s="367"/>
      <c r="N1184" s="379"/>
      <c r="O1184" s="379"/>
      <c r="P1184" s="379"/>
      <c r="Q1184" s="379"/>
      <c r="R1184" s="379"/>
      <c r="S1184" s="379"/>
      <c r="T1184" s="379"/>
      <c r="U1184" s="379"/>
      <c r="V1184" s="379"/>
      <c r="W1184" s="379"/>
      <c r="X1184" s="379"/>
      <c r="Y1184" s="379"/>
      <c r="Z1184" s="379"/>
      <c r="AA1184" s="379"/>
      <c r="AB1184" s="379"/>
      <c r="AC1184" s="379"/>
      <c r="AD1184" s="379"/>
      <c r="AE1184" s="379"/>
      <c r="AF1184" s="37"/>
      <c r="AG1184" s="379"/>
      <c r="AH1184" s="379"/>
      <c r="AI1184" s="379"/>
      <c r="AJ1184" s="379"/>
    </row>
    <row r="1185" customFormat="false" ht="12.75" hidden="false" customHeight="true" outlineLevel="0" collapsed="false">
      <c r="B1185" s="368"/>
      <c r="C1185" s="369"/>
      <c r="D1185" s="369"/>
      <c r="E1185" s="363"/>
      <c r="F1185" s="372"/>
      <c r="G1185" s="370"/>
      <c r="H1185" s="370"/>
      <c r="I1185" s="370"/>
      <c r="J1185" s="370"/>
      <c r="K1185" s="381"/>
      <c r="L1185" s="363"/>
      <c r="M1185" s="367"/>
      <c r="N1185" s="379"/>
      <c r="O1185" s="379"/>
      <c r="P1185" s="379"/>
      <c r="Q1185" s="379"/>
      <c r="R1185" s="379"/>
      <c r="S1185" s="379"/>
      <c r="T1185" s="379"/>
      <c r="U1185" s="379"/>
      <c r="V1185" s="379"/>
      <c r="W1185" s="379"/>
      <c r="X1185" s="379"/>
      <c r="Y1185" s="379"/>
      <c r="Z1185" s="379"/>
      <c r="AA1185" s="379"/>
      <c r="AB1185" s="379"/>
      <c r="AC1185" s="379"/>
      <c r="AD1185" s="379"/>
      <c r="AE1185" s="379"/>
      <c r="AF1185" s="37"/>
      <c r="AG1185" s="379"/>
      <c r="AH1185" s="379"/>
      <c r="AI1185" s="379"/>
      <c r="AJ1185" s="379"/>
    </row>
    <row r="1186" customFormat="false" ht="12.75" hidden="false" customHeight="true" outlineLevel="0" collapsed="false">
      <c r="B1186" s="368"/>
      <c r="C1186" s="369"/>
      <c r="D1186" s="369"/>
      <c r="E1186" s="363"/>
      <c r="F1186" s="372"/>
      <c r="G1186" s="370"/>
      <c r="H1186" s="363"/>
      <c r="I1186" s="370"/>
      <c r="J1186" s="370"/>
      <c r="K1186" s="381"/>
      <c r="L1186" s="363"/>
      <c r="M1186" s="367"/>
      <c r="N1186" s="379"/>
      <c r="O1186" s="379"/>
      <c r="P1186" s="379"/>
      <c r="Q1186" s="379"/>
      <c r="R1186" s="379"/>
      <c r="S1186" s="379"/>
      <c r="T1186" s="379"/>
      <c r="U1186" s="379"/>
      <c r="V1186" s="379"/>
      <c r="W1186" s="379"/>
      <c r="X1186" s="379"/>
      <c r="Y1186" s="379"/>
      <c r="Z1186" s="379"/>
      <c r="AA1186" s="379"/>
      <c r="AB1186" s="379"/>
      <c r="AC1186" s="379"/>
      <c r="AD1186" s="379"/>
      <c r="AE1186" s="379"/>
      <c r="AF1186" s="37"/>
      <c r="AG1186" s="379"/>
      <c r="AH1186" s="379"/>
      <c r="AI1186" s="379"/>
      <c r="AJ1186" s="379"/>
    </row>
    <row r="1187" customFormat="false" ht="12.75" hidden="false" customHeight="true" outlineLevel="0" collapsed="false">
      <c r="B1187" s="368"/>
      <c r="C1187" s="369"/>
      <c r="D1187" s="369"/>
      <c r="E1187" s="363"/>
      <c r="F1187" s="372"/>
      <c r="G1187" s="370"/>
      <c r="H1187" s="363"/>
      <c r="I1187" s="370"/>
      <c r="J1187" s="370"/>
      <c r="K1187" s="381"/>
      <c r="L1187" s="363"/>
      <c r="M1187" s="367"/>
      <c r="N1187" s="379"/>
      <c r="O1187" s="379"/>
      <c r="P1187" s="379"/>
      <c r="Q1187" s="379"/>
      <c r="R1187" s="379"/>
      <c r="S1187" s="379"/>
      <c r="T1187" s="379"/>
      <c r="U1187" s="379"/>
      <c r="V1187" s="379"/>
      <c r="W1187" s="379"/>
      <c r="X1187" s="379"/>
      <c r="Y1187" s="379"/>
      <c r="Z1187" s="379"/>
      <c r="AA1187" s="379"/>
      <c r="AB1187" s="379"/>
      <c r="AC1187" s="379"/>
      <c r="AD1187" s="379"/>
      <c r="AE1187" s="379"/>
      <c r="AF1187" s="37"/>
      <c r="AG1187" s="379"/>
      <c r="AH1187" s="379"/>
      <c r="AI1187" s="379"/>
      <c r="AJ1187" s="379"/>
    </row>
    <row r="1188" customFormat="false" ht="12.75" hidden="false" customHeight="true" outlineLevel="0" collapsed="false">
      <c r="B1188" s="368"/>
      <c r="C1188" s="369"/>
      <c r="D1188" s="369"/>
      <c r="E1188" s="363"/>
      <c r="F1188" s="372"/>
      <c r="G1188" s="370"/>
      <c r="H1188" s="363"/>
      <c r="I1188" s="370"/>
      <c r="J1188" s="370"/>
      <c r="K1188" s="381"/>
      <c r="L1188" s="363"/>
      <c r="M1188" s="367"/>
      <c r="N1188" s="379"/>
      <c r="O1188" s="379"/>
      <c r="P1188" s="379"/>
      <c r="Q1188" s="379"/>
      <c r="R1188" s="379"/>
      <c r="S1188" s="379"/>
      <c r="T1188" s="379"/>
      <c r="U1188" s="379"/>
      <c r="V1188" s="379"/>
      <c r="W1188" s="379"/>
      <c r="X1188" s="379"/>
      <c r="Y1188" s="379"/>
      <c r="Z1188" s="379"/>
      <c r="AA1188" s="379"/>
      <c r="AB1188" s="379"/>
      <c r="AC1188" s="379"/>
      <c r="AD1188" s="379"/>
      <c r="AE1188" s="379"/>
      <c r="AF1188" s="37"/>
      <c r="AG1188" s="379"/>
      <c r="AH1188" s="379"/>
      <c r="AI1188" s="379"/>
      <c r="AJ1188" s="379"/>
    </row>
    <row r="1189" customFormat="false" ht="12.75" hidden="false" customHeight="true" outlineLevel="0" collapsed="false">
      <c r="B1189" s="368"/>
      <c r="C1189" s="369"/>
      <c r="D1189" s="369"/>
      <c r="E1189" s="363"/>
      <c r="F1189" s="372"/>
      <c r="G1189" s="370"/>
      <c r="H1189" s="370"/>
      <c r="I1189" s="370"/>
      <c r="J1189" s="370"/>
      <c r="K1189" s="381"/>
      <c r="L1189" s="363"/>
      <c r="M1189" s="367"/>
      <c r="N1189" s="379"/>
      <c r="O1189" s="379"/>
      <c r="P1189" s="379"/>
      <c r="Q1189" s="379"/>
      <c r="R1189" s="379"/>
      <c r="S1189" s="379"/>
      <c r="T1189" s="379"/>
      <c r="U1189" s="379"/>
      <c r="V1189" s="379"/>
      <c r="W1189" s="379"/>
      <c r="X1189" s="379"/>
      <c r="Y1189" s="379"/>
      <c r="Z1189" s="379"/>
      <c r="AA1189" s="379"/>
      <c r="AB1189" s="379"/>
      <c r="AC1189" s="379"/>
      <c r="AD1189" s="379"/>
      <c r="AE1189" s="379"/>
      <c r="AF1189" s="37"/>
      <c r="AG1189" s="379"/>
      <c r="AH1189" s="379"/>
      <c r="AI1189" s="379"/>
      <c r="AJ1189" s="379"/>
    </row>
    <row r="1190" customFormat="false" ht="12.75" hidden="false" customHeight="true" outlineLevel="0" collapsed="false">
      <c r="B1190" s="368"/>
      <c r="C1190" s="369"/>
      <c r="D1190" s="369"/>
      <c r="E1190" s="363"/>
      <c r="F1190" s="372"/>
      <c r="G1190" s="370"/>
      <c r="H1190" s="363"/>
      <c r="I1190" s="370"/>
      <c r="J1190" s="370"/>
      <c r="K1190" s="381"/>
      <c r="L1190" s="363"/>
      <c r="M1190" s="367"/>
      <c r="N1190" s="379"/>
      <c r="O1190" s="379"/>
      <c r="P1190" s="379"/>
      <c r="Q1190" s="379"/>
      <c r="R1190" s="379"/>
      <c r="S1190" s="379"/>
      <c r="T1190" s="379"/>
      <c r="U1190" s="379"/>
      <c r="V1190" s="379"/>
      <c r="W1190" s="379"/>
      <c r="X1190" s="379"/>
      <c r="Y1190" s="379"/>
      <c r="Z1190" s="379"/>
      <c r="AA1190" s="379"/>
      <c r="AB1190" s="379"/>
      <c r="AC1190" s="379"/>
      <c r="AD1190" s="379"/>
      <c r="AE1190" s="379"/>
      <c r="AF1190" s="37"/>
      <c r="AG1190" s="379"/>
      <c r="AH1190" s="379"/>
      <c r="AI1190" s="379"/>
      <c r="AJ1190" s="379"/>
    </row>
    <row r="1191" customFormat="false" ht="12.75" hidden="false" customHeight="true" outlineLevel="0" collapsed="false">
      <c r="B1191" s="368"/>
      <c r="C1191" s="369"/>
      <c r="D1191" s="369"/>
      <c r="E1191" s="363"/>
      <c r="F1191" s="372"/>
      <c r="G1191" s="370"/>
      <c r="H1191" s="363"/>
      <c r="I1191" s="370"/>
      <c r="J1191" s="370"/>
      <c r="K1191" s="381"/>
      <c r="L1191" s="363"/>
      <c r="M1191" s="367"/>
      <c r="N1191" s="379"/>
      <c r="O1191" s="379"/>
      <c r="P1191" s="379"/>
      <c r="Q1191" s="379"/>
      <c r="R1191" s="379"/>
      <c r="S1191" s="379"/>
      <c r="T1191" s="379"/>
      <c r="U1191" s="379"/>
      <c r="V1191" s="379"/>
      <c r="W1191" s="379"/>
      <c r="X1191" s="379"/>
      <c r="Y1191" s="379"/>
      <c r="Z1191" s="379"/>
      <c r="AA1191" s="379"/>
      <c r="AB1191" s="379"/>
      <c r="AC1191" s="379"/>
      <c r="AD1191" s="379"/>
      <c r="AE1191" s="379"/>
      <c r="AF1191" s="37"/>
      <c r="AG1191" s="379"/>
      <c r="AH1191" s="379"/>
      <c r="AI1191" s="379"/>
      <c r="AJ1191" s="379"/>
    </row>
    <row r="1192" customFormat="false" ht="12.75" hidden="false" customHeight="true" outlineLevel="0" collapsed="false">
      <c r="B1192" s="368"/>
      <c r="C1192" s="369"/>
      <c r="D1192" s="369"/>
      <c r="E1192" s="363"/>
      <c r="F1192" s="372"/>
      <c r="G1192" s="370"/>
      <c r="H1192" s="363"/>
      <c r="I1192" s="370"/>
      <c r="J1192" s="370"/>
      <c r="K1192" s="381"/>
      <c r="L1192" s="363"/>
      <c r="M1192" s="367"/>
      <c r="N1192" s="379"/>
      <c r="O1192" s="379"/>
      <c r="P1192" s="379"/>
      <c r="Q1192" s="379"/>
      <c r="R1192" s="379"/>
      <c r="S1192" s="379"/>
      <c r="T1192" s="379"/>
      <c r="U1192" s="379"/>
      <c r="V1192" s="379"/>
      <c r="W1192" s="379"/>
      <c r="X1192" s="379"/>
      <c r="Y1192" s="379"/>
      <c r="Z1192" s="379"/>
      <c r="AA1192" s="379"/>
      <c r="AB1192" s="379"/>
      <c r="AC1192" s="379"/>
      <c r="AD1192" s="379"/>
      <c r="AE1192" s="379"/>
      <c r="AF1192" s="37"/>
      <c r="AG1192" s="379"/>
      <c r="AH1192" s="379"/>
      <c r="AI1192" s="379"/>
      <c r="AJ1192" s="379"/>
    </row>
    <row r="1193" customFormat="false" ht="12.75" hidden="false" customHeight="true" outlineLevel="0" collapsed="false">
      <c r="B1193" s="368"/>
      <c r="C1193" s="369"/>
      <c r="D1193" s="369"/>
      <c r="E1193" s="363"/>
      <c r="F1193" s="372"/>
      <c r="G1193" s="370"/>
      <c r="H1193" s="363"/>
      <c r="I1193" s="370"/>
      <c r="J1193" s="370"/>
      <c r="K1193" s="381"/>
      <c r="L1193" s="363"/>
      <c r="M1193" s="367"/>
      <c r="N1193" s="379"/>
      <c r="O1193" s="379"/>
      <c r="P1193" s="379"/>
      <c r="Q1193" s="379"/>
      <c r="R1193" s="379"/>
      <c r="S1193" s="379"/>
      <c r="T1193" s="379"/>
      <c r="U1193" s="379"/>
      <c r="V1193" s="379"/>
      <c r="W1193" s="379"/>
      <c r="X1193" s="379"/>
      <c r="Y1193" s="379"/>
      <c r="Z1193" s="379"/>
      <c r="AA1193" s="379"/>
      <c r="AB1193" s="379"/>
      <c r="AC1193" s="379"/>
      <c r="AD1193" s="379"/>
      <c r="AE1193" s="379"/>
      <c r="AF1193" s="37"/>
      <c r="AG1193" s="379"/>
      <c r="AH1193" s="379"/>
      <c r="AI1193" s="379"/>
      <c r="AJ1193" s="379"/>
    </row>
    <row r="1194" customFormat="false" ht="12.75" hidden="false" customHeight="true" outlineLevel="0" collapsed="false">
      <c r="B1194" s="368"/>
      <c r="C1194" s="369"/>
      <c r="D1194" s="369"/>
      <c r="E1194" s="363"/>
      <c r="F1194" s="372"/>
      <c r="G1194" s="370"/>
      <c r="H1194" s="363"/>
      <c r="I1194" s="370"/>
      <c r="J1194" s="370"/>
      <c r="K1194" s="381"/>
      <c r="L1194" s="363"/>
      <c r="M1194" s="367"/>
      <c r="N1194" s="379"/>
      <c r="O1194" s="379"/>
      <c r="P1194" s="379"/>
      <c r="Q1194" s="379"/>
      <c r="R1194" s="379"/>
      <c r="S1194" s="379"/>
      <c r="T1194" s="379"/>
      <c r="U1194" s="379"/>
      <c r="V1194" s="379"/>
      <c r="W1194" s="379"/>
      <c r="X1194" s="379"/>
      <c r="Y1194" s="379"/>
      <c r="Z1194" s="379"/>
      <c r="AA1194" s="379"/>
      <c r="AB1194" s="379"/>
      <c r="AC1194" s="379"/>
      <c r="AD1194" s="379"/>
      <c r="AE1194" s="379"/>
      <c r="AF1194" s="37"/>
      <c r="AG1194" s="379"/>
      <c r="AH1194" s="379"/>
      <c r="AI1194" s="379"/>
      <c r="AJ1194" s="379"/>
    </row>
    <row r="1195" customFormat="false" ht="12.75" hidden="false" customHeight="true" outlineLevel="0" collapsed="false">
      <c r="B1195" s="368"/>
      <c r="C1195" s="369"/>
      <c r="D1195" s="369"/>
      <c r="E1195" s="363"/>
      <c r="F1195" s="372"/>
      <c r="G1195" s="370"/>
      <c r="H1195" s="363"/>
      <c r="I1195" s="370"/>
      <c r="J1195" s="370"/>
      <c r="K1195" s="381"/>
      <c r="L1195" s="363"/>
      <c r="M1195" s="367"/>
      <c r="N1195" s="379"/>
      <c r="O1195" s="379"/>
      <c r="P1195" s="379"/>
      <c r="Q1195" s="379"/>
      <c r="R1195" s="379"/>
      <c r="S1195" s="379"/>
      <c r="T1195" s="379"/>
      <c r="U1195" s="379"/>
      <c r="V1195" s="379"/>
      <c r="W1195" s="379"/>
      <c r="X1195" s="379"/>
      <c r="Y1195" s="379"/>
      <c r="Z1195" s="379"/>
      <c r="AA1195" s="379"/>
      <c r="AB1195" s="379"/>
      <c r="AC1195" s="379"/>
      <c r="AD1195" s="379"/>
      <c r="AE1195" s="379"/>
      <c r="AF1195" s="37"/>
      <c r="AG1195" s="379"/>
      <c r="AH1195" s="379"/>
      <c r="AI1195" s="379"/>
      <c r="AJ1195" s="379"/>
    </row>
    <row r="1196" customFormat="false" ht="12.75" hidden="false" customHeight="true" outlineLevel="0" collapsed="false">
      <c r="B1196" s="368"/>
      <c r="C1196" s="369"/>
      <c r="D1196" s="369"/>
      <c r="E1196" s="363"/>
      <c r="F1196" s="372"/>
      <c r="G1196" s="370"/>
      <c r="H1196" s="363"/>
      <c r="I1196" s="370"/>
      <c r="J1196" s="370"/>
      <c r="K1196" s="381"/>
      <c r="L1196" s="363"/>
      <c r="M1196" s="367"/>
      <c r="N1196" s="379"/>
      <c r="O1196" s="379"/>
      <c r="P1196" s="379"/>
      <c r="Q1196" s="379"/>
      <c r="R1196" s="379"/>
      <c r="S1196" s="379"/>
      <c r="T1196" s="379"/>
      <c r="U1196" s="379"/>
      <c r="V1196" s="379"/>
      <c r="W1196" s="379"/>
      <c r="X1196" s="379"/>
      <c r="Y1196" s="379"/>
      <c r="Z1196" s="379"/>
      <c r="AA1196" s="379"/>
      <c r="AB1196" s="379"/>
      <c r="AC1196" s="379"/>
      <c r="AD1196" s="379"/>
      <c r="AE1196" s="379"/>
      <c r="AF1196" s="37"/>
      <c r="AG1196" s="379"/>
      <c r="AH1196" s="379"/>
      <c r="AI1196" s="379"/>
      <c r="AJ1196" s="379"/>
    </row>
    <row r="1197" customFormat="false" ht="12.75" hidden="false" customHeight="true" outlineLevel="0" collapsed="false">
      <c r="B1197" s="368"/>
      <c r="C1197" s="369"/>
      <c r="D1197" s="369"/>
      <c r="E1197" s="363"/>
      <c r="F1197" s="372"/>
      <c r="G1197" s="370"/>
      <c r="H1197" s="370"/>
      <c r="I1197" s="370"/>
      <c r="J1197" s="370"/>
      <c r="K1197" s="381"/>
      <c r="L1197" s="363"/>
      <c r="M1197" s="367"/>
      <c r="N1197" s="379"/>
      <c r="O1197" s="379"/>
      <c r="P1197" s="379"/>
      <c r="Q1197" s="379"/>
      <c r="R1197" s="379"/>
      <c r="S1197" s="379"/>
      <c r="T1197" s="379"/>
      <c r="U1197" s="379"/>
      <c r="V1197" s="379"/>
      <c r="W1197" s="379"/>
      <c r="X1197" s="379"/>
      <c r="Y1197" s="379"/>
      <c r="Z1197" s="379"/>
      <c r="AA1197" s="379"/>
      <c r="AB1197" s="379"/>
      <c r="AC1197" s="379"/>
      <c r="AD1197" s="379"/>
      <c r="AE1197" s="379"/>
      <c r="AF1197" s="37"/>
      <c r="AG1197" s="379"/>
      <c r="AH1197" s="379"/>
      <c r="AI1197" s="379"/>
      <c r="AJ1197" s="379"/>
    </row>
    <row r="1198" customFormat="false" ht="12.75" hidden="false" customHeight="true" outlineLevel="0" collapsed="false">
      <c r="B1198" s="368"/>
      <c r="C1198" s="369"/>
      <c r="D1198" s="369"/>
      <c r="E1198" s="363"/>
      <c r="F1198" s="372"/>
      <c r="G1198" s="370"/>
      <c r="H1198" s="363"/>
      <c r="I1198" s="370"/>
      <c r="J1198" s="370"/>
      <c r="K1198" s="381"/>
      <c r="L1198" s="363"/>
      <c r="M1198" s="367"/>
      <c r="N1198" s="379"/>
      <c r="O1198" s="379"/>
      <c r="P1198" s="379"/>
      <c r="Q1198" s="379"/>
      <c r="R1198" s="379"/>
      <c r="S1198" s="379"/>
      <c r="T1198" s="379"/>
      <c r="U1198" s="379"/>
      <c r="V1198" s="379"/>
      <c r="W1198" s="379"/>
      <c r="X1198" s="379"/>
      <c r="Y1198" s="379"/>
      <c r="Z1198" s="379"/>
      <c r="AA1198" s="379"/>
      <c r="AB1198" s="379"/>
      <c r="AC1198" s="379"/>
      <c r="AD1198" s="379"/>
      <c r="AE1198" s="379"/>
      <c r="AF1198" s="37"/>
      <c r="AG1198" s="379"/>
      <c r="AH1198" s="379"/>
      <c r="AI1198" s="379"/>
      <c r="AJ1198" s="379"/>
    </row>
    <row r="1199" customFormat="false" ht="12.75" hidden="false" customHeight="true" outlineLevel="0" collapsed="false">
      <c r="B1199" s="361"/>
      <c r="C1199" s="369"/>
      <c r="D1199" s="369"/>
      <c r="E1199" s="363"/>
      <c r="F1199" s="372"/>
      <c r="G1199" s="363"/>
      <c r="H1199" s="370"/>
      <c r="I1199" s="363"/>
      <c r="J1199" s="363"/>
      <c r="K1199" s="365"/>
      <c r="L1199" s="370"/>
      <c r="M1199" s="367"/>
    </row>
    <row r="1200" customFormat="false" ht="12.75" hidden="false" customHeight="true" outlineLevel="0" collapsed="false">
      <c r="B1200" s="361"/>
      <c r="C1200" s="369"/>
      <c r="D1200" s="369"/>
      <c r="E1200" s="363"/>
      <c r="F1200" s="372"/>
      <c r="G1200" s="363"/>
      <c r="H1200" s="370"/>
      <c r="I1200" s="363"/>
      <c r="J1200" s="363"/>
      <c r="K1200" s="365"/>
      <c r="L1200" s="363"/>
      <c r="M1200" s="367"/>
    </row>
    <row r="1201" customFormat="false" ht="12.75" hidden="false" customHeight="true" outlineLevel="0" collapsed="false">
      <c r="B1201" s="361"/>
      <c r="C1201" s="369"/>
      <c r="D1201" s="369"/>
      <c r="E1201" s="363"/>
      <c r="F1201" s="372"/>
      <c r="G1201" s="363"/>
      <c r="H1201" s="370"/>
      <c r="I1201" s="363"/>
      <c r="J1201" s="363"/>
      <c r="K1201" s="365"/>
      <c r="L1201" s="363"/>
      <c r="M1201" s="367"/>
    </row>
    <row r="1202" customFormat="false" ht="12.75" hidden="false" customHeight="true" outlineLevel="0" collapsed="false">
      <c r="B1202" s="361"/>
      <c r="C1202" s="369"/>
      <c r="D1202" s="369"/>
      <c r="E1202" s="363"/>
      <c r="F1202" s="372"/>
      <c r="G1202" s="363"/>
      <c r="H1202" s="370"/>
      <c r="I1202" s="363"/>
      <c r="J1202" s="363"/>
      <c r="K1202" s="365"/>
      <c r="L1202" s="363"/>
      <c r="M1202" s="367"/>
    </row>
    <row r="1203" customFormat="false" ht="12.75" hidden="false" customHeight="true" outlineLevel="0" collapsed="false">
      <c r="B1203" s="361"/>
      <c r="C1203" s="369"/>
      <c r="D1203" s="369"/>
      <c r="E1203" s="363"/>
      <c r="F1203" s="372"/>
      <c r="G1203" s="363"/>
      <c r="H1203" s="370"/>
      <c r="I1203" s="363"/>
      <c r="J1203" s="363"/>
      <c r="K1203" s="365"/>
      <c r="L1203" s="363"/>
      <c r="M1203" s="367"/>
    </row>
    <row r="1204" customFormat="false" ht="12.75" hidden="false" customHeight="true" outlineLevel="0" collapsed="false">
      <c r="B1204" s="361"/>
      <c r="C1204" s="369"/>
      <c r="D1204" s="369"/>
      <c r="E1204" s="363"/>
      <c r="F1204" s="372"/>
      <c r="G1204" s="363"/>
      <c r="H1204" s="370"/>
      <c r="I1204" s="363"/>
      <c r="J1204" s="363"/>
      <c r="K1204" s="365"/>
      <c r="L1204" s="363"/>
      <c r="M1204" s="367"/>
    </row>
    <row r="1205" customFormat="false" ht="12.75" hidden="false" customHeight="true" outlineLevel="0" collapsed="false">
      <c r="B1205" s="361"/>
      <c r="C1205" s="369"/>
      <c r="D1205" s="369"/>
      <c r="E1205" s="363"/>
      <c r="F1205" s="372"/>
      <c r="G1205" s="363"/>
      <c r="H1205" s="363"/>
      <c r="I1205" s="363"/>
      <c r="J1205" s="363"/>
      <c r="K1205" s="365"/>
      <c r="L1205" s="363"/>
      <c r="M1205" s="367"/>
    </row>
    <row r="1206" customFormat="false" ht="12.75" hidden="false" customHeight="true" outlineLevel="0" collapsed="false">
      <c r="B1206" s="361"/>
      <c r="C1206" s="369"/>
      <c r="D1206" s="369"/>
      <c r="E1206" s="363"/>
      <c r="F1206" s="372"/>
      <c r="G1206" s="363"/>
      <c r="H1206" s="370"/>
      <c r="I1206" s="363"/>
      <c r="J1206" s="363"/>
      <c r="K1206" s="365"/>
      <c r="L1206" s="363"/>
      <c r="M1206" s="367"/>
    </row>
    <row r="1207" customFormat="false" ht="12.75" hidden="false" customHeight="true" outlineLevel="0" collapsed="false">
      <c r="B1207" s="361"/>
      <c r="C1207" s="369"/>
      <c r="D1207" s="369"/>
      <c r="E1207" s="363"/>
      <c r="F1207" s="372"/>
      <c r="G1207" s="363"/>
      <c r="H1207" s="363"/>
      <c r="I1207" s="363"/>
      <c r="J1207" s="363"/>
      <c r="K1207" s="365"/>
      <c r="L1207" s="363"/>
      <c r="M1207" s="367"/>
    </row>
    <row r="1208" customFormat="false" ht="12.75" hidden="false" customHeight="true" outlineLevel="0" collapsed="false">
      <c r="B1208" s="361"/>
      <c r="C1208" s="369"/>
      <c r="D1208" s="369"/>
      <c r="E1208" s="363"/>
      <c r="F1208" s="372"/>
      <c r="G1208" s="363"/>
      <c r="H1208" s="363"/>
      <c r="I1208" s="363"/>
      <c r="J1208" s="363"/>
      <c r="K1208" s="365"/>
      <c r="L1208" s="363"/>
      <c r="M1208" s="367"/>
    </row>
    <row r="1209" customFormat="false" ht="12.75" hidden="false" customHeight="true" outlineLevel="0" collapsed="false">
      <c r="B1209" s="361"/>
      <c r="C1209" s="369"/>
      <c r="D1209" s="369"/>
      <c r="E1209" s="363"/>
      <c r="F1209" s="372"/>
      <c r="G1209" s="363"/>
      <c r="H1209" s="363"/>
      <c r="I1209" s="363"/>
      <c r="J1209" s="363"/>
      <c r="K1209" s="365"/>
      <c r="L1209" s="363"/>
      <c r="M1209" s="367"/>
    </row>
    <row r="1210" customFormat="false" ht="12.75" hidden="false" customHeight="true" outlineLevel="0" collapsed="false">
      <c r="B1210" s="361"/>
      <c r="C1210" s="369"/>
      <c r="D1210" s="369"/>
      <c r="E1210" s="363"/>
      <c r="F1210" s="372"/>
      <c r="G1210" s="363"/>
      <c r="H1210" s="370"/>
      <c r="I1210" s="363"/>
      <c r="J1210" s="363"/>
      <c r="K1210" s="365"/>
      <c r="L1210" s="363"/>
      <c r="M1210" s="367"/>
    </row>
    <row r="1211" customFormat="false" ht="12.75" hidden="false" customHeight="true" outlineLevel="0" collapsed="false">
      <c r="B1211" s="361"/>
      <c r="C1211" s="369"/>
      <c r="D1211" s="369"/>
      <c r="E1211" s="363"/>
      <c r="F1211" s="372"/>
      <c r="G1211" s="363"/>
      <c r="H1211" s="363"/>
      <c r="I1211" s="363"/>
      <c r="J1211" s="363"/>
      <c r="K1211" s="365"/>
      <c r="L1211" s="363"/>
      <c r="M1211" s="367"/>
    </row>
    <row r="1212" customFormat="false" ht="12.75" hidden="false" customHeight="true" outlineLevel="0" collapsed="false">
      <c r="B1212" s="361"/>
      <c r="C1212" s="369"/>
      <c r="D1212" s="369"/>
      <c r="E1212" s="363"/>
      <c r="F1212" s="372"/>
      <c r="G1212" s="363"/>
      <c r="H1212" s="363"/>
      <c r="I1212" s="363"/>
      <c r="J1212" s="363"/>
      <c r="K1212" s="365"/>
      <c r="L1212" s="363"/>
      <c r="M1212" s="367"/>
    </row>
    <row r="1213" customFormat="false" ht="12.75" hidden="false" customHeight="true" outlineLevel="0" collapsed="false">
      <c r="B1213" s="361"/>
      <c r="C1213" s="369"/>
      <c r="D1213" s="369"/>
      <c r="E1213" s="363"/>
      <c r="F1213" s="372"/>
      <c r="G1213" s="363"/>
      <c r="H1213" s="370"/>
      <c r="I1213" s="363"/>
      <c r="J1213" s="363"/>
      <c r="K1213" s="365"/>
      <c r="L1213" s="363"/>
      <c r="M1213" s="367"/>
    </row>
    <row r="1214" customFormat="false" ht="12.75" hidden="false" customHeight="true" outlineLevel="0" collapsed="false">
      <c r="B1214" s="361"/>
      <c r="C1214" s="369"/>
      <c r="D1214" s="369"/>
      <c r="E1214" s="363"/>
      <c r="F1214" s="372"/>
      <c r="G1214" s="363"/>
      <c r="H1214" s="363"/>
      <c r="I1214" s="363"/>
      <c r="J1214" s="363"/>
      <c r="K1214" s="365"/>
      <c r="L1214" s="363"/>
      <c r="M1214" s="367"/>
    </row>
    <row r="1215" customFormat="false" ht="12.75" hidden="false" customHeight="true" outlineLevel="0" collapsed="false">
      <c r="B1215" s="368"/>
      <c r="C1215" s="369"/>
      <c r="D1215" s="369"/>
      <c r="E1215" s="363"/>
      <c r="F1215" s="372"/>
      <c r="G1215" s="370"/>
      <c r="H1215" s="370"/>
      <c r="I1215" s="370"/>
      <c r="J1215" s="370"/>
      <c r="K1215" s="381"/>
      <c r="L1215" s="381"/>
      <c r="M1215" s="367"/>
    </row>
    <row r="1216" customFormat="false" ht="12.75" hidden="false" customHeight="true" outlineLevel="0" collapsed="false">
      <c r="B1216" s="368"/>
      <c r="C1216" s="369"/>
      <c r="D1216" s="369"/>
      <c r="E1216" s="363"/>
      <c r="F1216" s="372"/>
      <c r="G1216" s="370"/>
      <c r="H1216" s="370"/>
      <c r="I1216" s="370"/>
      <c r="J1216" s="370"/>
      <c r="K1216" s="382"/>
      <c r="L1216" s="363"/>
      <c r="M1216" s="367"/>
    </row>
    <row r="1217" customFormat="false" ht="12.75" hidden="false" customHeight="true" outlineLevel="0" collapsed="false">
      <c r="B1217" s="361"/>
      <c r="C1217" s="369"/>
      <c r="D1217" s="369"/>
      <c r="E1217" s="363"/>
      <c r="F1217" s="372"/>
      <c r="G1217" s="363"/>
      <c r="H1217" s="370"/>
      <c r="I1217" s="370"/>
      <c r="J1217" s="363"/>
      <c r="K1217" s="383"/>
      <c r="L1217" s="363"/>
      <c r="M1217" s="367"/>
    </row>
    <row r="1218" customFormat="false" ht="12.75" hidden="false" customHeight="true" outlineLevel="0" collapsed="false">
      <c r="B1218" s="361"/>
      <c r="C1218" s="369"/>
      <c r="D1218" s="369"/>
      <c r="E1218" s="363"/>
      <c r="F1218" s="372"/>
      <c r="G1218" s="363"/>
      <c r="H1218" s="370"/>
      <c r="I1218" s="370"/>
      <c r="J1218" s="363"/>
      <c r="K1218" s="383"/>
      <c r="L1218" s="363"/>
      <c r="M1218" s="367"/>
    </row>
    <row r="1219" customFormat="false" ht="12.75" hidden="false" customHeight="true" outlineLevel="0" collapsed="false">
      <c r="B1219" s="361"/>
      <c r="C1219" s="369"/>
      <c r="D1219" s="369"/>
      <c r="E1219" s="363"/>
      <c r="F1219" s="372"/>
      <c r="G1219" s="363"/>
      <c r="H1219" s="370"/>
      <c r="I1219" s="370"/>
      <c r="J1219" s="363"/>
      <c r="K1219" s="383"/>
      <c r="L1219" s="363"/>
      <c r="M1219" s="367"/>
    </row>
    <row r="1220" customFormat="false" ht="12.75" hidden="false" customHeight="true" outlineLevel="0" collapsed="false">
      <c r="B1220" s="361"/>
      <c r="C1220" s="369"/>
      <c r="D1220" s="369"/>
      <c r="E1220" s="363"/>
      <c r="F1220" s="374"/>
      <c r="G1220" s="363"/>
      <c r="H1220" s="370"/>
      <c r="I1220" s="370"/>
      <c r="J1220" s="363"/>
      <c r="K1220" s="383"/>
      <c r="L1220" s="363"/>
      <c r="M1220" s="367"/>
    </row>
    <row r="1221" customFormat="false" ht="12.75" hidden="false" customHeight="true" outlineLevel="0" collapsed="false">
      <c r="B1221" s="361"/>
      <c r="C1221" s="369"/>
      <c r="D1221" s="369"/>
      <c r="E1221" s="363"/>
      <c r="F1221" s="374"/>
      <c r="G1221" s="363"/>
      <c r="H1221" s="370"/>
      <c r="I1221" s="370"/>
      <c r="J1221" s="363"/>
      <c r="K1221" s="383"/>
      <c r="L1221" s="363"/>
      <c r="M1221" s="367"/>
    </row>
    <row r="1222" customFormat="false" ht="12.75" hidden="false" customHeight="true" outlineLevel="0" collapsed="false">
      <c r="B1222" s="361"/>
      <c r="C1222" s="369"/>
      <c r="D1222" s="369"/>
      <c r="E1222" s="363"/>
      <c r="F1222" s="374"/>
      <c r="G1222" s="370"/>
      <c r="H1222" s="363"/>
      <c r="I1222" s="370"/>
      <c r="J1222" s="370"/>
      <c r="K1222" s="383"/>
      <c r="L1222" s="363"/>
      <c r="M1222" s="367"/>
    </row>
    <row r="1223" customFormat="false" ht="12.75" hidden="false" customHeight="true" outlineLevel="0" collapsed="false">
      <c r="B1223" s="361"/>
      <c r="C1223" s="369"/>
      <c r="D1223" s="369"/>
      <c r="E1223" s="363"/>
      <c r="F1223" s="374"/>
      <c r="G1223" s="370"/>
      <c r="H1223" s="370"/>
      <c r="I1223" s="370"/>
      <c r="J1223" s="370"/>
      <c r="K1223" s="383"/>
      <c r="L1223" s="363"/>
      <c r="M1223" s="367"/>
    </row>
    <row r="1224" customFormat="false" ht="12.75" hidden="false" customHeight="true" outlineLevel="0" collapsed="false">
      <c r="B1224" s="361"/>
      <c r="C1224" s="369"/>
      <c r="D1224" s="369"/>
      <c r="E1224" s="363"/>
      <c r="F1224" s="374"/>
      <c r="G1224" s="370"/>
      <c r="H1224" s="370"/>
      <c r="I1224" s="370"/>
      <c r="J1224" s="370"/>
      <c r="K1224" s="383"/>
      <c r="L1224" s="363"/>
      <c r="M1224" s="367"/>
    </row>
    <row r="1225" customFormat="false" ht="12.75" hidden="false" customHeight="true" outlineLevel="0" collapsed="false">
      <c r="B1225" s="361"/>
      <c r="C1225" s="369"/>
      <c r="D1225" s="369"/>
      <c r="E1225" s="363"/>
      <c r="F1225" s="374"/>
      <c r="G1225" s="370"/>
      <c r="H1225" s="363"/>
      <c r="I1225" s="370"/>
      <c r="J1225" s="370"/>
      <c r="K1225" s="383"/>
      <c r="L1225" s="363"/>
      <c r="M1225" s="367"/>
    </row>
    <row r="1226" customFormat="false" ht="12.75" hidden="false" customHeight="true" outlineLevel="0" collapsed="false">
      <c r="B1226" s="361"/>
      <c r="C1226" s="369"/>
      <c r="D1226" s="369"/>
      <c r="E1226" s="363"/>
      <c r="F1226" s="372"/>
      <c r="G1226" s="370"/>
      <c r="H1226" s="370"/>
      <c r="I1226" s="370"/>
      <c r="J1226" s="370"/>
      <c r="K1226" s="383"/>
      <c r="L1226" s="363"/>
      <c r="M1226" s="367"/>
    </row>
    <row r="1227" customFormat="false" ht="12.75" hidden="false" customHeight="true" outlineLevel="0" collapsed="false">
      <c r="B1227" s="361"/>
      <c r="C1227" s="369"/>
      <c r="D1227" s="369"/>
      <c r="E1227" s="363"/>
      <c r="F1227" s="372"/>
      <c r="G1227" s="370"/>
      <c r="H1227" s="363"/>
      <c r="I1227" s="370"/>
      <c r="J1227" s="370"/>
      <c r="K1227" s="383"/>
      <c r="L1227" s="363"/>
      <c r="M1227" s="367"/>
    </row>
    <row r="1228" customFormat="false" ht="12.75" hidden="false" customHeight="true" outlineLevel="0" collapsed="false">
      <c r="B1228" s="361"/>
      <c r="C1228" s="369"/>
      <c r="D1228" s="369"/>
      <c r="E1228" s="363"/>
      <c r="F1228" s="372"/>
      <c r="G1228" s="370"/>
      <c r="H1228" s="370"/>
      <c r="I1228" s="370"/>
      <c r="J1228" s="370"/>
      <c r="K1228" s="383"/>
      <c r="L1228" s="363"/>
      <c r="M1228" s="367"/>
    </row>
    <row r="1229" customFormat="false" ht="12.75" hidden="false" customHeight="true" outlineLevel="0" collapsed="false">
      <c r="B1229" s="361"/>
      <c r="C1229" s="369"/>
      <c r="D1229" s="369"/>
      <c r="E1229" s="363"/>
      <c r="F1229" s="372"/>
      <c r="G1229" s="370"/>
      <c r="H1229" s="370"/>
      <c r="I1229" s="370"/>
      <c r="J1229" s="370"/>
      <c r="K1229" s="383"/>
      <c r="L1229" s="363"/>
      <c r="M1229" s="367"/>
    </row>
    <row r="1230" customFormat="false" ht="12.75" hidden="false" customHeight="true" outlineLevel="0" collapsed="false">
      <c r="B1230" s="361"/>
      <c r="C1230" s="369"/>
      <c r="D1230" s="369"/>
      <c r="E1230" s="363"/>
      <c r="F1230" s="372"/>
      <c r="G1230" s="370"/>
      <c r="H1230" s="363"/>
      <c r="I1230" s="370"/>
      <c r="J1230" s="370"/>
      <c r="K1230" s="383"/>
      <c r="L1230" s="363"/>
      <c r="M1230" s="367"/>
    </row>
    <row r="1231" customFormat="false" ht="12.75" hidden="false" customHeight="true" outlineLevel="0" collapsed="false">
      <c r="B1231" s="361"/>
      <c r="C1231" s="369"/>
      <c r="D1231" s="369"/>
      <c r="E1231" s="363"/>
      <c r="F1231" s="372"/>
      <c r="G1231" s="370"/>
      <c r="H1231" s="363"/>
      <c r="I1231" s="370"/>
      <c r="J1231" s="370"/>
      <c r="K1231" s="383"/>
      <c r="L1231" s="363"/>
      <c r="M1231" s="367"/>
    </row>
    <row r="1232" customFormat="false" ht="12.75" hidden="false" customHeight="true" outlineLevel="0" collapsed="false">
      <c r="B1232" s="361"/>
      <c r="C1232" s="369"/>
      <c r="D1232" s="369"/>
      <c r="E1232" s="363"/>
      <c r="F1232" s="372"/>
      <c r="G1232" s="370"/>
      <c r="H1232" s="363"/>
      <c r="I1232" s="370"/>
      <c r="J1232" s="370"/>
      <c r="K1232" s="383"/>
      <c r="L1232" s="363"/>
      <c r="M1232" s="367"/>
    </row>
    <row r="1233" customFormat="false" ht="12.75" hidden="false" customHeight="true" outlineLevel="0" collapsed="false">
      <c r="B1233" s="361"/>
      <c r="C1233" s="369"/>
      <c r="D1233" s="369"/>
      <c r="E1233" s="363"/>
      <c r="F1233" s="372"/>
      <c r="G1233" s="370"/>
      <c r="H1233" s="363"/>
      <c r="I1233" s="370"/>
      <c r="J1233" s="370"/>
      <c r="K1233" s="383"/>
      <c r="L1233" s="363"/>
      <c r="M1233" s="367"/>
    </row>
    <row r="1234" customFormat="false" ht="12.75" hidden="false" customHeight="true" outlineLevel="0" collapsed="false">
      <c r="B1234" s="361"/>
      <c r="C1234" s="369"/>
      <c r="D1234" s="369"/>
      <c r="E1234" s="363"/>
      <c r="F1234" s="372"/>
      <c r="G1234" s="370"/>
      <c r="H1234" s="363"/>
      <c r="I1234" s="370"/>
      <c r="J1234" s="370"/>
      <c r="K1234" s="383"/>
      <c r="L1234" s="363"/>
      <c r="M1234" s="367"/>
    </row>
    <row r="1235" customFormat="false" ht="12.75" hidden="false" customHeight="true" outlineLevel="0" collapsed="false">
      <c r="B1235" s="361"/>
      <c r="C1235" s="369"/>
      <c r="D1235" s="369"/>
      <c r="E1235" s="363"/>
      <c r="F1235" s="372"/>
      <c r="G1235" s="370"/>
      <c r="H1235" s="370"/>
      <c r="I1235" s="370"/>
      <c r="J1235" s="370"/>
      <c r="K1235" s="383"/>
      <c r="L1235" s="370"/>
      <c r="M1235" s="367"/>
    </row>
    <row r="1236" customFormat="false" ht="12.75" hidden="false" customHeight="true" outlineLevel="0" collapsed="false">
      <c r="B1236" s="361"/>
      <c r="C1236" s="369"/>
      <c r="D1236" s="369"/>
      <c r="E1236" s="363"/>
      <c r="F1236" s="372"/>
      <c r="G1236" s="370"/>
      <c r="H1236" s="363"/>
      <c r="I1236" s="370"/>
      <c r="J1236" s="370"/>
      <c r="K1236" s="383"/>
      <c r="L1236" s="363"/>
      <c r="M1236" s="367"/>
    </row>
    <row r="1237" customFormat="false" ht="12.75" hidden="false" customHeight="true" outlineLevel="0" collapsed="false">
      <c r="B1237" s="361"/>
      <c r="C1237" s="369"/>
      <c r="D1237" s="369"/>
      <c r="E1237" s="363"/>
      <c r="F1237" s="372"/>
      <c r="G1237" s="370"/>
      <c r="H1237" s="363"/>
      <c r="I1237" s="370"/>
      <c r="J1237" s="370"/>
      <c r="K1237" s="383"/>
      <c r="L1237" s="363"/>
      <c r="M1237" s="367"/>
    </row>
    <row r="1238" customFormat="false" ht="12.75" hidden="false" customHeight="true" outlineLevel="0" collapsed="false">
      <c r="B1238" s="361"/>
      <c r="C1238" s="369"/>
      <c r="D1238" s="369"/>
      <c r="E1238" s="363"/>
      <c r="F1238" s="372"/>
      <c r="G1238" s="370"/>
      <c r="H1238" s="370"/>
      <c r="I1238" s="370"/>
      <c r="J1238" s="370"/>
      <c r="K1238" s="383"/>
      <c r="L1238" s="363"/>
      <c r="M1238" s="367"/>
    </row>
    <row r="1239" customFormat="false" ht="12.75" hidden="false" customHeight="true" outlineLevel="0" collapsed="false">
      <c r="B1239" s="361"/>
      <c r="C1239" s="369"/>
      <c r="D1239" s="369"/>
      <c r="E1239" s="363"/>
      <c r="F1239" s="372"/>
      <c r="G1239" s="370"/>
      <c r="H1239" s="370"/>
      <c r="I1239" s="370"/>
      <c r="J1239" s="370"/>
      <c r="K1239" s="383"/>
      <c r="L1239" s="363"/>
      <c r="M1239" s="367"/>
    </row>
    <row r="1240" customFormat="false" ht="12.75" hidden="false" customHeight="true" outlineLevel="0" collapsed="false">
      <c r="B1240" s="361"/>
      <c r="C1240" s="369"/>
      <c r="D1240" s="369"/>
      <c r="E1240" s="363"/>
      <c r="F1240" s="372"/>
      <c r="G1240" s="370"/>
      <c r="H1240" s="370"/>
      <c r="I1240" s="370"/>
      <c r="J1240" s="370"/>
      <c r="K1240" s="383"/>
      <c r="L1240" s="363"/>
      <c r="M1240" s="367"/>
    </row>
    <row r="1241" customFormat="false" ht="12.75" hidden="false" customHeight="true" outlineLevel="0" collapsed="false">
      <c r="B1241" s="361"/>
      <c r="C1241" s="369"/>
      <c r="D1241" s="369"/>
      <c r="E1241" s="363"/>
      <c r="F1241" s="372"/>
      <c r="G1241" s="370"/>
      <c r="H1241" s="370"/>
      <c r="I1241" s="370"/>
      <c r="J1241" s="370"/>
      <c r="K1241" s="383"/>
      <c r="L1241" s="363"/>
      <c r="M1241" s="367"/>
    </row>
    <row r="1242" customFormat="false" ht="12.75" hidden="false" customHeight="true" outlineLevel="0" collapsed="false">
      <c r="B1242" s="361"/>
      <c r="C1242" s="369"/>
      <c r="D1242" s="369"/>
      <c r="E1242" s="363"/>
      <c r="F1242" s="372"/>
      <c r="G1242" s="370"/>
      <c r="H1242" s="370"/>
      <c r="I1242" s="370"/>
      <c r="J1242" s="370"/>
      <c r="K1242" s="383"/>
      <c r="L1242" s="363"/>
      <c r="M1242" s="367"/>
    </row>
    <row r="1243" customFormat="false" ht="12.75" hidden="false" customHeight="true" outlineLevel="0" collapsed="false">
      <c r="B1243" s="361"/>
      <c r="C1243" s="369"/>
      <c r="D1243" s="369"/>
      <c r="E1243" s="363"/>
      <c r="F1243" s="372"/>
      <c r="G1243" s="370"/>
      <c r="H1243" s="363"/>
      <c r="I1243" s="370"/>
      <c r="J1243" s="370"/>
      <c r="K1243" s="383"/>
      <c r="L1243" s="363"/>
      <c r="M1243" s="367"/>
    </row>
    <row r="1244" customFormat="false" ht="12.75" hidden="false" customHeight="true" outlineLevel="0" collapsed="false">
      <c r="B1244" s="361"/>
      <c r="C1244" s="369"/>
      <c r="D1244" s="369"/>
      <c r="E1244" s="363"/>
      <c r="F1244" s="372"/>
      <c r="G1244" s="370"/>
      <c r="H1244" s="363"/>
      <c r="I1244" s="370"/>
      <c r="J1244" s="370"/>
      <c r="K1244" s="383"/>
      <c r="L1244" s="363"/>
      <c r="M1244" s="367"/>
    </row>
    <row r="1245" customFormat="false" ht="12.75" hidden="false" customHeight="true" outlineLevel="0" collapsed="false">
      <c r="B1245" s="361"/>
      <c r="C1245" s="369"/>
      <c r="D1245" s="369"/>
      <c r="E1245" s="363"/>
      <c r="F1245" s="372"/>
      <c r="G1245" s="370"/>
      <c r="H1245" s="370"/>
      <c r="I1245" s="370"/>
      <c r="J1245" s="370"/>
      <c r="K1245" s="383"/>
      <c r="L1245" s="363"/>
      <c r="M1245" s="367"/>
    </row>
    <row r="1246" customFormat="false" ht="12.75" hidden="false" customHeight="true" outlineLevel="0" collapsed="false">
      <c r="B1246" s="361"/>
      <c r="C1246" s="369"/>
      <c r="D1246" s="369"/>
      <c r="E1246" s="363"/>
      <c r="F1246" s="374"/>
      <c r="G1246" s="363"/>
      <c r="H1246" s="363"/>
      <c r="I1246" s="363"/>
      <c r="J1246" s="363"/>
      <c r="K1246" s="363"/>
      <c r="L1246" s="363"/>
      <c r="M1246" s="367"/>
    </row>
    <row r="1247" customFormat="false" ht="12.75" hidden="false" customHeight="true" outlineLevel="0" collapsed="false">
      <c r="B1247" s="361"/>
      <c r="C1247" s="369"/>
      <c r="D1247" s="369"/>
      <c r="E1247" s="363"/>
      <c r="F1247" s="374"/>
      <c r="G1247" s="363"/>
      <c r="H1247" s="363"/>
      <c r="I1247" s="363"/>
      <c r="J1247" s="363"/>
      <c r="K1247" s="363"/>
      <c r="L1247" s="363"/>
      <c r="M1247" s="367"/>
    </row>
    <row r="1248" customFormat="false" ht="12.75" hidden="false" customHeight="true" outlineLevel="0" collapsed="false">
      <c r="B1248" s="361"/>
      <c r="C1248" s="369"/>
      <c r="D1248" s="369"/>
      <c r="E1248" s="363"/>
      <c r="F1248" s="374"/>
      <c r="G1248" s="363"/>
      <c r="H1248" s="363"/>
      <c r="I1248" s="363"/>
      <c r="J1248" s="363"/>
      <c r="K1248" s="363"/>
      <c r="L1248" s="363"/>
      <c r="M1248" s="367"/>
    </row>
    <row r="1249" customFormat="false" ht="12.75" hidden="false" customHeight="true" outlineLevel="0" collapsed="false">
      <c r="B1249" s="361"/>
      <c r="C1249" s="369"/>
      <c r="D1249" s="369"/>
      <c r="E1249" s="363"/>
      <c r="F1249" s="374"/>
      <c r="G1249" s="363"/>
      <c r="H1249" s="363"/>
      <c r="I1249" s="363"/>
      <c r="J1249" s="363"/>
      <c r="K1249" s="363"/>
      <c r="L1249" s="363"/>
      <c r="M1249" s="367"/>
    </row>
    <row r="1250" customFormat="false" ht="12.75" hidden="false" customHeight="true" outlineLevel="0" collapsed="false">
      <c r="B1250" s="361"/>
      <c r="C1250" s="369"/>
      <c r="D1250" s="369"/>
      <c r="E1250" s="363"/>
      <c r="F1250" s="374"/>
      <c r="G1250" s="363"/>
      <c r="H1250" s="363"/>
      <c r="I1250" s="363"/>
      <c r="J1250" s="363"/>
      <c r="K1250" s="363"/>
      <c r="L1250" s="363"/>
      <c r="M1250" s="367"/>
    </row>
    <row r="1251" customFormat="false" ht="12.75" hidden="false" customHeight="true" outlineLevel="0" collapsed="false">
      <c r="B1251" s="361"/>
      <c r="C1251" s="369"/>
      <c r="D1251" s="369"/>
      <c r="E1251" s="363"/>
      <c r="F1251" s="374"/>
      <c r="G1251" s="363"/>
      <c r="H1251" s="363"/>
      <c r="I1251" s="363"/>
      <c r="J1251" s="363"/>
      <c r="K1251" s="363"/>
      <c r="L1251" s="363"/>
      <c r="M1251" s="367"/>
    </row>
    <row r="1252" customFormat="false" ht="12.75" hidden="false" customHeight="true" outlineLevel="0" collapsed="false">
      <c r="B1252" s="361"/>
      <c r="C1252" s="369"/>
      <c r="D1252" s="369"/>
      <c r="E1252" s="363"/>
      <c r="F1252" s="374"/>
      <c r="G1252" s="363"/>
      <c r="H1252" s="363"/>
      <c r="I1252" s="363"/>
      <c r="J1252" s="363"/>
      <c r="K1252" s="363"/>
      <c r="L1252" s="363"/>
      <c r="M1252" s="367"/>
    </row>
    <row r="1253" customFormat="false" ht="12.75" hidden="false" customHeight="true" outlineLevel="0" collapsed="false">
      <c r="B1253" s="361"/>
      <c r="C1253" s="369"/>
      <c r="D1253" s="369"/>
      <c r="E1253" s="363"/>
      <c r="F1253" s="374"/>
      <c r="G1253" s="363"/>
      <c r="H1253" s="363"/>
      <c r="I1253" s="363"/>
      <c r="J1253" s="363"/>
      <c r="K1253" s="363"/>
      <c r="L1253" s="370"/>
      <c r="M1253" s="367"/>
    </row>
    <row r="1254" customFormat="false" ht="12.75" hidden="false" customHeight="true" outlineLevel="0" collapsed="false">
      <c r="B1254" s="361"/>
      <c r="C1254" s="369"/>
      <c r="D1254" s="369"/>
      <c r="E1254" s="363"/>
      <c r="F1254" s="374"/>
      <c r="G1254" s="363"/>
      <c r="H1254" s="363"/>
      <c r="I1254" s="363"/>
      <c r="J1254" s="363"/>
      <c r="K1254" s="363"/>
      <c r="L1254" s="363"/>
      <c r="M1254" s="367"/>
    </row>
    <row r="1255" customFormat="false" ht="12.75" hidden="false" customHeight="true" outlineLevel="0" collapsed="false">
      <c r="B1255" s="361"/>
      <c r="C1255" s="369"/>
      <c r="D1255" s="369"/>
      <c r="E1255" s="363"/>
      <c r="F1255" s="374"/>
      <c r="G1255" s="363"/>
      <c r="H1255" s="363"/>
      <c r="I1255" s="363"/>
      <c r="J1255" s="363"/>
      <c r="K1255" s="363"/>
      <c r="L1255" s="363"/>
      <c r="M1255" s="367"/>
    </row>
    <row r="1256" customFormat="false" ht="12.75" hidden="false" customHeight="true" outlineLevel="0" collapsed="false">
      <c r="B1256" s="361"/>
      <c r="C1256" s="369"/>
      <c r="D1256" s="369"/>
      <c r="E1256" s="363"/>
      <c r="F1256" s="374"/>
      <c r="G1256" s="363"/>
      <c r="H1256" s="363"/>
      <c r="I1256" s="363"/>
      <c r="J1256" s="363"/>
      <c r="K1256" s="363"/>
      <c r="L1256" s="363"/>
      <c r="M1256" s="367"/>
    </row>
    <row r="1257" customFormat="false" ht="12.75" hidden="false" customHeight="true" outlineLevel="0" collapsed="false">
      <c r="B1257" s="361"/>
      <c r="C1257" s="369"/>
      <c r="D1257" s="369"/>
      <c r="E1257" s="363"/>
      <c r="F1257" s="374"/>
      <c r="G1257" s="363"/>
      <c r="H1257" s="363"/>
      <c r="I1257" s="363"/>
      <c r="J1257" s="363"/>
      <c r="K1257" s="363"/>
      <c r="L1257" s="363"/>
      <c r="M1257" s="367"/>
    </row>
    <row r="1258" customFormat="false" ht="12.75" hidden="false" customHeight="true" outlineLevel="0" collapsed="false">
      <c r="B1258" s="361"/>
      <c r="C1258" s="369"/>
      <c r="D1258" s="369"/>
      <c r="E1258" s="363"/>
      <c r="F1258" s="374"/>
      <c r="G1258" s="363"/>
      <c r="H1258" s="363"/>
      <c r="I1258" s="363"/>
      <c r="J1258" s="363"/>
      <c r="K1258" s="363"/>
      <c r="L1258" s="363"/>
      <c r="M1258" s="367"/>
    </row>
    <row r="1259" customFormat="false" ht="12.75" hidden="false" customHeight="true" outlineLevel="0" collapsed="false">
      <c r="B1259" s="368"/>
      <c r="C1259" s="369"/>
      <c r="D1259" s="369"/>
      <c r="E1259" s="370"/>
      <c r="F1259" s="375"/>
      <c r="G1259" s="370"/>
      <c r="H1259" s="370"/>
      <c r="I1259" s="370"/>
      <c r="J1259" s="370"/>
      <c r="K1259" s="370"/>
      <c r="L1259" s="363"/>
      <c r="M1259" s="367"/>
    </row>
    <row r="1260" customFormat="false" ht="12.75" hidden="false" customHeight="true" outlineLevel="0" collapsed="false">
      <c r="B1260" s="361"/>
      <c r="C1260" s="369"/>
      <c r="D1260" s="369"/>
      <c r="E1260" s="363"/>
      <c r="F1260" s="374"/>
      <c r="G1260" s="363"/>
      <c r="H1260" s="363"/>
      <c r="I1260" s="363"/>
      <c r="J1260" s="363"/>
      <c r="K1260" s="363"/>
      <c r="L1260" s="363"/>
      <c r="M1260" s="367"/>
    </row>
    <row r="1261" customFormat="false" ht="12.75" hidden="false" customHeight="true" outlineLevel="0" collapsed="false">
      <c r="B1261" s="361"/>
      <c r="C1261" s="369"/>
      <c r="D1261" s="369"/>
      <c r="E1261" s="363"/>
      <c r="F1261" s="374"/>
      <c r="G1261" s="363"/>
      <c r="H1261" s="363"/>
      <c r="I1261" s="363"/>
      <c r="J1261" s="363"/>
      <c r="K1261" s="363"/>
      <c r="L1261" s="363"/>
      <c r="M1261" s="367"/>
    </row>
    <row r="1262" customFormat="false" ht="12.75" hidden="false" customHeight="true" outlineLevel="0" collapsed="false">
      <c r="B1262" s="361"/>
      <c r="C1262" s="369"/>
      <c r="D1262" s="369"/>
      <c r="E1262" s="363"/>
      <c r="F1262" s="374"/>
      <c r="G1262" s="363"/>
      <c r="H1262" s="363"/>
      <c r="I1262" s="363"/>
      <c r="J1262" s="363"/>
      <c r="K1262" s="363"/>
      <c r="L1262" s="363"/>
      <c r="M1262" s="367"/>
    </row>
    <row r="1263" customFormat="false" ht="12.75" hidden="false" customHeight="true" outlineLevel="0" collapsed="false">
      <c r="B1263" s="361"/>
      <c r="C1263" s="369"/>
      <c r="D1263" s="369"/>
      <c r="E1263" s="363"/>
      <c r="F1263" s="374"/>
      <c r="G1263" s="363"/>
      <c r="H1263" s="363"/>
      <c r="I1263" s="363"/>
      <c r="J1263" s="363"/>
      <c r="K1263" s="363"/>
      <c r="L1263" s="370"/>
      <c r="M1263" s="367"/>
    </row>
    <row r="1264" customFormat="false" ht="12.75" hidden="false" customHeight="true" outlineLevel="0" collapsed="false">
      <c r="B1264" s="361"/>
      <c r="C1264" s="369"/>
      <c r="D1264" s="369"/>
      <c r="E1264" s="363"/>
      <c r="F1264" s="374"/>
      <c r="G1264" s="363"/>
      <c r="H1264" s="363"/>
      <c r="I1264" s="363"/>
      <c r="J1264" s="363"/>
      <c r="K1264" s="363"/>
      <c r="L1264" s="363"/>
      <c r="M1264" s="367"/>
    </row>
    <row r="1265" customFormat="false" ht="12.75" hidden="false" customHeight="true" outlineLevel="0" collapsed="false">
      <c r="B1265" s="361"/>
      <c r="C1265" s="369"/>
      <c r="D1265" s="369"/>
      <c r="E1265" s="363"/>
      <c r="F1265" s="374"/>
      <c r="G1265" s="363"/>
      <c r="H1265" s="363"/>
      <c r="I1265" s="363"/>
      <c r="J1265" s="363"/>
      <c r="K1265" s="363"/>
      <c r="L1265" s="363"/>
      <c r="M1265" s="367"/>
    </row>
    <row r="1266" customFormat="false" ht="12.75" hidden="false" customHeight="true" outlineLevel="0" collapsed="false">
      <c r="B1266" s="361"/>
      <c r="C1266" s="369"/>
      <c r="D1266" s="369"/>
      <c r="E1266" s="363"/>
      <c r="F1266" s="374"/>
      <c r="G1266" s="363"/>
      <c r="H1266" s="363"/>
      <c r="I1266" s="363"/>
      <c r="J1266" s="363"/>
      <c r="K1266" s="363"/>
      <c r="L1266" s="363"/>
      <c r="M1266" s="367"/>
    </row>
    <row r="1267" customFormat="false" ht="12.75" hidden="false" customHeight="true" outlineLevel="0" collapsed="false">
      <c r="B1267" s="361"/>
      <c r="C1267" s="369"/>
      <c r="D1267" s="369"/>
      <c r="E1267" s="363"/>
      <c r="F1267" s="374"/>
      <c r="G1267" s="363"/>
      <c r="H1267" s="363"/>
      <c r="I1267" s="363"/>
      <c r="J1267" s="363"/>
      <c r="K1267" s="363"/>
      <c r="L1267" s="363"/>
      <c r="M1267" s="367"/>
    </row>
    <row r="1268" customFormat="false" ht="12.75" hidden="false" customHeight="true" outlineLevel="0" collapsed="false">
      <c r="B1268" s="361"/>
      <c r="C1268" s="369"/>
      <c r="D1268" s="369"/>
      <c r="E1268" s="363"/>
      <c r="F1268" s="374"/>
      <c r="G1268" s="363"/>
      <c r="H1268" s="363"/>
      <c r="I1268" s="363"/>
      <c r="J1268" s="363"/>
      <c r="K1268" s="363"/>
      <c r="L1268" s="363"/>
      <c r="M1268" s="367"/>
    </row>
    <row r="1269" customFormat="false" ht="12.75" hidden="false" customHeight="true" outlineLevel="0" collapsed="false">
      <c r="B1269" s="361"/>
      <c r="C1269" s="369"/>
      <c r="D1269" s="369"/>
      <c r="E1269" s="363"/>
      <c r="F1269" s="374"/>
      <c r="G1269" s="363"/>
      <c r="H1269" s="363"/>
      <c r="I1269" s="363"/>
      <c r="J1269" s="363"/>
      <c r="K1269" s="363"/>
      <c r="L1269" s="363"/>
      <c r="M1269" s="367"/>
    </row>
    <row r="1270" customFormat="false" ht="12.75" hidden="false" customHeight="true" outlineLevel="0" collapsed="false">
      <c r="B1270" s="361"/>
      <c r="C1270" s="369"/>
      <c r="D1270" s="369"/>
      <c r="E1270" s="363"/>
      <c r="F1270" s="374"/>
      <c r="G1270" s="363"/>
      <c r="H1270" s="363"/>
      <c r="I1270" s="363"/>
      <c r="J1270" s="363"/>
      <c r="K1270" s="363"/>
      <c r="L1270" s="363"/>
      <c r="M1270" s="367"/>
    </row>
    <row r="1271" customFormat="false" ht="12.75" hidden="false" customHeight="true" outlineLevel="0" collapsed="false">
      <c r="B1271" s="361"/>
      <c r="C1271" s="369"/>
      <c r="D1271" s="369"/>
      <c r="E1271" s="363"/>
      <c r="F1271" s="374"/>
      <c r="G1271" s="363"/>
      <c r="H1271" s="363"/>
      <c r="I1271" s="363"/>
      <c r="J1271" s="363"/>
      <c r="K1271" s="363"/>
      <c r="L1271" s="363"/>
      <c r="M1271" s="367"/>
    </row>
    <row r="1272" customFormat="false" ht="12.75" hidden="false" customHeight="true" outlineLevel="0" collapsed="false">
      <c r="B1272" s="361"/>
      <c r="C1272" s="369"/>
      <c r="D1272" s="369"/>
      <c r="E1272" s="363"/>
      <c r="F1272" s="374"/>
      <c r="G1272" s="363"/>
      <c r="H1272" s="363"/>
      <c r="I1272" s="363"/>
      <c r="J1272" s="363"/>
      <c r="K1272" s="363"/>
      <c r="L1272" s="363"/>
      <c r="M1272" s="367"/>
    </row>
    <row r="1273" customFormat="false" ht="12.75" hidden="false" customHeight="true" outlineLevel="0" collapsed="false">
      <c r="B1273" s="361"/>
      <c r="C1273" s="369"/>
      <c r="D1273" s="369"/>
      <c r="E1273" s="363"/>
      <c r="F1273" s="374"/>
      <c r="G1273" s="363"/>
      <c r="H1273" s="363"/>
      <c r="I1273" s="363"/>
      <c r="J1273" s="363"/>
      <c r="K1273" s="363"/>
      <c r="L1273" s="363"/>
      <c r="M1273" s="367"/>
    </row>
    <row r="1274" customFormat="false" ht="12.75" hidden="false" customHeight="true" outlineLevel="0" collapsed="false">
      <c r="B1274" s="361"/>
      <c r="C1274" s="369"/>
      <c r="D1274" s="369"/>
      <c r="E1274" s="363"/>
      <c r="F1274" s="374"/>
      <c r="G1274" s="363"/>
      <c r="H1274" s="363"/>
      <c r="I1274" s="363"/>
      <c r="J1274" s="363"/>
      <c r="K1274" s="363"/>
      <c r="L1274" s="363"/>
      <c r="M1274" s="367"/>
    </row>
    <row r="1275" customFormat="false" ht="12.75" hidden="false" customHeight="true" outlineLevel="0" collapsed="false">
      <c r="B1275" s="361"/>
      <c r="C1275" s="369"/>
      <c r="D1275" s="369"/>
      <c r="E1275" s="363"/>
      <c r="F1275" s="374"/>
      <c r="G1275" s="363"/>
      <c r="H1275" s="363"/>
      <c r="I1275" s="363"/>
      <c r="J1275" s="363"/>
      <c r="K1275" s="363"/>
      <c r="L1275" s="363"/>
      <c r="M1275" s="367"/>
    </row>
    <row r="1276" customFormat="false" ht="12.75" hidden="false" customHeight="true" outlineLevel="0" collapsed="false">
      <c r="B1276" s="361"/>
      <c r="C1276" s="369"/>
      <c r="D1276" s="369"/>
      <c r="E1276" s="363"/>
      <c r="F1276" s="374"/>
      <c r="G1276" s="363"/>
      <c r="H1276" s="363"/>
      <c r="I1276" s="363"/>
      <c r="J1276" s="363"/>
      <c r="K1276" s="363"/>
      <c r="L1276" s="363"/>
      <c r="M1276" s="367"/>
    </row>
    <row r="1277" customFormat="false" ht="12.75" hidden="false" customHeight="true" outlineLevel="0" collapsed="false">
      <c r="B1277" s="361"/>
      <c r="C1277" s="369"/>
      <c r="D1277" s="369"/>
      <c r="E1277" s="363"/>
      <c r="F1277" s="374"/>
      <c r="G1277" s="363"/>
      <c r="H1277" s="363"/>
      <c r="I1277" s="363"/>
      <c r="J1277" s="363"/>
      <c r="K1277" s="363"/>
      <c r="L1277" s="363"/>
      <c r="M1277" s="367"/>
    </row>
    <row r="1278" customFormat="false" ht="12.75" hidden="false" customHeight="true" outlineLevel="0" collapsed="false">
      <c r="B1278" s="361"/>
      <c r="C1278" s="369"/>
      <c r="D1278" s="369"/>
      <c r="E1278" s="363"/>
      <c r="F1278" s="374"/>
      <c r="G1278" s="363"/>
      <c r="H1278" s="363"/>
      <c r="I1278" s="363"/>
      <c r="J1278" s="363"/>
      <c r="K1278" s="363"/>
      <c r="L1278" s="363"/>
      <c r="M1278" s="367"/>
    </row>
    <row r="1279" customFormat="false" ht="12.75" hidden="false" customHeight="true" outlineLevel="0" collapsed="false">
      <c r="B1279" s="368"/>
      <c r="C1279" s="369"/>
      <c r="D1279" s="369"/>
      <c r="E1279" s="370"/>
      <c r="F1279" s="375"/>
      <c r="G1279" s="370"/>
      <c r="H1279" s="370"/>
      <c r="I1279" s="370"/>
      <c r="J1279" s="370"/>
      <c r="K1279" s="370"/>
      <c r="L1279" s="363"/>
      <c r="M1279" s="367"/>
    </row>
    <row r="1280" customFormat="false" ht="12.75" hidden="false" customHeight="true" outlineLevel="0" collapsed="false">
      <c r="B1280" s="361"/>
      <c r="C1280" s="369"/>
      <c r="D1280" s="369"/>
      <c r="E1280" s="363"/>
      <c r="F1280" s="374"/>
      <c r="G1280" s="363"/>
      <c r="H1280" s="363"/>
      <c r="I1280" s="363"/>
      <c r="J1280" s="363"/>
      <c r="K1280" s="363"/>
      <c r="L1280" s="363"/>
      <c r="M1280" s="367"/>
    </row>
    <row r="1281" customFormat="false" ht="12.75" hidden="false" customHeight="true" outlineLevel="0" collapsed="false">
      <c r="B1281" s="361"/>
      <c r="C1281" s="369"/>
      <c r="D1281" s="369"/>
      <c r="E1281" s="363"/>
      <c r="F1281" s="374"/>
      <c r="G1281" s="363"/>
      <c r="H1281" s="363"/>
      <c r="I1281" s="363"/>
      <c r="J1281" s="363"/>
      <c r="K1281" s="363"/>
      <c r="L1281" s="363"/>
      <c r="M1281" s="367"/>
    </row>
    <row r="1282" customFormat="false" ht="12.75" hidden="false" customHeight="true" outlineLevel="0" collapsed="false">
      <c r="B1282" s="361"/>
      <c r="C1282" s="369"/>
      <c r="D1282" s="369"/>
      <c r="E1282" s="363"/>
      <c r="F1282" s="374"/>
      <c r="G1282" s="363"/>
      <c r="H1282" s="363"/>
      <c r="I1282" s="363"/>
      <c r="J1282" s="363"/>
      <c r="K1282" s="363"/>
      <c r="L1282" s="363"/>
      <c r="M1282" s="367"/>
    </row>
    <row r="1283" customFormat="false" ht="12.75" hidden="false" customHeight="true" outlineLevel="0" collapsed="false">
      <c r="B1283" s="368"/>
      <c r="C1283" s="369"/>
      <c r="D1283" s="369"/>
      <c r="E1283" s="370"/>
      <c r="F1283" s="375"/>
      <c r="G1283" s="370"/>
      <c r="H1283" s="370"/>
      <c r="I1283" s="370"/>
      <c r="J1283" s="370"/>
      <c r="K1283" s="370"/>
      <c r="L1283" s="363"/>
      <c r="M1283" s="367"/>
    </row>
    <row r="1284" customFormat="false" ht="12.75" hidden="false" customHeight="true" outlineLevel="0" collapsed="false">
      <c r="B1284" s="361"/>
      <c r="C1284" s="369"/>
      <c r="D1284" s="369"/>
      <c r="E1284" s="363"/>
      <c r="F1284" s="374"/>
      <c r="G1284" s="363"/>
      <c r="H1284" s="363"/>
      <c r="I1284" s="363"/>
      <c r="J1284" s="363"/>
      <c r="K1284" s="363"/>
      <c r="L1284" s="363"/>
      <c r="M1284" s="367"/>
    </row>
    <row r="1285" customFormat="false" ht="12.75" hidden="false" customHeight="true" outlineLevel="0" collapsed="false">
      <c r="B1285" s="361"/>
      <c r="C1285" s="369"/>
      <c r="D1285" s="369"/>
      <c r="E1285" s="363"/>
      <c r="F1285" s="374"/>
      <c r="G1285" s="363"/>
      <c r="H1285" s="363"/>
      <c r="I1285" s="363"/>
      <c r="J1285" s="363"/>
      <c r="K1285" s="363"/>
      <c r="L1285" s="363"/>
      <c r="M1285" s="367"/>
    </row>
    <row r="1286" customFormat="false" ht="12.75" hidden="false" customHeight="true" outlineLevel="0" collapsed="false">
      <c r="B1286" s="361"/>
      <c r="C1286" s="369"/>
      <c r="D1286" s="369"/>
      <c r="E1286" s="363"/>
      <c r="F1286" s="374"/>
      <c r="G1286" s="363"/>
      <c r="H1286" s="363"/>
      <c r="I1286" s="363"/>
      <c r="J1286" s="363"/>
      <c r="K1286" s="363"/>
      <c r="L1286" s="363"/>
      <c r="M1286" s="367"/>
    </row>
    <row r="1287" customFormat="false" ht="12.75" hidden="false" customHeight="true" outlineLevel="0" collapsed="false">
      <c r="B1287" s="361"/>
      <c r="C1287" s="369"/>
      <c r="D1287" s="369"/>
      <c r="E1287" s="363"/>
      <c r="F1287" s="374"/>
      <c r="G1287" s="363"/>
      <c r="H1287" s="363"/>
      <c r="I1287" s="363"/>
      <c r="J1287" s="363"/>
      <c r="K1287" s="363"/>
      <c r="L1287" s="363"/>
      <c r="M1287" s="367"/>
    </row>
    <row r="1288" customFormat="false" ht="12.75" hidden="false" customHeight="true" outlineLevel="0" collapsed="false">
      <c r="B1288" s="361"/>
      <c r="C1288" s="369"/>
      <c r="D1288" s="369"/>
      <c r="E1288" s="363"/>
      <c r="F1288" s="374"/>
      <c r="G1288" s="363"/>
      <c r="H1288" s="363"/>
      <c r="I1288" s="363"/>
      <c r="J1288" s="363"/>
      <c r="K1288" s="363"/>
      <c r="L1288" s="363"/>
      <c r="M1288" s="367"/>
    </row>
    <row r="1289" customFormat="false" ht="12.75" hidden="false" customHeight="true" outlineLevel="0" collapsed="false">
      <c r="B1289" s="361"/>
      <c r="C1289" s="369"/>
      <c r="D1289" s="369"/>
      <c r="E1289" s="363"/>
      <c r="F1289" s="374"/>
      <c r="G1289" s="363"/>
      <c r="H1289" s="370"/>
      <c r="I1289" s="363"/>
      <c r="J1289" s="363"/>
      <c r="K1289" s="363"/>
      <c r="L1289" s="363"/>
      <c r="M1289" s="367"/>
    </row>
    <row r="1290" customFormat="false" ht="12.75" hidden="false" customHeight="true" outlineLevel="0" collapsed="false">
      <c r="B1290" s="361"/>
      <c r="C1290" s="369"/>
      <c r="D1290" s="369"/>
      <c r="E1290" s="363"/>
      <c r="F1290" s="374"/>
      <c r="G1290" s="363"/>
      <c r="H1290" s="370"/>
      <c r="I1290" s="363"/>
      <c r="J1290" s="363"/>
      <c r="K1290" s="363"/>
      <c r="L1290" s="363"/>
      <c r="M1290" s="367"/>
    </row>
    <row r="1291" customFormat="false" ht="12.75" hidden="false" customHeight="true" outlineLevel="0" collapsed="false">
      <c r="B1291" s="361"/>
      <c r="C1291" s="369"/>
      <c r="D1291" s="369"/>
      <c r="E1291" s="363"/>
      <c r="F1291" s="374"/>
      <c r="G1291" s="363"/>
      <c r="H1291" s="363"/>
      <c r="I1291" s="363"/>
      <c r="J1291" s="363"/>
      <c r="K1291" s="363"/>
      <c r="L1291" s="363"/>
      <c r="M1291" s="367"/>
    </row>
    <row r="1292" customFormat="false" ht="12.75" hidden="false" customHeight="true" outlineLevel="0" collapsed="false">
      <c r="B1292" s="361"/>
      <c r="C1292" s="369"/>
      <c r="D1292" s="369"/>
      <c r="E1292" s="363"/>
      <c r="F1292" s="374"/>
      <c r="G1292" s="363"/>
      <c r="H1292" s="363"/>
      <c r="I1292" s="363"/>
      <c r="J1292" s="363"/>
      <c r="K1292" s="363"/>
      <c r="L1292" s="363"/>
      <c r="M1292" s="367"/>
    </row>
    <row r="1293" customFormat="false" ht="12.75" hidden="false" customHeight="true" outlineLevel="0" collapsed="false">
      <c r="B1293" s="361"/>
      <c r="C1293" s="369"/>
      <c r="D1293" s="369"/>
      <c r="E1293" s="363"/>
      <c r="F1293" s="374"/>
      <c r="G1293" s="363"/>
      <c r="H1293" s="363"/>
      <c r="I1293" s="363"/>
      <c r="J1293" s="363"/>
      <c r="K1293" s="363"/>
      <c r="L1293" s="370"/>
      <c r="M1293" s="367"/>
    </row>
    <row r="1294" customFormat="false" ht="12.75" hidden="false" customHeight="true" outlineLevel="0" collapsed="false">
      <c r="B1294" s="361"/>
      <c r="C1294" s="369"/>
      <c r="D1294" s="369"/>
      <c r="E1294" s="363"/>
      <c r="F1294" s="374"/>
      <c r="G1294" s="363"/>
      <c r="H1294" s="363"/>
      <c r="I1294" s="363"/>
      <c r="J1294" s="363"/>
      <c r="K1294" s="363"/>
      <c r="L1294" s="363"/>
      <c r="M1294" s="367"/>
    </row>
    <row r="1295" customFormat="false" ht="12.75" hidden="false" customHeight="true" outlineLevel="0" collapsed="false">
      <c r="B1295" s="361"/>
      <c r="C1295" s="369"/>
      <c r="D1295" s="369"/>
      <c r="E1295" s="363"/>
      <c r="F1295" s="374"/>
      <c r="G1295" s="363"/>
      <c r="H1295" s="363"/>
      <c r="I1295" s="363"/>
      <c r="J1295" s="363"/>
      <c r="K1295" s="363"/>
      <c r="L1295" s="363"/>
      <c r="M1295" s="367"/>
    </row>
    <row r="1296" customFormat="false" ht="12.75" hidden="false" customHeight="true" outlineLevel="0" collapsed="false">
      <c r="B1296" s="361"/>
      <c r="C1296" s="369"/>
      <c r="D1296" s="369"/>
      <c r="E1296" s="363"/>
      <c r="F1296" s="374"/>
      <c r="G1296" s="363"/>
      <c r="H1296" s="363"/>
      <c r="I1296" s="363"/>
      <c r="J1296" s="363"/>
      <c r="K1296" s="363"/>
      <c r="L1296" s="363"/>
      <c r="M1296" s="367"/>
    </row>
    <row r="1297" customFormat="false" ht="12.75" hidden="false" customHeight="true" outlineLevel="0" collapsed="false">
      <c r="B1297" s="361"/>
      <c r="C1297" s="369"/>
      <c r="D1297" s="369"/>
      <c r="E1297" s="363"/>
      <c r="F1297" s="374"/>
      <c r="G1297" s="363"/>
      <c r="H1297" s="363"/>
      <c r="I1297" s="363"/>
      <c r="J1297" s="363"/>
      <c r="K1297" s="363"/>
      <c r="L1297" s="363"/>
      <c r="M1297" s="367"/>
    </row>
    <row r="1298" customFormat="false" ht="12.75" hidden="false" customHeight="true" outlineLevel="0" collapsed="false">
      <c r="B1298" s="361"/>
      <c r="C1298" s="369"/>
      <c r="D1298" s="369"/>
      <c r="E1298" s="363"/>
      <c r="F1298" s="374"/>
      <c r="G1298" s="363"/>
      <c r="H1298" s="363"/>
      <c r="I1298" s="363"/>
      <c r="J1298" s="363"/>
      <c r="K1298" s="363"/>
      <c r="L1298" s="363"/>
      <c r="M1298" s="367"/>
    </row>
    <row r="1299" customFormat="false" ht="12.75" hidden="false" customHeight="true" outlineLevel="0" collapsed="false">
      <c r="B1299" s="361"/>
      <c r="C1299" s="369"/>
      <c r="D1299" s="369"/>
      <c r="E1299" s="363"/>
      <c r="F1299" s="374"/>
      <c r="G1299" s="363"/>
      <c r="H1299" s="370"/>
      <c r="I1299" s="363"/>
      <c r="J1299" s="363"/>
      <c r="K1299" s="363"/>
      <c r="L1299" s="363"/>
      <c r="M1299" s="367"/>
    </row>
    <row r="1300" customFormat="false" ht="12.75" hidden="false" customHeight="true" outlineLevel="0" collapsed="false">
      <c r="B1300" s="361"/>
      <c r="C1300" s="369"/>
      <c r="D1300" s="369"/>
      <c r="E1300" s="363"/>
      <c r="F1300" s="374"/>
      <c r="G1300" s="363"/>
      <c r="H1300" s="363"/>
      <c r="I1300" s="363"/>
      <c r="J1300" s="363"/>
      <c r="K1300" s="363"/>
      <c r="L1300" s="363"/>
      <c r="M1300" s="367"/>
    </row>
    <row r="1301" customFormat="false" ht="12.75" hidden="false" customHeight="true" outlineLevel="0" collapsed="false">
      <c r="B1301" s="361"/>
      <c r="C1301" s="369"/>
      <c r="D1301" s="369"/>
      <c r="E1301" s="363"/>
      <c r="F1301" s="374"/>
      <c r="G1301" s="363"/>
      <c r="H1301" s="363"/>
      <c r="I1301" s="363"/>
      <c r="J1301" s="363"/>
      <c r="K1301" s="363"/>
      <c r="L1301" s="363"/>
      <c r="M1301" s="367"/>
    </row>
    <row r="1302" customFormat="false" ht="12.75" hidden="false" customHeight="true" outlineLevel="0" collapsed="false">
      <c r="B1302" s="361"/>
      <c r="C1302" s="369"/>
      <c r="D1302" s="369"/>
      <c r="E1302" s="363"/>
      <c r="F1302" s="374"/>
      <c r="G1302" s="363"/>
      <c r="H1302" s="363"/>
      <c r="I1302" s="363"/>
      <c r="J1302" s="363"/>
      <c r="K1302" s="363"/>
      <c r="L1302" s="363"/>
      <c r="M1302" s="367"/>
    </row>
    <row r="1303" customFormat="false" ht="12.75" hidden="false" customHeight="true" outlineLevel="0" collapsed="false">
      <c r="B1303" s="361"/>
      <c r="C1303" s="369"/>
      <c r="D1303" s="369"/>
      <c r="E1303" s="363"/>
      <c r="F1303" s="374"/>
      <c r="G1303" s="363"/>
      <c r="H1303" s="363"/>
      <c r="I1303" s="363"/>
      <c r="J1303" s="363"/>
      <c r="K1303" s="363"/>
      <c r="L1303" s="370"/>
      <c r="M1303" s="367"/>
    </row>
    <row r="1304" customFormat="false" ht="12.75" hidden="false" customHeight="true" outlineLevel="0" collapsed="false">
      <c r="B1304" s="361"/>
      <c r="C1304" s="369"/>
      <c r="D1304" s="369"/>
      <c r="E1304" s="363"/>
      <c r="F1304" s="374"/>
      <c r="G1304" s="363"/>
      <c r="H1304" s="363"/>
      <c r="I1304" s="363"/>
      <c r="J1304" s="363"/>
      <c r="K1304" s="363"/>
      <c r="L1304" s="363"/>
      <c r="M1304" s="367"/>
    </row>
    <row r="1305" customFormat="false" ht="12.75" hidden="false" customHeight="true" outlineLevel="0" collapsed="false">
      <c r="B1305" s="361"/>
      <c r="C1305" s="369"/>
      <c r="D1305" s="369"/>
      <c r="E1305" s="363"/>
      <c r="F1305" s="374"/>
      <c r="G1305" s="363"/>
      <c r="H1305" s="363"/>
      <c r="I1305" s="363"/>
      <c r="J1305" s="363"/>
      <c r="K1305" s="363"/>
      <c r="L1305" s="363"/>
      <c r="M1305" s="367"/>
    </row>
    <row r="1306" customFormat="false" ht="12.75" hidden="false" customHeight="true" outlineLevel="0" collapsed="false">
      <c r="B1306" s="361"/>
      <c r="C1306" s="369"/>
      <c r="D1306" s="369"/>
      <c r="E1306" s="363"/>
      <c r="F1306" s="374"/>
      <c r="G1306" s="363"/>
      <c r="H1306" s="363"/>
      <c r="I1306" s="363"/>
      <c r="J1306" s="363"/>
      <c r="K1306" s="363"/>
      <c r="L1306" s="363"/>
      <c r="M1306" s="367"/>
    </row>
    <row r="1307" customFormat="false" ht="12.75" hidden="false" customHeight="true" outlineLevel="0" collapsed="false">
      <c r="B1307" s="361"/>
      <c r="C1307" s="369"/>
      <c r="D1307" s="369"/>
      <c r="E1307" s="363"/>
      <c r="F1307" s="374"/>
      <c r="G1307" s="363"/>
      <c r="H1307" s="363"/>
      <c r="I1307" s="363"/>
      <c r="J1307" s="363"/>
      <c r="K1307" s="363"/>
      <c r="L1307" s="363"/>
      <c r="M1307" s="367"/>
    </row>
    <row r="1308" customFormat="false" ht="12.75" hidden="false" customHeight="true" outlineLevel="0" collapsed="false">
      <c r="B1308" s="361"/>
      <c r="C1308" s="369"/>
      <c r="D1308" s="369"/>
      <c r="E1308" s="363"/>
      <c r="F1308" s="374"/>
      <c r="G1308" s="363"/>
      <c r="H1308" s="363"/>
      <c r="I1308" s="363"/>
      <c r="J1308" s="363"/>
      <c r="K1308" s="363"/>
      <c r="L1308" s="363"/>
      <c r="M1308" s="367"/>
    </row>
    <row r="1309" customFormat="false" ht="12.75" hidden="false" customHeight="true" outlineLevel="0" collapsed="false">
      <c r="B1309" s="361"/>
      <c r="C1309" s="369"/>
      <c r="D1309" s="369"/>
      <c r="E1309" s="363"/>
      <c r="F1309" s="374"/>
      <c r="G1309" s="363"/>
      <c r="H1309" s="363"/>
      <c r="I1309" s="363"/>
      <c r="J1309" s="363"/>
      <c r="K1309" s="363"/>
      <c r="L1309" s="363"/>
      <c r="M1309" s="367"/>
    </row>
    <row r="1310" customFormat="false" ht="12.75" hidden="false" customHeight="true" outlineLevel="0" collapsed="false">
      <c r="B1310" s="361"/>
      <c r="C1310" s="369"/>
      <c r="D1310" s="369"/>
      <c r="E1310" s="363"/>
      <c r="F1310" s="374"/>
      <c r="G1310" s="363"/>
      <c r="H1310" s="363"/>
      <c r="I1310" s="363"/>
      <c r="J1310" s="363"/>
      <c r="K1310" s="363"/>
      <c r="L1310" s="363"/>
      <c r="M1310" s="367"/>
    </row>
    <row r="1311" customFormat="false" ht="12.75" hidden="false" customHeight="true" outlineLevel="0" collapsed="false">
      <c r="B1311" s="361"/>
      <c r="C1311" s="369"/>
      <c r="D1311" s="369"/>
      <c r="E1311" s="363"/>
      <c r="F1311" s="374"/>
      <c r="G1311" s="363"/>
      <c r="H1311" s="363"/>
      <c r="I1311" s="363"/>
      <c r="J1311" s="363"/>
      <c r="K1311" s="363"/>
      <c r="L1311" s="363"/>
      <c r="M1311" s="367"/>
    </row>
    <row r="1312" customFormat="false" ht="12.75" hidden="false" customHeight="true" outlineLevel="0" collapsed="false">
      <c r="B1312" s="368"/>
      <c r="C1312" s="369"/>
      <c r="D1312" s="369"/>
      <c r="E1312" s="370"/>
      <c r="F1312" s="375"/>
      <c r="G1312" s="370"/>
      <c r="H1312" s="363"/>
      <c r="I1312" s="370"/>
      <c r="J1312" s="370"/>
      <c r="K1312" s="370"/>
      <c r="L1312" s="363"/>
      <c r="M1312" s="367"/>
    </row>
    <row r="1313" customFormat="false" ht="12.75" hidden="false" customHeight="true" outlineLevel="0" collapsed="false">
      <c r="B1313" s="368"/>
      <c r="C1313" s="369"/>
      <c r="D1313" s="369"/>
      <c r="E1313" s="370"/>
      <c r="F1313" s="375"/>
      <c r="G1313" s="363"/>
      <c r="H1313" s="363"/>
      <c r="I1313" s="363"/>
      <c r="J1313" s="363"/>
      <c r="K1313" s="363"/>
      <c r="L1313" s="363"/>
      <c r="M1313" s="367"/>
    </row>
    <row r="1314" customFormat="false" ht="12.75" hidden="false" customHeight="true" outlineLevel="0" collapsed="false">
      <c r="B1314" s="368"/>
      <c r="C1314" s="369"/>
      <c r="D1314" s="369"/>
      <c r="E1314" s="370"/>
      <c r="F1314" s="375"/>
      <c r="G1314" s="370"/>
      <c r="H1314" s="363"/>
      <c r="I1314" s="370"/>
      <c r="J1314" s="370"/>
      <c r="K1314" s="370"/>
      <c r="L1314" s="363"/>
      <c r="M1314" s="367"/>
    </row>
    <row r="1315" customFormat="false" ht="12.75" hidden="false" customHeight="true" outlineLevel="0" collapsed="false">
      <c r="B1315" s="368"/>
      <c r="C1315" s="369"/>
      <c r="D1315" s="369"/>
      <c r="E1315" s="370"/>
      <c r="F1315" s="375"/>
      <c r="G1315" s="363"/>
      <c r="H1315" s="363"/>
      <c r="I1315" s="363"/>
      <c r="J1315" s="363"/>
      <c r="K1315" s="363"/>
      <c r="L1315" s="363"/>
      <c r="M1315" s="367"/>
    </row>
    <row r="1316" customFormat="false" ht="12.75" hidden="false" customHeight="true" outlineLevel="0" collapsed="false">
      <c r="B1316" s="361"/>
      <c r="C1316" s="369"/>
      <c r="D1316" s="369"/>
      <c r="E1316" s="363"/>
      <c r="F1316" s="374"/>
      <c r="G1316" s="370"/>
      <c r="H1316" s="363"/>
      <c r="I1316" s="370"/>
      <c r="J1316" s="370"/>
      <c r="K1316" s="370"/>
      <c r="L1316" s="363"/>
      <c r="M1316" s="367"/>
    </row>
    <row r="1317" customFormat="false" ht="12.75" hidden="false" customHeight="true" outlineLevel="0" collapsed="false">
      <c r="B1317" s="361"/>
      <c r="C1317" s="369"/>
      <c r="D1317" s="369"/>
      <c r="E1317" s="363"/>
      <c r="F1317" s="374"/>
      <c r="G1317" s="363"/>
      <c r="H1317" s="363"/>
      <c r="I1317" s="363"/>
      <c r="J1317" s="363"/>
      <c r="K1317" s="363"/>
      <c r="L1317" s="363"/>
      <c r="M1317" s="367"/>
    </row>
    <row r="1318" customFormat="false" ht="12.75" hidden="false" customHeight="true" outlineLevel="0" collapsed="false">
      <c r="B1318" s="361"/>
      <c r="C1318" s="369"/>
      <c r="D1318" s="369"/>
      <c r="E1318" s="363"/>
      <c r="F1318" s="374"/>
      <c r="G1318" s="363"/>
      <c r="H1318" s="363"/>
      <c r="I1318" s="363"/>
      <c r="J1318" s="363"/>
      <c r="K1318" s="363"/>
      <c r="L1318" s="363"/>
      <c r="M1318" s="367"/>
    </row>
    <row r="1319" customFormat="false" ht="12.75" hidden="false" customHeight="true" outlineLevel="0" collapsed="false">
      <c r="B1319" s="361"/>
      <c r="C1319" s="369"/>
      <c r="D1319" s="369"/>
      <c r="E1319" s="363"/>
      <c r="F1319" s="374"/>
      <c r="G1319" s="363"/>
      <c r="H1319" s="363"/>
      <c r="I1319" s="363"/>
      <c r="J1319" s="363"/>
      <c r="K1319" s="363"/>
      <c r="L1319" s="363"/>
      <c r="M1319" s="367"/>
    </row>
    <row r="1320" customFormat="false" ht="12.75" hidden="false" customHeight="true" outlineLevel="0" collapsed="false">
      <c r="B1320" s="361"/>
      <c r="C1320" s="369"/>
      <c r="D1320" s="369"/>
      <c r="E1320" s="363"/>
      <c r="F1320" s="374"/>
      <c r="G1320" s="363"/>
      <c r="H1320" s="363"/>
      <c r="I1320" s="363"/>
      <c r="J1320" s="363"/>
      <c r="K1320" s="363"/>
      <c r="L1320" s="363"/>
      <c r="M1320" s="367"/>
    </row>
    <row r="1321" customFormat="false" ht="12.75" hidden="false" customHeight="true" outlineLevel="0" collapsed="false">
      <c r="B1321" s="361"/>
      <c r="C1321" s="369"/>
      <c r="D1321" s="369"/>
      <c r="E1321" s="363"/>
      <c r="F1321" s="374"/>
      <c r="G1321" s="363"/>
      <c r="H1321" s="363"/>
      <c r="I1321" s="363"/>
      <c r="J1321" s="363"/>
      <c r="K1321" s="363"/>
      <c r="L1321" s="363"/>
      <c r="M1321" s="367"/>
    </row>
    <row r="1322" customFormat="false" ht="12.75" hidden="false" customHeight="true" outlineLevel="0" collapsed="false">
      <c r="B1322" s="361"/>
      <c r="C1322" s="369"/>
      <c r="D1322" s="369"/>
      <c r="E1322" s="363"/>
      <c r="F1322" s="374"/>
      <c r="G1322" s="363"/>
      <c r="H1322" s="363"/>
      <c r="I1322" s="363"/>
      <c r="J1322" s="363"/>
      <c r="K1322" s="363"/>
      <c r="L1322" s="363"/>
      <c r="M1322" s="367"/>
    </row>
    <row r="1323" customFormat="false" ht="12.75" hidden="false" customHeight="true" outlineLevel="0" collapsed="false">
      <c r="B1323" s="361"/>
      <c r="C1323" s="369"/>
      <c r="D1323" s="369"/>
      <c r="E1323" s="363"/>
      <c r="F1323" s="374"/>
      <c r="G1323" s="363"/>
      <c r="H1323" s="363"/>
      <c r="I1323" s="363"/>
      <c r="J1323" s="363"/>
      <c r="K1323" s="363"/>
      <c r="L1323" s="370"/>
      <c r="M1323" s="367"/>
    </row>
    <row r="1324" customFormat="false" ht="12.75" hidden="false" customHeight="true" outlineLevel="0" collapsed="false">
      <c r="B1324" s="361"/>
      <c r="C1324" s="369"/>
      <c r="D1324" s="369"/>
      <c r="E1324" s="363"/>
      <c r="F1324" s="374"/>
      <c r="G1324" s="363"/>
      <c r="H1324" s="363"/>
      <c r="I1324" s="363"/>
      <c r="J1324" s="363"/>
      <c r="K1324" s="363"/>
      <c r="L1324" s="363"/>
      <c r="M1324" s="367"/>
    </row>
    <row r="1325" customFormat="false" ht="12.75" hidden="false" customHeight="true" outlineLevel="0" collapsed="false">
      <c r="B1325" s="361"/>
      <c r="C1325" s="369"/>
      <c r="D1325" s="369"/>
      <c r="E1325" s="363"/>
      <c r="F1325" s="374"/>
      <c r="G1325" s="363"/>
      <c r="H1325" s="363"/>
      <c r="I1325" s="363"/>
      <c r="J1325" s="363"/>
      <c r="K1325" s="363"/>
      <c r="L1325" s="363"/>
      <c r="M1325" s="367"/>
    </row>
    <row r="1326" customFormat="false" ht="12.75" hidden="false" customHeight="true" outlineLevel="0" collapsed="false">
      <c r="B1326" s="361"/>
      <c r="C1326" s="369"/>
      <c r="D1326" s="369"/>
      <c r="E1326" s="363"/>
      <c r="F1326" s="374"/>
      <c r="G1326" s="363"/>
      <c r="H1326" s="363"/>
      <c r="I1326" s="363"/>
      <c r="J1326" s="363"/>
      <c r="K1326" s="363"/>
      <c r="L1326" s="363"/>
      <c r="M1326" s="367"/>
    </row>
    <row r="1327" customFormat="false" ht="12.75" hidden="false" customHeight="true" outlineLevel="0" collapsed="false">
      <c r="B1327" s="361"/>
      <c r="C1327" s="369"/>
      <c r="D1327" s="369"/>
      <c r="E1327" s="363"/>
      <c r="F1327" s="374"/>
      <c r="G1327" s="363"/>
      <c r="H1327" s="363"/>
      <c r="I1327" s="363"/>
      <c r="J1327" s="363"/>
      <c r="K1327" s="363"/>
      <c r="L1327" s="363"/>
      <c r="M1327" s="367"/>
    </row>
    <row r="1328" customFormat="false" ht="12.75" hidden="false" customHeight="true" outlineLevel="0" collapsed="false">
      <c r="B1328" s="361"/>
      <c r="C1328" s="369"/>
      <c r="D1328" s="369"/>
      <c r="E1328" s="363"/>
      <c r="F1328" s="374"/>
      <c r="G1328" s="363"/>
      <c r="H1328" s="363"/>
      <c r="I1328" s="363"/>
      <c r="J1328" s="363"/>
      <c r="K1328" s="363"/>
      <c r="L1328" s="363"/>
      <c r="M1328" s="367"/>
    </row>
    <row r="1329" customFormat="false" ht="12.75" hidden="false" customHeight="true" outlineLevel="0" collapsed="false">
      <c r="B1329" s="361"/>
      <c r="C1329" s="369"/>
      <c r="D1329" s="369"/>
      <c r="E1329" s="363"/>
      <c r="F1329" s="374"/>
      <c r="G1329" s="363"/>
      <c r="H1329" s="363"/>
      <c r="I1329" s="363"/>
      <c r="J1329" s="363"/>
      <c r="K1329" s="363"/>
      <c r="L1329" s="363"/>
      <c r="M1329" s="367"/>
    </row>
    <row r="1330" customFormat="false" ht="12.75" hidden="false" customHeight="true" outlineLevel="0" collapsed="false">
      <c r="B1330" s="361"/>
      <c r="C1330" s="369"/>
      <c r="D1330" s="369"/>
      <c r="E1330" s="363"/>
      <c r="F1330" s="374"/>
      <c r="G1330" s="363"/>
      <c r="H1330" s="363"/>
      <c r="I1330" s="363"/>
      <c r="J1330" s="363"/>
      <c r="K1330" s="363"/>
      <c r="L1330" s="363"/>
      <c r="M1330" s="367"/>
    </row>
    <row r="1331" customFormat="false" ht="12.75" hidden="false" customHeight="true" outlineLevel="0" collapsed="false">
      <c r="B1331" s="361"/>
      <c r="C1331" s="369"/>
      <c r="D1331" s="369"/>
      <c r="E1331" s="363"/>
      <c r="F1331" s="374"/>
      <c r="G1331" s="363"/>
      <c r="H1331" s="363"/>
      <c r="I1331" s="363"/>
      <c r="J1331" s="363"/>
      <c r="K1331" s="363"/>
      <c r="L1331" s="363"/>
      <c r="M1331" s="367"/>
    </row>
    <row r="1332" customFormat="false" ht="12.75" hidden="false" customHeight="true" outlineLevel="0" collapsed="false">
      <c r="B1332" s="361"/>
      <c r="C1332" s="369"/>
      <c r="D1332" s="369"/>
      <c r="E1332" s="363"/>
      <c r="F1332" s="374"/>
      <c r="G1332" s="363"/>
      <c r="H1332" s="363"/>
      <c r="I1332" s="363"/>
      <c r="J1332" s="363"/>
      <c r="K1332" s="363"/>
      <c r="L1332" s="363"/>
      <c r="M1332" s="367"/>
    </row>
    <row r="1333" customFormat="false" ht="12.75" hidden="false" customHeight="true" outlineLevel="0" collapsed="false">
      <c r="B1333" s="361"/>
      <c r="C1333" s="369"/>
      <c r="D1333" s="369"/>
      <c r="E1333" s="363"/>
      <c r="F1333" s="374"/>
      <c r="G1333" s="363"/>
      <c r="H1333" s="363"/>
      <c r="I1333" s="363"/>
      <c r="J1333" s="363"/>
      <c r="K1333" s="363"/>
      <c r="L1333" s="370"/>
      <c r="M1333" s="367"/>
    </row>
    <row r="1334" customFormat="false" ht="12.75" hidden="false" customHeight="true" outlineLevel="0" collapsed="false">
      <c r="B1334" s="361"/>
      <c r="C1334" s="369"/>
      <c r="D1334" s="369"/>
      <c r="E1334" s="363"/>
      <c r="F1334" s="374"/>
      <c r="G1334" s="363"/>
      <c r="H1334" s="363"/>
      <c r="I1334" s="363"/>
      <c r="J1334" s="363"/>
      <c r="K1334" s="363"/>
      <c r="L1334" s="363"/>
      <c r="M1334" s="367"/>
    </row>
    <row r="1335" customFormat="false" ht="12.75" hidden="false" customHeight="true" outlineLevel="0" collapsed="false">
      <c r="B1335" s="361"/>
      <c r="C1335" s="369"/>
      <c r="D1335" s="369"/>
      <c r="E1335" s="363"/>
      <c r="F1335" s="374"/>
      <c r="G1335" s="363"/>
      <c r="H1335" s="363"/>
      <c r="I1335" s="363"/>
      <c r="J1335" s="363"/>
      <c r="K1335" s="363"/>
      <c r="L1335" s="363"/>
      <c r="M1335" s="367"/>
    </row>
    <row r="1336" customFormat="false" ht="12.75" hidden="false" customHeight="true" outlineLevel="0" collapsed="false">
      <c r="B1336" s="361"/>
      <c r="C1336" s="369"/>
      <c r="D1336" s="369"/>
      <c r="E1336" s="363"/>
      <c r="F1336" s="374"/>
      <c r="G1336" s="363"/>
      <c r="H1336" s="363"/>
      <c r="I1336" s="363"/>
      <c r="J1336" s="363"/>
      <c r="K1336" s="363"/>
      <c r="L1336" s="363"/>
      <c r="M1336" s="367"/>
    </row>
    <row r="1337" customFormat="false" ht="12.75" hidden="false" customHeight="true" outlineLevel="0" collapsed="false">
      <c r="B1337" s="361"/>
      <c r="C1337" s="369"/>
      <c r="D1337" s="369"/>
      <c r="E1337" s="363"/>
      <c r="F1337" s="374"/>
      <c r="G1337" s="363"/>
      <c r="H1337" s="363"/>
      <c r="I1337" s="363"/>
      <c r="J1337" s="363"/>
      <c r="K1337" s="363"/>
      <c r="L1337" s="363"/>
      <c r="M1337" s="367"/>
    </row>
    <row r="1338" customFormat="false" ht="12.75" hidden="false" customHeight="true" outlineLevel="0" collapsed="false">
      <c r="B1338" s="361"/>
      <c r="C1338" s="369"/>
      <c r="D1338" s="369"/>
      <c r="E1338" s="363"/>
      <c r="F1338" s="374"/>
      <c r="G1338" s="363"/>
      <c r="H1338" s="363"/>
      <c r="I1338" s="363"/>
      <c r="J1338" s="363"/>
      <c r="K1338" s="363"/>
      <c r="L1338" s="363"/>
      <c r="M1338" s="367"/>
    </row>
    <row r="1339" customFormat="false" ht="12.75" hidden="false" customHeight="true" outlineLevel="0" collapsed="false">
      <c r="B1339" s="361"/>
      <c r="C1339" s="369"/>
      <c r="D1339" s="369"/>
      <c r="E1339" s="363"/>
      <c r="F1339" s="374"/>
      <c r="G1339" s="363"/>
      <c r="H1339" s="363"/>
      <c r="I1339" s="363"/>
      <c r="J1339" s="363"/>
      <c r="K1339" s="363"/>
      <c r="L1339" s="363"/>
      <c r="M1339" s="367"/>
    </row>
    <row r="1340" customFormat="false" ht="12.75" hidden="false" customHeight="true" outlineLevel="0" collapsed="false">
      <c r="B1340" s="361"/>
      <c r="C1340" s="369"/>
      <c r="D1340" s="369"/>
      <c r="E1340" s="363"/>
      <c r="F1340" s="374"/>
      <c r="G1340" s="363"/>
      <c r="H1340" s="363"/>
      <c r="I1340" s="363"/>
      <c r="J1340" s="363"/>
      <c r="K1340" s="363"/>
      <c r="L1340" s="363"/>
      <c r="M1340" s="367"/>
    </row>
    <row r="1341" customFormat="false" ht="12.75" hidden="false" customHeight="true" outlineLevel="0" collapsed="false">
      <c r="B1341" s="361"/>
      <c r="C1341" s="369"/>
      <c r="D1341" s="369"/>
      <c r="E1341" s="363"/>
      <c r="F1341" s="374"/>
      <c r="G1341" s="363"/>
      <c r="H1341" s="363"/>
      <c r="I1341" s="363"/>
      <c r="J1341" s="363"/>
      <c r="K1341" s="363"/>
      <c r="L1341" s="363"/>
      <c r="M1341" s="367"/>
    </row>
    <row r="1342" customFormat="false" ht="12.75" hidden="false" customHeight="true" outlineLevel="0" collapsed="false">
      <c r="B1342" s="361"/>
      <c r="C1342" s="369"/>
      <c r="D1342" s="369"/>
      <c r="E1342" s="363"/>
      <c r="F1342" s="374"/>
      <c r="G1342" s="363"/>
      <c r="H1342" s="363"/>
      <c r="I1342" s="363"/>
      <c r="J1342" s="363"/>
      <c r="K1342" s="363"/>
      <c r="L1342" s="363"/>
      <c r="M1342" s="367"/>
    </row>
    <row r="1343" customFormat="false" ht="12.75" hidden="false" customHeight="true" outlineLevel="0" collapsed="false">
      <c r="B1343" s="361"/>
      <c r="C1343" s="369"/>
      <c r="D1343" s="369"/>
      <c r="E1343" s="363"/>
      <c r="F1343" s="374"/>
      <c r="G1343" s="363"/>
      <c r="H1343" s="363"/>
      <c r="I1343" s="363"/>
      <c r="J1343" s="363"/>
      <c r="K1343" s="363"/>
      <c r="L1343" s="363"/>
      <c r="M1343" s="367"/>
    </row>
    <row r="1344" customFormat="false" ht="12.75" hidden="false" customHeight="true" outlineLevel="0" collapsed="false">
      <c r="B1344" s="361"/>
      <c r="C1344" s="369"/>
      <c r="D1344" s="369"/>
      <c r="E1344" s="363"/>
      <c r="F1344" s="374"/>
      <c r="G1344" s="363"/>
      <c r="H1344" s="363"/>
      <c r="I1344" s="363"/>
      <c r="J1344" s="363"/>
      <c r="K1344" s="363"/>
      <c r="L1344" s="363"/>
      <c r="M1344" s="367"/>
    </row>
    <row r="1345" customFormat="false" ht="12.75" hidden="false" customHeight="true" outlineLevel="0" collapsed="false">
      <c r="B1345" s="361"/>
      <c r="C1345" s="369"/>
      <c r="D1345" s="369"/>
      <c r="E1345" s="363"/>
      <c r="F1345" s="374"/>
      <c r="G1345" s="363"/>
      <c r="H1345" s="363"/>
      <c r="I1345" s="363"/>
      <c r="J1345" s="363"/>
      <c r="K1345" s="363"/>
      <c r="L1345" s="363"/>
      <c r="M1345" s="367"/>
    </row>
    <row r="1346" customFormat="false" ht="12.75" hidden="false" customHeight="true" outlineLevel="0" collapsed="false">
      <c r="B1346" s="361"/>
      <c r="C1346" s="369"/>
      <c r="D1346" s="369"/>
      <c r="E1346" s="363"/>
      <c r="F1346" s="374"/>
      <c r="G1346" s="363"/>
      <c r="H1346" s="363"/>
      <c r="I1346" s="363"/>
      <c r="J1346" s="363"/>
      <c r="K1346" s="363"/>
      <c r="L1346" s="363"/>
      <c r="M1346" s="367"/>
    </row>
    <row r="1347" customFormat="false" ht="12.75" hidden="false" customHeight="true" outlineLevel="0" collapsed="false">
      <c r="B1347" s="361"/>
      <c r="C1347" s="369"/>
      <c r="D1347" s="369"/>
      <c r="E1347" s="363"/>
      <c r="F1347" s="374"/>
      <c r="G1347" s="363"/>
      <c r="H1347" s="363"/>
      <c r="I1347" s="363"/>
      <c r="J1347" s="363"/>
      <c r="K1347" s="363"/>
      <c r="L1347" s="363"/>
      <c r="M1347" s="367"/>
    </row>
    <row r="1348" customFormat="false" ht="12.75" hidden="false" customHeight="true" outlineLevel="0" collapsed="false">
      <c r="B1348" s="361"/>
      <c r="C1348" s="369"/>
      <c r="D1348" s="369"/>
      <c r="E1348" s="363"/>
      <c r="F1348" s="374"/>
      <c r="G1348" s="363"/>
      <c r="H1348" s="363"/>
      <c r="I1348" s="363"/>
      <c r="J1348" s="363"/>
      <c r="K1348" s="363"/>
      <c r="L1348" s="363"/>
      <c r="M1348" s="367"/>
    </row>
    <row r="1349" customFormat="false" ht="12.75" hidden="false" customHeight="true" outlineLevel="0" collapsed="false">
      <c r="B1349" s="361"/>
      <c r="C1349" s="369"/>
      <c r="D1349" s="369"/>
      <c r="E1349" s="363"/>
      <c r="F1349" s="374"/>
      <c r="G1349" s="363"/>
      <c r="H1349" s="363"/>
      <c r="I1349" s="363"/>
      <c r="J1349" s="363"/>
      <c r="K1349" s="363"/>
      <c r="L1349" s="363"/>
      <c r="M1349" s="367"/>
    </row>
    <row r="1350" customFormat="false" ht="12.75" hidden="false" customHeight="true" outlineLevel="0" collapsed="false">
      <c r="B1350" s="361"/>
      <c r="C1350" s="369"/>
      <c r="D1350" s="369"/>
      <c r="E1350" s="363"/>
      <c r="F1350" s="374"/>
      <c r="G1350" s="363"/>
      <c r="H1350" s="363"/>
      <c r="I1350" s="363"/>
      <c r="J1350" s="363"/>
      <c r="K1350" s="363"/>
      <c r="L1350" s="363"/>
      <c r="M1350" s="367"/>
    </row>
    <row r="1351" customFormat="false" ht="12.75" hidden="false" customHeight="true" outlineLevel="0" collapsed="false">
      <c r="B1351" s="361"/>
      <c r="C1351" s="369"/>
      <c r="D1351" s="369"/>
      <c r="E1351" s="363"/>
      <c r="F1351" s="374"/>
      <c r="G1351" s="363"/>
      <c r="H1351" s="363"/>
      <c r="I1351" s="363"/>
      <c r="J1351" s="363"/>
      <c r="K1351" s="363"/>
      <c r="L1351" s="363"/>
      <c r="M1351" s="367"/>
    </row>
    <row r="1352" customFormat="false" ht="12.75" hidden="false" customHeight="true" outlineLevel="0" collapsed="false">
      <c r="B1352" s="361"/>
      <c r="C1352" s="369"/>
      <c r="D1352" s="369"/>
      <c r="E1352" s="363"/>
      <c r="F1352" s="374"/>
      <c r="G1352" s="363"/>
      <c r="H1352" s="363"/>
      <c r="I1352" s="363"/>
      <c r="J1352" s="363"/>
      <c r="K1352" s="363"/>
      <c r="L1352" s="363"/>
      <c r="M1352" s="367"/>
    </row>
    <row r="1353" customFormat="false" ht="12.75" hidden="false" customHeight="true" outlineLevel="0" collapsed="false">
      <c r="B1353" s="361"/>
      <c r="C1353" s="369"/>
      <c r="D1353" s="369"/>
      <c r="E1353" s="370"/>
      <c r="F1353" s="375"/>
      <c r="G1353" s="370"/>
      <c r="H1353" s="370"/>
      <c r="I1353" s="370"/>
      <c r="J1353" s="370"/>
      <c r="K1353" s="370"/>
      <c r="L1353" s="370"/>
      <c r="M1353" s="367"/>
    </row>
    <row r="1354" customFormat="false" ht="12.75" hidden="false" customHeight="true" outlineLevel="0" collapsed="false">
      <c r="B1354" s="361"/>
      <c r="C1354" s="369"/>
      <c r="D1354" s="369"/>
      <c r="E1354" s="363"/>
      <c r="F1354" s="374"/>
      <c r="G1354" s="363"/>
      <c r="H1354" s="363"/>
      <c r="I1354" s="363"/>
      <c r="J1354" s="363"/>
      <c r="K1354" s="363"/>
      <c r="L1354" s="363"/>
      <c r="M1354" s="367"/>
    </row>
    <row r="1355" customFormat="false" ht="12.75" hidden="false" customHeight="true" outlineLevel="0" collapsed="false">
      <c r="B1355" s="361"/>
      <c r="C1355" s="369"/>
      <c r="D1355" s="369"/>
      <c r="E1355" s="363"/>
      <c r="F1355" s="374"/>
      <c r="G1355" s="363"/>
      <c r="H1355" s="363"/>
      <c r="I1355" s="363"/>
      <c r="J1355" s="363"/>
      <c r="K1355" s="363"/>
      <c r="L1355" s="363"/>
      <c r="M1355" s="367"/>
    </row>
    <row r="1356" customFormat="false" ht="12.75" hidden="false" customHeight="true" outlineLevel="0" collapsed="false">
      <c r="B1356" s="361"/>
      <c r="C1356" s="369"/>
      <c r="D1356" s="369"/>
      <c r="E1356" s="363"/>
      <c r="F1356" s="374"/>
      <c r="G1356" s="363"/>
      <c r="H1356" s="363"/>
      <c r="I1356" s="363"/>
      <c r="J1356" s="363"/>
      <c r="K1356" s="363"/>
      <c r="L1356" s="363"/>
      <c r="M1356" s="367"/>
    </row>
    <row r="1357" customFormat="false" ht="12.75" hidden="false" customHeight="true" outlineLevel="0" collapsed="false">
      <c r="B1357" s="361"/>
      <c r="C1357" s="369"/>
      <c r="D1357" s="369"/>
      <c r="E1357" s="363"/>
      <c r="F1357" s="374"/>
      <c r="G1357" s="363"/>
      <c r="H1357" s="363"/>
      <c r="I1357" s="363"/>
      <c r="J1357" s="363"/>
      <c r="K1357" s="363"/>
      <c r="L1357" s="363"/>
      <c r="M1357" s="367"/>
    </row>
    <row r="1358" customFormat="false" ht="12.75" hidden="false" customHeight="true" outlineLevel="0" collapsed="false">
      <c r="B1358" s="361"/>
      <c r="C1358" s="369"/>
      <c r="D1358" s="369"/>
      <c r="E1358" s="363"/>
      <c r="F1358" s="374"/>
      <c r="G1358" s="363"/>
      <c r="H1358" s="363"/>
      <c r="I1358" s="363"/>
      <c r="J1358" s="363"/>
      <c r="K1358" s="363"/>
      <c r="L1358" s="363"/>
      <c r="M1358" s="367"/>
    </row>
    <row r="1359" customFormat="false" ht="12.75" hidden="false" customHeight="true" outlineLevel="0" collapsed="false">
      <c r="B1359" s="361"/>
      <c r="C1359" s="369"/>
      <c r="D1359" s="369"/>
      <c r="E1359" s="363"/>
      <c r="F1359" s="374"/>
      <c r="G1359" s="363"/>
      <c r="H1359" s="363"/>
      <c r="I1359" s="363"/>
      <c r="J1359" s="363"/>
      <c r="K1359" s="363"/>
      <c r="L1359" s="363"/>
      <c r="M1359" s="367"/>
    </row>
    <row r="1360" customFormat="false" ht="12.75" hidden="false" customHeight="true" outlineLevel="0" collapsed="false">
      <c r="B1360" s="361"/>
      <c r="C1360" s="369"/>
      <c r="D1360" s="369"/>
      <c r="E1360" s="363"/>
      <c r="F1360" s="374"/>
      <c r="G1360" s="363"/>
      <c r="H1360" s="363"/>
      <c r="I1360" s="363"/>
      <c r="J1360" s="363"/>
      <c r="K1360" s="363"/>
      <c r="L1360" s="363"/>
      <c r="M1360" s="367"/>
    </row>
    <row r="1361" customFormat="false" ht="12.75" hidden="false" customHeight="true" outlineLevel="0" collapsed="false">
      <c r="B1361" s="361"/>
      <c r="C1361" s="369"/>
      <c r="D1361" s="369"/>
      <c r="E1361" s="363"/>
      <c r="F1361" s="374"/>
      <c r="G1361" s="363"/>
      <c r="H1361" s="363"/>
      <c r="I1361" s="363"/>
      <c r="J1361" s="363"/>
      <c r="K1361" s="363"/>
      <c r="L1361" s="363"/>
      <c r="M1361" s="367"/>
    </row>
    <row r="1362" customFormat="false" ht="12.75" hidden="false" customHeight="true" outlineLevel="0" collapsed="false">
      <c r="B1362" s="361"/>
      <c r="C1362" s="369"/>
      <c r="D1362" s="369"/>
      <c r="E1362" s="363"/>
      <c r="F1362" s="374"/>
      <c r="G1362" s="363"/>
      <c r="H1362" s="363"/>
      <c r="I1362" s="363"/>
      <c r="J1362" s="363"/>
      <c r="K1362" s="363"/>
      <c r="L1362" s="363"/>
      <c r="M1362" s="367"/>
    </row>
    <row r="1363" customFormat="false" ht="12.75" hidden="false" customHeight="true" outlineLevel="0" collapsed="false">
      <c r="B1363" s="361"/>
      <c r="C1363" s="369"/>
      <c r="D1363" s="369"/>
      <c r="E1363" s="363"/>
      <c r="F1363" s="374"/>
      <c r="G1363" s="363"/>
      <c r="H1363" s="363"/>
      <c r="I1363" s="363"/>
      <c r="J1363" s="363"/>
      <c r="K1363" s="363"/>
      <c r="L1363" s="363"/>
      <c r="M1363" s="367"/>
    </row>
    <row r="1364" customFormat="false" ht="12.75" hidden="false" customHeight="true" outlineLevel="0" collapsed="false">
      <c r="B1364" s="361"/>
      <c r="C1364" s="369"/>
      <c r="D1364" s="369"/>
      <c r="E1364" s="363"/>
      <c r="F1364" s="374"/>
      <c r="G1364" s="363"/>
      <c r="H1364" s="363"/>
      <c r="I1364" s="363"/>
      <c r="J1364" s="363"/>
      <c r="K1364" s="363"/>
      <c r="L1364" s="363"/>
      <c r="M1364" s="367"/>
    </row>
    <row r="1365" customFormat="false" ht="12.75" hidden="false" customHeight="true" outlineLevel="0" collapsed="false">
      <c r="B1365" s="361"/>
      <c r="C1365" s="369"/>
      <c r="D1365" s="369"/>
      <c r="E1365" s="363"/>
      <c r="F1365" s="374"/>
      <c r="G1365" s="363"/>
      <c r="H1365" s="363"/>
      <c r="I1365" s="363"/>
      <c r="J1365" s="363"/>
      <c r="K1365" s="363"/>
      <c r="L1365" s="363"/>
      <c r="M1365" s="367"/>
    </row>
    <row r="1366" customFormat="false" ht="12.75" hidden="false" customHeight="true" outlineLevel="0" collapsed="false">
      <c r="B1366" s="361"/>
      <c r="C1366" s="369"/>
      <c r="D1366" s="369"/>
      <c r="E1366" s="363"/>
      <c r="F1366" s="374"/>
      <c r="G1366" s="363"/>
      <c r="H1366" s="363"/>
      <c r="I1366" s="363"/>
      <c r="J1366" s="363"/>
      <c r="K1366" s="363"/>
      <c r="L1366" s="363"/>
      <c r="M1366" s="367"/>
    </row>
    <row r="1367" customFormat="false" ht="12.75" hidden="false" customHeight="true" outlineLevel="0" collapsed="false">
      <c r="B1367" s="361"/>
      <c r="C1367" s="369"/>
      <c r="D1367" s="369"/>
      <c r="E1367" s="363"/>
      <c r="F1367" s="374"/>
      <c r="G1367" s="363"/>
      <c r="H1367" s="363"/>
      <c r="I1367" s="363"/>
      <c r="J1367" s="363"/>
      <c r="K1367" s="363"/>
      <c r="L1367" s="363"/>
      <c r="M1367" s="367"/>
    </row>
    <row r="1368" customFormat="false" ht="12.75" hidden="false" customHeight="true" outlineLevel="0" collapsed="false">
      <c r="B1368" s="361"/>
      <c r="C1368" s="369"/>
      <c r="D1368" s="369"/>
      <c r="E1368" s="363"/>
      <c r="F1368" s="374"/>
      <c r="G1368" s="363"/>
      <c r="H1368" s="363"/>
      <c r="I1368" s="363"/>
      <c r="J1368" s="363"/>
      <c r="K1368" s="363"/>
      <c r="L1368" s="363"/>
      <c r="M1368" s="367"/>
    </row>
    <row r="1369" customFormat="false" ht="12.75" hidden="false" customHeight="true" outlineLevel="0" collapsed="false">
      <c r="B1369" s="361"/>
      <c r="C1369" s="369"/>
      <c r="D1369" s="369"/>
      <c r="E1369" s="363"/>
      <c r="F1369" s="374"/>
      <c r="G1369" s="363"/>
      <c r="H1369" s="363"/>
      <c r="I1369" s="363"/>
      <c r="J1369" s="363"/>
      <c r="K1369" s="363"/>
      <c r="L1369" s="363"/>
      <c r="M1369" s="367"/>
    </row>
    <row r="1370" customFormat="false" ht="12.75" hidden="false" customHeight="true" outlineLevel="0" collapsed="false">
      <c r="B1370" s="361"/>
      <c r="C1370" s="369"/>
      <c r="D1370" s="369"/>
      <c r="E1370" s="363"/>
      <c r="F1370" s="374"/>
      <c r="G1370" s="363"/>
      <c r="H1370" s="363"/>
      <c r="I1370" s="363"/>
      <c r="J1370" s="363"/>
      <c r="K1370" s="363"/>
      <c r="L1370" s="363"/>
      <c r="M1370" s="367"/>
    </row>
    <row r="1371" customFormat="false" ht="12.75" hidden="false" customHeight="true" outlineLevel="0" collapsed="false">
      <c r="B1371" s="361"/>
      <c r="C1371" s="369"/>
      <c r="D1371" s="369"/>
      <c r="E1371" s="363"/>
      <c r="F1371" s="374"/>
      <c r="G1371" s="363"/>
      <c r="H1371" s="363"/>
      <c r="I1371" s="363"/>
      <c r="J1371" s="363"/>
      <c r="K1371" s="363"/>
      <c r="L1371" s="363"/>
      <c r="M1371" s="367"/>
    </row>
    <row r="1372" customFormat="false" ht="12.75" hidden="false" customHeight="true" outlineLevel="0" collapsed="false">
      <c r="B1372" s="361"/>
      <c r="C1372" s="369"/>
      <c r="D1372" s="369"/>
      <c r="E1372" s="363"/>
      <c r="F1372" s="374"/>
      <c r="G1372" s="363"/>
      <c r="H1372" s="363"/>
      <c r="I1372" s="363"/>
      <c r="J1372" s="363"/>
      <c r="K1372" s="363"/>
      <c r="L1372" s="363"/>
      <c r="M1372" s="367"/>
    </row>
    <row r="1373" customFormat="false" ht="12.75" hidden="false" customHeight="true" outlineLevel="0" collapsed="false">
      <c r="B1373" s="361"/>
      <c r="C1373" s="369"/>
      <c r="D1373" s="369"/>
      <c r="E1373" s="363"/>
      <c r="F1373" s="374"/>
      <c r="G1373" s="363"/>
      <c r="H1373" s="363"/>
      <c r="I1373" s="363"/>
      <c r="J1373" s="363"/>
      <c r="K1373" s="363"/>
      <c r="L1373" s="363"/>
      <c r="M1373" s="367"/>
    </row>
    <row r="1374" customFormat="false" ht="12.75" hidden="false" customHeight="true" outlineLevel="0" collapsed="false">
      <c r="B1374" s="361"/>
      <c r="C1374" s="369"/>
      <c r="D1374" s="369"/>
      <c r="E1374" s="363"/>
      <c r="F1374" s="374"/>
      <c r="G1374" s="363"/>
      <c r="H1374" s="363"/>
      <c r="I1374" s="363"/>
      <c r="J1374" s="363"/>
      <c r="K1374" s="363"/>
      <c r="L1374" s="363"/>
      <c r="M1374" s="367"/>
    </row>
    <row r="1375" customFormat="false" ht="12.75" hidden="false" customHeight="true" outlineLevel="0" collapsed="false">
      <c r="B1375" s="361"/>
      <c r="C1375" s="369"/>
      <c r="D1375" s="369"/>
      <c r="E1375" s="363"/>
      <c r="F1375" s="374"/>
      <c r="G1375" s="363"/>
      <c r="H1375" s="363"/>
      <c r="I1375" s="363"/>
      <c r="J1375" s="363"/>
      <c r="K1375" s="363"/>
      <c r="L1375" s="363"/>
      <c r="M1375" s="367"/>
    </row>
    <row r="1376" customFormat="false" ht="12.75" hidden="false" customHeight="true" outlineLevel="0" collapsed="false">
      <c r="B1376" s="361"/>
      <c r="C1376" s="369"/>
      <c r="D1376" s="369"/>
      <c r="E1376" s="363"/>
      <c r="F1376" s="374"/>
      <c r="G1376" s="363"/>
      <c r="H1376" s="363"/>
      <c r="I1376" s="363"/>
      <c r="J1376" s="363"/>
      <c r="K1376" s="363"/>
      <c r="L1376" s="363"/>
      <c r="M1376" s="367"/>
    </row>
    <row r="1377" customFormat="false" ht="12.75" hidden="false" customHeight="true" outlineLevel="0" collapsed="false">
      <c r="B1377" s="361"/>
      <c r="C1377" s="369"/>
      <c r="D1377" s="369"/>
      <c r="E1377" s="363"/>
      <c r="F1377" s="374"/>
      <c r="G1377" s="363"/>
      <c r="H1377" s="363"/>
      <c r="I1377" s="363"/>
      <c r="J1377" s="363"/>
      <c r="K1377" s="363"/>
      <c r="L1377" s="363"/>
      <c r="M1377" s="367"/>
    </row>
    <row r="1378" customFormat="false" ht="12.75" hidden="false" customHeight="true" outlineLevel="0" collapsed="false">
      <c r="B1378" s="361"/>
      <c r="C1378" s="369"/>
      <c r="D1378" s="369"/>
      <c r="E1378" s="363"/>
      <c r="F1378" s="374"/>
      <c r="G1378" s="363"/>
      <c r="H1378" s="363"/>
      <c r="I1378" s="363"/>
      <c r="J1378" s="363"/>
      <c r="K1378" s="363"/>
      <c r="L1378" s="363"/>
      <c r="M1378" s="367"/>
    </row>
    <row r="1379" customFormat="false" ht="12.75" hidden="false" customHeight="true" outlineLevel="0" collapsed="false">
      <c r="B1379" s="361"/>
      <c r="C1379" s="369"/>
      <c r="D1379" s="369"/>
      <c r="E1379" s="363"/>
      <c r="F1379" s="374"/>
      <c r="G1379" s="363"/>
      <c r="H1379" s="363"/>
      <c r="I1379" s="363"/>
      <c r="J1379" s="363"/>
      <c r="K1379" s="363"/>
      <c r="L1379" s="363"/>
      <c r="M1379" s="367"/>
    </row>
    <row r="1380" customFormat="false" ht="12.75" hidden="false" customHeight="true" outlineLevel="0" collapsed="false">
      <c r="B1380" s="361"/>
      <c r="C1380" s="369"/>
      <c r="D1380" s="369"/>
      <c r="E1380" s="363"/>
      <c r="F1380" s="374"/>
      <c r="G1380" s="363"/>
      <c r="H1380" s="363"/>
      <c r="I1380" s="363"/>
      <c r="J1380" s="363"/>
      <c r="K1380" s="363"/>
      <c r="L1380" s="363"/>
      <c r="M1380" s="367"/>
    </row>
    <row r="1381" customFormat="false" ht="12.75" hidden="false" customHeight="true" outlineLevel="0" collapsed="false">
      <c r="B1381" s="368"/>
      <c r="C1381" s="369"/>
      <c r="D1381" s="369"/>
      <c r="E1381" s="370"/>
      <c r="F1381" s="375"/>
      <c r="G1381" s="370"/>
      <c r="H1381" s="370"/>
      <c r="I1381" s="370"/>
      <c r="J1381" s="370"/>
      <c r="K1381" s="370"/>
      <c r="L1381" s="370"/>
      <c r="M1381" s="367"/>
    </row>
    <row r="1382" customFormat="false" ht="12.75" hidden="false" customHeight="true" outlineLevel="0" collapsed="false">
      <c r="B1382" s="361"/>
      <c r="C1382" s="369"/>
      <c r="D1382" s="369"/>
      <c r="E1382" s="363"/>
      <c r="F1382" s="374"/>
      <c r="G1382" s="363"/>
      <c r="H1382" s="363"/>
      <c r="I1382" s="363"/>
      <c r="J1382" s="363"/>
      <c r="K1382" s="363"/>
      <c r="L1382" s="363"/>
      <c r="M1382" s="367"/>
    </row>
    <row r="1383" customFormat="false" ht="12.75" hidden="false" customHeight="true" outlineLevel="0" collapsed="false">
      <c r="B1383" s="361"/>
      <c r="C1383" s="369"/>
      <c r="D1383" s="369"/>
      <c r="E1383" s="363"/>
      <c r="F1383" s="374"/>
      <c r="G1383" s="363"/>
      <c r="H1383" s="363"/>
      <c r="I1383" s="363"/>
      <c r="J1383" s="363"/>
      <c r="K1383" s="363"/>
      <c r="L1383" s="363"/>
      <c r="M1383" s="367"/>
    </row>
    <row r="1384" customFormat="false" ht="12.75" hidden="false" customHeight="true" outlineLevel="0" collapsed="false">
      <c r="B1384" s="361"/>
      <c r="C1384" s="369"/>
      <c r="D1384" s="369"/>
      <c r="E1384" s="363"/>
      <c r="F1384" s="374"/>
      <c r="G1384" s="363"/>
      <c r="H1384" s="363"/>
      <c r="I1384" s="363"/>
      <c r="J1384" s="363"/>
      <c r="K1384" s="363"/>
      <c r="L1384" s="363"/>
      <c r="M1384" s="367"/>
    </row>
    <row r="1385" customFormat="false" ht="12.75" hidden="false" customHeight="true" outlineLevel="0" collapsed="false">
      <c r="B1385" s="361"/>
      <c r="C1385" s="369"/>
      <c r="D1385" s="369"/>
      <c r="E1385" s="363"/>
      <c r="F1385" s="374"/>
      <c r="G1385" s="363"/>
      <c r="H1385" s="363"/>
      <c r="I1385" s="363"/>
      <c r="J1385" s="363"/>
      <c r="K1385" s="363"/>
      <c r="L1385" s="363"/>
      <c r="M1385" s="367"/>
    </row>
    <row r="1386" customFormat="false" ht="12.75" hidden="false" customHeight="true" outlineLevel="0" collapsed="false">
      <c r="B1386" s="361"/>
      <c r="C1386" s="369"/>
      <c r="D1386" s="369"/>
      <c r="E1386" s="363"/>
      <c r="F1386" s="374"/>
      <c r="G1386" s="363"/>
      <c r="H1386" s="363"/>
      <c r="I1386" s="363"/>
      <c r="J1386" s="363"/>
      <c r="K1386" s="363"/>
      <c r="L1386" s="363"/>
      <c r="M1386" s="367"/>
    </row>
    <row r="1387" customFormat="false" ht="12.75" hidden="false" customHeight="true" outlineLevel="0" collapsed="false">
      <c r="B1387" s="361"/>
      <c r="C1387" s="369"/>
      <c r="D1387" s="369"/>
      <c r="E1387" s="363"/>
      <c r="F1387" s="374"/>
      <c r="G1387" s="363"/>
      <c r="H1387" s="363"/>
      <c r="I1387" s="363"/>
      <c r="J1387" s="363"/>
      <c r="K1387" s="363"/>
      <c r="L1387" s="363"/>
      <c r="M1387" s="367"/>
    </row>
    <row r="1388" customFormat="false" ht="12.75" hidden="false" customHeight="true" outlineLevel="0" collapsed="false">
      <c r="B1388" s="361"/>
      <c r="C1388" s="369"/>
      <c r="D1388" s="369"/>
      <c r="E1388" s="363"/>
      <c r="F1388" s="374"/>
      <c r="G1388" s="363"/>
      <c r="H1388" s="363"/>
      <c r="I1388" s="363"/>
      <c r="J1388" s="363"/>
      <c r="K1388" s="363"/>
      <c r="L1388" s="363"/>
      <c r="M1388" s="367"/>
    </row>
    <row r="1389" customFormat="false" ht="12.75" hidden="false" customHeight="true" outlineLevel="0" collapsed="false">
      <c r="B1389" s="361"/>
      <c r="C1389" s="369"/>
      <c r="D1389" s="369"/>
      <c r="E1389" s="363"/>
      <c r="F1389" s="374"/>
      <c r="G1389" s="363"/>
      <c r="H1389" s="363"/>
      <c r="I1389" s="363"/>
      <c r="J1389" s="363"/>
      <c r="K1389" s="363"/>
      <c r="L1389" s="363"/>
      <c r="M1389" s="367"/>
    </row>
    <row r="1390" customFormat="false" ht="12.75" hidden="false" customHeight="true" outlineLevel="0" collapsed="false">
      <c r="B1390" s="368"/>
      <c r="C1390" s="369"/>
      <c r="D1390" s="369"/>
      <c r="E1390" s="370"/>
      <c r="F1390" s="375"/>
      <c r="G1390" s="370"/>
      <c r="H1390" s="363"/>
      <c r="I1390" s="370"/>
      <c r="J1390" s="370"/>
      <c r="K1390" s="370"/>
      <c r="L1390" s="370"/>
      <c r="M1390" s="367"/>
    </row>
    <row r="1391" customFormat="false" ht="12.75" hidden="false" customHeight="true" outlineLevel="0" collapsed="false">
      <c r="B1391" s="361"/>
      <c r="C1391" s="369"/>
      <c r="D1391" s="369"/>
      <c r="E1391" s="363"/>
      <c r="F1391" s="364"/>
      <c r="G1391" s="363"/>
      <c r="H1391" s="363"/>
      <c r="I1391" s="363"/>
      <c r="J1391" s="363"/>
      <c r="K1391" s="363"/>
      <c r="L1391" s="363"/>
      <c r="M1391" s="367"/>
    </row>
    <row r="1392" customFormat="false" ht="12.75" hidden="false" customHeight="true" outlineLevel="0" collapsed="false">
      <c r="B1392" s="361"/>
      <c r="C1392" s="369"/>
      <c r="D1392" s="369"/>
      <c r="E1392" s="363"/>
      <c r="F1392" s="364"/>
      <c r="G1392" s="363"/>
      <c r="H1392" s="363"/>
      <c r="I1392" s="363"/>
      <c r="J1392" s="363"/>
      <c r="K1392" s="363"/>
      <c r="L1392" s="363"/>
      <c r="M1392" s="367"/>
    </row>
    <row r="1393" customFormat="false" ht="12.75" hidden="false" customHeight="true" outlineLevel="0" collapsed="false">
      <c r="B1393" s="361"/>
      <c r="C1393" s="369"/>
      <c r="D1393" s="369"/>
      <c r="E1393" s="363"/>
      <c r="F1393" s="364"/>
      <c r="G1393" s="363"/>
      <c r="H1393" s="363"/>
      <c r="I1393" s="363"/>
      <c r="J1393" s="363"/>
      <c r="K1393" s="363"/>
      <c r="L1393" s="363"/>
      <c r="M1393" s="367"/>
    </row>
    <row r="1394" customFormat="false" ht="12.75" hidden="false" customHeight="true" outlineLevel="0" collapsed="false">
      <c r="B1394" s="361"/>
      <c r="C1394" s="369"/>
      <c r="D1394" s="369"/>
      <c r="E1394" s="363"/>
      <c r="F1394" s="364"/>
      <c r="G1394" s="363"/>
      <c r="H1394" s="363"/>
      <c r="I1394" s="363"/>
      <c r="J1394" s="363"/>
      <c r="K1394" s="363"/>
      <c r="L1394" s="363"/>
      <c r="M1394" s="367"/>
    </row>
    <row r="1395" customFormat="false" ht="12.75" hidden="false" customHeight="true" outlineLevel="0" collapsed="false">
      <c r="B1395" s="361"/>
      <c r="C1395" s="369"/>
      <c r="D1395" s="369"/>
      <c r="E1395" s="363"/>
      <c r="F1395" s="364"/>
      <c r="G1395" s="363"/>
      <c r="H1395" s="363"/>
      <c r="I1395" s="363"/>
      <c r="J1395" s="363"/>
      <c r="K1395" s="363"/>
      <c r="L1395" s="363"/>
      <c r="M1395" s="367"/>
    </row>
    <row r="1396" customFormat="false" ht="12.75" hidden="false" customHeight="true" outlineLevel="0" collapsed="false">
      <c r="B1396" s="361"/>
      <c r="C1396" s="369"/>
      <c r="D1396" s="369"/>
      <c r="E1396" s="363"/>
      <c r="F1396" s="364"/>
      <c r="G1396" s="363"/>
      <c r="H1396" s="363"/>
      <c r="I1396" s="363"/>
      <c r="J1396" s="363"/>
      <c r="K1396" s="363"/>
      <c r="L1396" s="363"/>
      <c r="M1396" s="367"/>
    </row>
    <row r="1397" customFormat="false" ht="12.75" hidden="false" customHeight="true" outlineLevel="0" collapsed="false">
      <c r="B1397" s="361"/>
      <c r="C1397" s="369"/>
      <c r="D1397" s="369"/>
      <c r="E1397" s="363"/>
      <c r="F1397" s="364"/>
      <c r="G1397" s="363"/>
      <c r="H1397" s="363"/>
      <c r="I1397" s="363"/>
      <c r="J1397" s="363"/>
      <c r="K1397" s="363"/>
      <c r="L1397" s="363"/>
      <c r="M1397" s="367"/>
    </row>
    <row r="1398" customFormat="false" ht="12.75" hidden="false" customHeight="true" outlineLevel="0" collapsed="false">
      <c r="B1398" s="361"/>
      <c r="C1398" s="369"/>
      <c r="D1398" s="369"/>
      <c r="E1398" s="363"/>
      <c r="F1398" s="364"/>
      <c r="G1398" s="363"/>
      <c r="H1398" s="363"/>
      <c r="I1398" s="363"/>
      <c r="J1398" s="363"/>
      <c r="K1398" s="363"/>
      <c r="L1398" s="363"/>
      <c r="M1398" s="367"/>
    </row>
    <row r="1399" customFormat="false" ht="13.5" hidden="false" customHeight="true" outlineLevel="0" collapsed="false">
      <c r="B1399" s="368"/>
      <c r="C1399" s="369"/>
      <c r="D1399" s="369"/>
      <c r="E1399" s="370"/>
      <c r="F1399" s="371"/>
      <c r="G1399" s="363"/>
      <c r="H1399" s="370"/>
      <c r="I1399" s="370"/>
      <c r="J1399" s="370"/>
      <c r="K1399" s="370"/>
      <c r="L1399" s="370"/>
      <c r="M1399" s="367"/>
    </row>
    <row r="1400" customFormat="false" ht="12.75" hidden="false" customHeight="true" outlineLevel="0" collapsed="false">
      <c r="B1400" s="361"/>
      <c r="C1400" s="369"/>
      <c r="D1400" s="369"/>
      <c r="E1400" s="363"/>
      <c r="F1400" s="374"/>
      <c r="G1400" s="363"/>
      <c r="H1400" s="363"/>
      <c r="I1400" s="363"/>
      <c r="J1400" s="363"/>
      <c r="K1400" s="363"/>
      <c r="L1400" s="363"/>
      <c r="M1400" s="367"/>
    </row>
    <row r="1401" customFormat="false" ht="12.75" hidden="false" customHeight="true" outlineLevel="0" collapsed="false">
      <c r="B1401" s="361"/>
      <c r="C1401" s="369"/>
      <c r="D1401" s="369"/>
      <c r="E1401" s="363"/>
      <c r="F1401" s="374"/>
      <c r="G1401" s="363"/>
      <c r="H1401" s="363"/>
      <c r="I1401" s="363"/>
      <c r="J1401" s="363"/>
      <c r="K1401" s="363"/>
      <c r="L1401" s="363"/>
      <c r="M1401" s="367"/>
    </row>
    <row r="1402" customFormat="false" ht="12.75" hidden="false" customHeight="true" outlineLevel="0" collapsed="false">
      <c r="B1402" s="361"/>
      <c r="C1402" s="369"/>
      <c r="D1402" s="369"/>
      <c r="E1402" s="363"/>
      <c r="F1402" s="374"/>
      <c r="G1402" s="363"/>
      <c r="H1402" s="363"/>
      <c r="I1402" s="363"/>
      <c r="J1402" s="363"/>
      <c r="K1402" s="363"/>
      <c r="L1402" s="363"/>
      <c r="M1402" s="367"/>
    </row>
    <row r="1403" customFormat="false" ht="12.75" hidden="false" customHeight="true" outlineLevel="0" collapsed="false">
      <c r="B1403" s="361"/>
      <c r="C1403" s="369"/>
      <c r="D1403" s="369"/>
      <c r="E1403" s="363"/>
      <c r="F1403" s="374"/>
      <c r="G1403" s="363"/>
      <c r="H1403" s="363"/>
      <c r="I1403" s="363"/>
      <c r="J1403" s="363"/>
      <c r="K1403" s="363"/>
      <c r="L1403" s="363"/>
      <c r="M1403" s="367"/>
    </row>
    <row r="1404" customFormat="false" ht="12.75" hidden="false" customHeight="true" outlineLevel="0" collapsed="false">
      <c r="B1404" s="361"/>
      <c r="C1404" s="369"/>
      <c r="D1404" s="369"/>
      <c r="E1404" s="363"/>
      <c r="F1404" s="374"/>
      <c r="G1404" s="363"/>
      <c r="H1404" s="363"/>
      <c r="I1404" s="363"/>
      <c r="J1404" s="363"/>
      <c r="K1404" s="363"/>
      <c r="L1404" s="363"/>
      <c r="M1404" s="367"/>
    </row>
    <row r="1405" customFormat="false" ht="12.75" hidden="false" customHeight="true" outlineLevel="0" collapsed="false">
      <c r="B1405" s="361"/>
      <c r="C1405" s="369"/>
      <c r="D1405" s="369"/>
      <c r="E1405" s="363"/>
      <c r="F1405" s="374"/>
      <c r="G1405" s="363"/>
      <c r="H1405" s="363"/>
      <c r="I1405" s="363"/>
      <c r="J1405" s="363"/>
      <c r="K1405" s="363"/>
      <c r="L1405" s="363"/>
      <c r="M1405" s="367"/>
    </row>
    <row r="1406" customFormat="false" ht="12.75" hidden="false" customHeight="true" outlineLevel="0" collapsed="false">
      <c r="B1406" s="361"/>
      <c r="C1406" s="369"/>
      <c r="D1406" s="369"/>
      <c r="E1406" s="363"/>
      <c r="F1406" s="374"/>
      <c r="G1406" s="363"/>
      <c r="H1406" s="363"/>
      <c r="I1406" s="363"/>
      <c r="J1406" s="363"/>
      <c r="K1406" s="363"/>
      <c r="L1406" s="363"/>
      <c r="M1406" s="367"/>
    </row>
    <row r="1407" customFormat="false" ht="12.75" hidden="false" customHeight="true" outlineLevel="0" collapsed="false">
      <c r="B1407" s="361"/>
      <c r="C1407" s="369"/>
      <c r="D1407" s="369"/>
      <c r="E1407" s="363"/>
      <c r="F1407" s="374"/>
      <c r="G1407" s="363"/>
      <c r="H1407" s="363"/>
      <c r="I1407" s="363"/>
      <c r="J1407" s="363"/>
      <c r="K1407" s="363"/>
      <c r="L1407" s="363"/>
      <c r="M1407" s="367"/>
    </row>
    <row r="1408" customFormat="false" ht="12.75" hidden="false" customHeight="true" outlineLevel="0" collapsed="false">
      <c r="B1408" s="361"/>
      <c r="C1408" s="369"/>
      <c r="D1408" s="369"/>
      <c r="E1408" s="363"/>
      <c r="F1408" s="374"/>
      <c r="G1408" s="363"/>
      <c r="H1408" s="363"/>
      <c r="I1408" s="363"/>
      <c r="J1408" s="363"/>
      <c r="K1408" s="363"/>
      <c r="L1408" s="363"/>
      <c r="M1408" s="367"/>
    </row>
    <row r="1409" customFormat="false" ht="12.75" hidden="false" customHeight="true" outlineLevel="0" collapsed="false">
      <c r="B1409" s="361"/>
      <c r="C1409" s="369"/>
      <c r="D1409" s="369"/>
      <c r="E1409" s="363"/>
      <c r="F1409" s="374"/>
      <c r="G1409" s="363"/>
      <c r="H1409" s="363"/>
      <c r="I1409" s="363"/>
      <c r="J1409" s="363"/>
      <c r="K1409" s="363"/>
      <c r="L1409" s="363"/>
      <c r="M1409" s="367"/>
    </row>
    <row r="1410" customFormat="false" ht="12.75" hidden="false" customHeight="true" outlineLevel="0" collapsed="false">
      <c r="B1410" s="361"/>
      <c r="C1410" s="369"/>
      <c r="D1410" s="369"/>
      <c r="E1410" s="363"/>
      <c r="F1410" s="374"/>
      <c r="G1410" s="363"/>
      <c r="H1410" s="363"/>
      <c r="I1410" s="363"/>
      <c r="J1410" s="363"/>
      <c r="K1410" s="363"/>
      <c r="L1410" s="363"/>
      <c r="M1410" s="367"/>
    </row>
    <row r="1411" customFormat="false" ht="12.75" hidden="false" customHeight="true" outlineLevel="0" collapsed="false">
      <c r="B1411" s="361"/>
      <c r="C1411" s="369"/>
      <c r="D1411" s="369"/>
      <c r="E1411" s="363"/>
      <c r="F1411" s="374"/>
      <c r="G1411" s="363"/>
      <c r="H1411" s="363"/>
      <c r="I1411" s="363"/>
      <c r="J1411" s="363"/>
      <c r="K1411" s="363"/>
      <c r="L1411" s="363"/>
      <c r="M1411" s="367"/>
    </row>
    <row r="1412" customFormat="false" ht="12.75" hidden="false" customHeight="true" outlineLevel="0" collapsed="false">
      <c r="B1412" s="361"/>
      <c r="C1412" s="369"/>
      <c r="D1412" s="369"/>
      <c r="E1412" s="363"/>
      <c r="F1412" s="374"/>
      <c r="G1412" s="363"/>
      <c r="H1412" s="363"/>
      <c r="I1412" s="363"/>
      <c r="J1412" s="363"/>
      <c r="K1412" s="363"/>
      <c r="L1412" s="363"/>
      <c r="M1412" s="367"/>
    </row>
    <row r="1413" customFormat="false" ht="12.75" hidden="false" customHeight="true" outlineLevel="0" collapsed="false">
      <c r="B1413" s="361"/>
      <c r="C1413" s="369"/>
      <c r="D1413" s="369"/>
      <c r="E1413" s="363"/>
      <c r="F1413" s="374"/>
      <c r="G1413" s="363"/>
      <c r="H1413" s="363"/>
      <c r="I1413" s="363"/>
      <c r="J1413" s="363"/>
      <c r="K1413" s="363"/>
      <c r="L1413" s="363"/>
      <c r="M1413" s="367"/>
    </row>
    <row r="1414" customFormat="false" ht="12.75" hidden="false" customHeight="true" outlineLevel="0" collapsed="false">
      <c r="B1414" s="361"/>
      <c r="C1414" s="369"/>
      <c r="D1414" s="369"/>
      <c r="E1414" s="363"/>
      <c r="F1414" s="374"/>
      <c r="G1414" s="363"/>
      <c r="H1414" s="363"/>
      <c r="I1414" s="363"/>
      <c r="J1414" s="363"/>
      <c r="K1414" s="363"/>
      <c r="L1414" s="363"/>
      <c r="M1414" s="367"/>
    </row>
    <row r="1415" customFormat="false" ht="12.75" hidden="false" customHeight="true" outlineLevel="0" collapsed="false">
      <c r="B1415" s="361"/>
      <c r="C1415" s="369"/>
      <c r="D1415" s="369"/>
      <c r="E1415" s="363"/>
      <c r="F1415" s="374"/>
      <c r="G1415" s="363"/>
      <c r="H1415" s="363"/>
      <c r="I1415" s="363"/>
      <c r="J1415" s="363"/>
      <c r="K1415" s="363"/>
      <c r="L1415" s="363"/>
      <c r="M1415" s="367"/>
    </row>
    <row r="1416" customFormat="false" ht="12.75" hidden="false" customHeight="true" outlineLevel="0" collapsed="false">
      <c r="B1416" s="361"/>
      <c r="C1416" s="369"/>
      <c r="D1416" s="369"/>
      <c r="E1416" s="363"/>
      <c r="F1416" s="374"/>
      <c r="G1416" s="363"/>
      <c r="H1416" s="363"/>
      <c r="I1416" s="363"/>
      <c r="J1416" s="363"/>
      <c r="K1416" s="363"/>
      <c r="L1416" s="363"/>
      <c r="M1416" s="367"/>
    </row>
    <row r="1417" customFormat="false" ht="12.75" hidden="false" customHeight="true" outlineLevel="0" collapsed="false">
      <c r="B1417" s="361"/>
      <c r="C1417" s="369"/>
      <c r="D1417" s="369"/>
      <c r="E1417" s="363"/>
      <c r="F1417" s="374"/>
      <c r="G1417" s="363"/>
      <c r="H1417" s="363"/>
      <c r="I1417" s="363"/>
      <c r="J1417" s="363"/>
      <c r="K1417" s="363"/>
      <c r="L1417" s="363"/>
      <c r="M1417" s="367"/>
    </row>
    <row r="1418" customFormat="false" ht="12.75" hidden="false" customHeight="true" outlineLevel="0" collapsed="false">
      <c r="B1418" s="361"/>
      <c r="C1418" s="369"/>
      <c r="D1418" s="369"/>
      <c r="E1418" s="363"/>
      <c r="F1418" s="374"/>
      <c r="G1418" s="363"/>
      <c r="H1418" s="363"/>
      <c r="I1418" s="363"/>
      <c r="J1418" s="363"/>
      <c r="K1418" s="363"/>
      <c r="L1418" s="363"/>
      <c r="M1418" s="367"/>
    </row>
    <row r="1419" customFormat="false" ht="12.75" hidden="false" customHeight="true" outlineLevel="0" collapsed="false">
      <c r="B1419" s="361"/>
      <c r="C1419" s="369"/>
      <c r="D1419" s="369"/>
      <c r="E1419" s="363"/>
      <c r="F1419" s="374"/>
      <c r="G1419" s="363"/>
      <c r="H1419" s="363"/>
      <c r="I1419" s="363"/>
      <c r="J1419" s="363"/>
      <c r="K1419" s="363"/>
      <c r="L1419" s="363"/>
      <c r="M1419" s="367"/>
    </row>
    <row r="1420" customFormat="false" ht="12.75" hidden="false" customHeight="true" outlineLevel="0" collapsed="false">
      <c r="B1420" s="361"/>
      <c r="C1420" s="369"/>
      <c r="D1420" s="369"/>
      <c r="E1420" s="363"/>
      <c r="F1420" s="374"/>
      <c r="G1420" s="363"/>
      <c r="H1420" s="363"/>
      <c r="I1420" s="363"/>
      <c r="J1420" s="363"/>
      <c r="K1420" s="363"/>
      <c r="L1420" s="363"/>
      <c r="M1420" s="367"/>
    </row>
    <row r="1421" customFormat="false" ht="12.75" hidden="false" customHeight="true" outlineLevel="0" collapsed="false">
      <c r="B1421" s="361"/>
      <c r="C1421" s="369"/>
      <c r="D1421" s="369"/>
      <c r="E1421" s="363"/>
      <c r="F1421" s="374"/>
      <c r="G1421" s="363"/>
      <c r="H1421" s="363"/>
      <c r="I1421" s="363"/>
      <c r="J1421" s="363"/>
      <c r="K1421" s="363"/>
      <c r="L1421" s="363"/>
      <c r="M1421" s="367"/>
    </row>
    <row r="1422" customFormat="false" ht="12.75" hidden="false" customHeight="true" outlineLevel="0" collapsed="false">
      <c r="B1422" s="361"/>
      <c r="C1422" s="369"/>
      <c r="D1422" s="369"/>
      <c r="E1422" s="363"/>
      <c r="F1422" s="374"/>
      <c r="G1422" s="363"/>
      <c r="H1422" s="363"/>
      <c r="I1422" s="363"/>
      <c r="J1422" s="363"/>
      <c r="K1422" s="363"/>
      <c r="L1422" s="363"/>
      <c r="M1422" s="367"/>
    </row>
    <row r="1423" customFormat="false" ht="12.75" hidden="false" customHeight="true" outlineLevel="0" collapsed="false">
      <c r="B1423" s="361"/>
      <c r="C1423" s="369"/>
      <c r="D1423" s="369"/>
      <c r="E1423" s="363"/>
      <c r="F1423" s="374"/>
      <c r="G1423" s="363"/>
      <c r="H1423" s="363"/>
      <c r="I1423" s="363"/>
      <c r="J1423" s="363"/>
      <c r="K1423" s="363"/>
      <c r="L1423" s="363"/>
      <c r="M1423" s="367"/>
    </row>
    <row r="1424" customFormat="false" ht="12.75" hidden="false" customHeight="true" outlineLevel="0" collapsed="false">
      <c r="B1424" s="361"/>
      <c r="C1424" s="369"/>
      <c r="D1424" s="369"/>
      <c r="E1424" s="363"/>
      <c r="F1424" s="374"/>
      <c r="G1424" s="363"/>
      <c r="H1424" s="363"/>
      <c r="I1424" s="363"/>
      <c r="J1424" s="363"/>
      <c r="K1424" s="363"/>
      <c r="L1424" s="363"/>
      <c r="M1424" s="367"/>
    </row>
    <row r="1425" customFormat="false" ht="12.75" hidden="false" customHeight="true" outlineLevel="0" collapsed="false">
      <c r="B1425" s="361"/>
      <c r="C1425" s="369"/>
      <c r="D1425" s="369"/>
      <c r="E1425" s="363"/>
      <c r="F1425" s="374"/>
      <c r="G1425" s="363"/>
      <c r="H1425" s="363"/>
      <c r="I1425" s="363"/>
      <c r="J1425" s="363"/>
      <c r="K1425" s="363"/>
      <c r="L1425" s="363"/>
      <c r="M1425" s="367"/>
    </row>
    <row r="1426" customFormat="false" ht="12.75" hidden="false" customHeight="true" outlineLevel="0" collapsed="false">
      <c r="B1426" s="361"/>
      <c r="C1426" s="369"/>
      <c r="D1426" s="369"/>
      <c r="E1426" s="363"/>
      <c r="F1426" s="374"/>
      <c r="G1426" s="363"/>
      <c r="H1426" s="363"/>
      <c r="I1426" s="363"/>
      <c r="J1426" s="363"/>
      <c r="K1426" s="363"/>
      <c r="L1426" s="363"/>
      <c r="M1426" s="367"/>
    </row>
    <row r="1427" customFormat="false" ht="12.75" hidden="false" customHeight="true" outlineLevel="0" collapsed="false">
      <c r="B1427" s="361"/>
      <c r="C1427" s="369"/>
      <c r="D1427" s="369"/>
      <c r="E1427" s="363"/>
      <c r="F1427" s="374"/>
      <c r="G1427" s="363"/>
      <c r="H1427" s="363"/>
      <c r="I1427" s="363"/>
      <c r="J1427" s="363"/>
      <c r="K1427" s="363"/>
      <c r="L1427" s="363"/>
      <c r="M1427" s="367"/>
    </row>
    <row r="1428" customFormat="false" ht="12.75" hidden="false" customHeight="true" outlineLevel="0" collapsed="false">
      <c r="B1428" s="361"/>
      <c r="C1428" s="369"/>
      <c r="D1428" s="369"/>
      <c r="E1428" s="363"/>
      <c r="F1428" s="374"/>
      <c r="G1428" s="363"/>
      <c r="H1428" s="363"/>
      <c r="I1428" s="363"/>
      <c r="J1428" s="363"/>
      <c r="K1428" s="363"/>
      <c r="L1428" s="363"/>
      <c r="M1428" s="367"/>
    </row>
    <row r="1429" customFormat="false" ht="12.75" hidden="false" customHeight="true" outlineLevel="0" collapsed="false">
      <c r="B1429" s="361"/>
      <c r="C1429" s="369"/>
      <c r="D1429" s="369"/>
      <c r="E1429" s="363"/>
      <c r="F1429" s="374"/>
      <c r="G1429" s="363"/>
      <c r="H1429" s="363"/>
      <c r="I1429" s="363"/>
      <c r="J1429" s="363"/>
      <c r="K1429" s="363"/>
      <c r="L1429" s="363"/>
      <c r="M1429" s="367"/>
    </row>
    <row r="1430" customFormat="false" ht="12.75" hidden="false" customHeight="true" outlineLevel="0" collapsed="false">
      <c r="B1430" s="361"/>
      <c r="C1430" s="369"/>
      <c r="D1430" s="369"/>
      <c r="E1430" s="363"/>
      <c r="F1430" s="374"/>
      <c r="G1430" s="363"/>
      <c r="H1430" s="363"/>
      <c r="I1430" s="363"/>
      <c r="J1430" s="363"/>
      <c r="K1430" s="363"/>
      <c r="L1430" s="363"/>
      <c r="M1430" s="367"/>
    </row>
    <row r="1431" customFormat="false" ht="12.75" hidden="false" customHeight="true" outlineLevel="0" collapsed="false">
      <c r="B1431" s="361"/>
      <c r="C1431" s="369"/>
      <c r="D1431" s="369"/>
      <c r="E1431" s="363"/>
      <c r="F1431" s="374"/>
      <c r="G1431" s="363"/>
      <c r="H1431" s="363"/>
      <c r="I1431" s="363"/>
      <c r="J1431" s="363"/>
      <c r="K1431" s="363"/>
      <c r="L1431" s="363"/>
      <c r="M1431" s="367"/>
    </row>
    <row r="1432" customFormat="false" ht="12.75" hidden="false" customHeight="true" outlineLevel="0" collapsed="false">
      <c r="B1432" s="361"/>
      <c r="C1432" s="369"/>
      <c r="D1432" s="369"/>
      <c r="E1432" s="363"/>
      <c r="F1432" s="374"/>
      <c r="G1432" s="363"/>
      <c r="H1432" s="363"/>
      <c r="I1432" s="363"/>
      <c r="J1432" s="363"/>
      <c r="K1432" s="363"/>
      <c r="L1432" s="363"/>
      <c r="M1432" s="367"/>
    </row>
    <row r="1433" customFormat="false" ht="12.75" hidden="false" customHeight="true" outlineLevel="0" collapsed="false">
      <c r="B1433" s="361"/>
      <c r="C1433" s="369"/>
      <c r="D1433" s="369"/>
      <c r="E1433" s="363"/>
      <c r="F1433" s="374"/>
      <c r="G1433" s="363"/>
      <c r="H1433" s="363"/>
      <c r="I1433" s="363"/>
      <c r="J1433" s="363"/>
      <c r="K1433" s="363"/>
      <c r="L1433" s="363"/>
      <c r="M1433" s="367"/>
    </row>
    <row r="1434" customFormat="false" ht="12.75" hidden="false" customHeight="true" outlineLevel="0" collapsed="false">
      <c r="B1434" s="361"/>
      <c r="C1434" s="369"/>
      <c r="D1434" s="369"/>
      <c r="E1434" s="363"/>
      <c r="F1434" s="374"/>
      <c r="G1434" s="363"/>
      <c r="H1434" s="363"/>
      <c r="I1434" s="363"/>
      <c r="J1434" s="363"/>
      <c r="K1434" s="363"/>
      <c r="L1434" s="363"/>
      <c r="M1434" s="367"/>
    </row>
    <row r="1435" customFormat="false" ht="12.75" hidden="false" customHeight="true" outlineLevel="0" collapsed="false">
      <c r="B1435" s="361"/>
      <c r="C1435" s="369"/>
      <c r="D1435" s="369"/>
      <c r="E1435" s="363"/>
      <c r="F1435" s="374"/>
      <c r="G1435" s="363"/>
      <c r="H1435" s="363"/>
      <c r="I1435" s="363"/>
      <c r="J1435" s="363"/>
      <c r="K1435" s="363"/>
      <c r="L1435" s="363"/>
      <c r="M1435" s="367"/>
    </row>
    <row r="1436" customFormat="false" ht="12.75" hidden="false" customHeight="true" outlineLevel="0" collapsed="false">
      <c r="B1436" s="361"/>
      <c r="C1436" s="369"/>
      <c r="D1436" s="369"/>
      <c r="E1436" s="363"/>
      <c r="F1436" s="374"/>
      <c r="G1436" s="363"/>
      <c r="H1436" s="363"/>
      <c r="I1436" s="363"/>
      <c r="J1436" s="363"/>
      <c r="K1436" s="363"/>
      <c r="L1436" s="363"/>
      <c r="M1436" s="367"/>
    </row>
    <row r="1437" customFormat="false" ht="12.75" hidden="false" customHeight="true" outlineLevel="0" collapsed="false">
      <c r="B1437" s="361"/>
      <c r="C1437" s="369"/>
      <c r="D1437" s="369"/>
      <c r="E1437" s="363"/>
      <c r="F1437" s="374"/>
      <c r="G1437" s="363"/>
      <c r="H1437" s="363"/>
      <c r="I1437" s="363"/>
      <c r="J1437" s="363"/>
      <c r="K1437" s="363"/>
      <c r="L1437" s="363"/>
      <c r="M1437" s="367"/>
    </row>
    <row r="1438" customFormat="false" ht="12.75" hidden="false" customHeight="true" outlineLevel="0" collapsed="false">
      <c r="B1438" s="361"/>
      <c r="C1438" s="369"/>
      <c r="D1438" s="369"/>
      <c r="E1438" s="363"/>
      <c r="F1438" s="374"/>
      <c r="G1438" s="363"/>
      <c r="H1438" s="363"/>
      <c r="I1438" s="363"/>
      <c r="J1438" s="363"/>
      <c r="K1438" s="363"/>
      <c r="L1438" s="363"/>
      <c r="M1438" s="367"/>
    </row>
    <row r="1439" customFormat="false" ht="12.75" hidden="false" customHeight="true" outlineLevel="0" collapsed="false">
      <c r="B1439" s="361"/>
      <c r="C1439" s="369"/>
      <c r="D1439" s="369"/>
      <c r="E1439" s="363"/>
      <c r="F1439" s="374"/>
      <c r="G1439" s="363"/>
      <c r="H1439" s="363"/>
      <c r="I1439" s="363"/>
      <c r="J1439" s="363"/>
      <c r="K1439" s="363"/>
      <c r="L1439" s="363"/>
      <c r="M1439" s="367"/>
    </row>
    <row r="1440" customFormat="false" ht="12.75" hidden="false" customHeight="true" outlineLevel="0" collapsed="false">
      <c r="B1440" s="361"/>
      <c r="C1440" s="369"/>
      <c r="D1440" s="369"/>
      <c r="E1440" s="363"/>
      <c r="F1440" s="374"/>
      <c r="G1440" s="363"/>
      <c r="H1440" s="363"/>
      <c r="I1440" s="363"/>
      <c r="J1440" s="363"/>
      <c r="K1440" s="363"/>
      <c r="L1440" s="363"/>
      <c r="M1440" s="367"/>
    </row>
    <row r="1441" customFormat="false" ht="12.75" hidden="false" customHeight="true" outlineLevel="0" collapsed="false">
      <c r="B1441" s="361"/>
      <c r="C1441" s="369"/>
      <c r="D1441" s="369"/>
      <c r="E1441" s="363"/>
      <c r="F1441" s="374"/>
      <c r="G1441" s="363"/>
      <c r="H1441" s="363"/>
      <c r="I1441" s="363"/>
      <c r="J1441" s="363"/>
      <c r="K1441" s="363"/>
      <c r="L1441" s="363"/>
      <c r="M1441" s="367"/>
    </row>
    <row r="1442" customFormat="false" ht="12.75" hidden="false" customHeight="true" outlineLevel="0" collapsed="false">
      <c r="B1442" s="361"/>
      <c r="C1442" s="369"/>
      <c r="D1442" s="369"/>
      <c r="E1442" s="363"/>
      <c r="F1442" s="374"/>
      <c r="G1442" s="363"/>
      <c r="H1442" s="363"/>
      <c r="I1442" s="363"/>
      <c r="J1442" s="363"/>
      <c r="K1442" s="363"/>
      <c r="L1442" s="363"/>
      <c r="M1442" s="367"/>
    </row>
    <row r="1443" customFormat="false" ht="12.75" hidden="false" customHeight="true" outlineLevel="0" collapsed="false">
      <c r="B1443" s="361"/>
      <c r="C1443" s="369"/>
      <c r="D1443" s="369"/>
      <c r="E1443" s="363"/>
      <c r="F1443" s="374"/>
      <c r="G1443" s="363"/>
      <c r="H1443" s="363"/>
      <c r="I1443" s="363"/>
      <c r="J1443" s="363"/>
      <c r="K1443" s="363"/>
      <c r="L1443" s="363"/>
      <c r="M1443" s="367"/>
    </row>
    <row r="1444" customFormat="false" ht="12.75" hidden="false" customHeight="true" outlineLevel="0" collapsed="false">
      <c r="B1444" s="361"/>
      <c r="C1444" s="369"/>
      <c r="D1444" s="369"/>
      <c r="E1444" s="363"/>
      <c r="F1444" s="374"/>
      <c r="G1444" s="363"/>
      <c r="H1444" s="363"/>
      <c r="I1444" s="363"/>
      <c r="J1444" s="363"/>
      <c r="K1444" s="363"/>
      <c r="L1444" s="363"/>
      <c r="M1444" s="367"/>
    </row>
    <row r="1445" customFormat="false" ht="12.75" hidden="false" customHeight="true" outlineLevel="0" collapsed="false">
      <c r="B1445" s="368"/>
      <c r="C1445" s="369"/>
      <c r="D1445" s="369"/>
      <c r="E1445" s="370"/>
      <c r="F1445" s="375"/>
      <c r="G1445" s="370"/>
      <c r="H1445" s="370"/>
      <c r="I1445" s="370"/>
      <c r="J1445" s="370"/>
      <c r="K1445" s="370"/>
      <c r="L1445" s="370"/>
      <c r="M1445" s="367"/>
    </row>
    <row r="1446" customFormat="false" ht="12.75" hidden="false" customHeight="true" outlineLevel="0" collapsed="false">
      <c r="B1446" s="361"/>
      <c r="C1446" s="369"/>
      <c r="D1446" s="369"/>
      <c r="E1446" s="363"/>
      <c r="F1446" s="374"/>
      <c r="G1446" s="363"/>
      <c r="H1446" s="363"/>
      <c r="I1446" s="363"/>
      <c r="J1446" s="363"/>
      <c r="K1446" s="363"/>
      <c r="L1446" s="363"/>
      <c r="M1446" s="367"/>
    </row>
    <row r="1447" customFormat="false" ht="12.75" hidden="false" customHeight="true" outlineLevel="0" collapsed="false">
      <c r="B1447" s="361"/>
      <c r="C1447" s="369"/>
      <c r="D1447" s="369"/>
      <c r="E1447" s="363"/>
      <c r="F1447" s="374"/>
      <c r="G1447" s="363"/>
      <c r="H1447" s="363"/>
      <c r="I1447" s="363"/>
      <c r="J1447" s="363"/>
      <c r="K1447" s="363"/>
      <c r="L1447" s="363"/>
      <c r="M1447" s="367"/>
    </row>
    <row r="1448" customFormat="false" ht="12.75" hidden="false" customHeight="true" outlineLevel="0" collapsed="false">
      <c r="B1448" s="361"/>
      <c r="C1448" s="369"/>
      <c r="D1448" s="369"/>
      <c r="E1448" s="363"/>
      <c r="F1448" s="374"/>
      <c r="G1448" s="363"/>
      <c r="H1448" s="363"/>
      <c r="I1448" s="363"/>
      <c r="J1448" s="363"/>
      <c r="K1448" s="363"/>
      <c r="L1448" s="363"/>
      <c r="M1448" s="367"/>
    </row>
    <row r="1449" customFormat="false" ht="12.75" hidden="false" customHeight="true" outlineLevel="0" collapsed="false">
      <c r="B1449" s="361"/>
      <c r="C1449" s="369"/>
      <c r="D1449" s="369"/>
      <c r="E1449" s="363"/>
      <c r="F1449" s="374"/>
      <c r="G1449" s="363"/>
      <c r="H1449" s="363"/>
      <c r="I1449" s="363"/>
      <c r="J1449" s="363"/>
      <c r="K1449" s="363"/>
      <c r="L1449" s="363"/>
      <c r="M1449" s="367"/>
    </row>
    <row r="1450" customFormat="false" ht="12.75" hidden="false" customHeight="true" outlineLevel="0" collapsed="false">
      <c r="B1450" s="361"/>
      <c r="C1450" s="369"/>
      <c r="D1450" s="369"/>
      <c r="E1450" s="363"/>
      <c r="F1450" s="374"/>
      <c r="G1450" s="363"/>
      <c r="H1450" s="363"/>
      <c r="I1450" s="363"/>
      <c r="J1450" s="363"/>
      <c r="K1450" s="363"/>
      <c r="L1450" s="363"/>
      <c r="M1450" s="367"/>
    </row>
    <row r="1451" customFormat="false" ht="12.75" hidden="false" customHeight="true" outlineLevel="0" collapsed="false">
      <c r="B1451" s="361"/>
      <c r="C1451" s="369"/>
      <c r="D1451" s="369"/>
      <c r="E1451" s="363"/>
      <c r="F1451" s="374"/>
      <c r="G1451" s="363"/>
      <c r="H1451" s="363"/>
      <c r="I1451" s="363"/>
      <c r="J1451" s="363"/>
      <c r="K1451" s="363"/>
      <c r="L1451" s="363"/>
      <c r="M1451" s="367"/>
    </row>
    <row r="1452" customFormat="false" ht="12.75" hidden="false" customHeight="true" outlineLevel="0" collapsed="false">
      <c r="B1452" s="361"/>
      <c r="C1452" s="369"/>
      <c r="D1452" s="369"/>
      <c r="E1452" s="363"/>
      <c r="F1452" s="374"/>
      <c r="G1452" s="363"/>
      <c r="H1452" s="363"/>
      <c r="I1452" s="363"/>
      <c r="J1452" s="363"/>
      <c r="K1452" s="363"/>
      <c r="L1452" s="363"/>
      <c r="M1452" s="367"/>
    </row>
    <row r="1453" customFormat="false" ht="12.75" hidden="false" customHeight="true" outlineLevel="0" collapsed="false">
      <c r="B1453" s="361"/>
      <c r="C1453" s="369"/>
      <c r="D1453" s="369"/>
      <c r="E1453" s="363"/>
      <c r="F1453" s="374"/>
      <c r="G1453" s="363"/>
      <c r="H1453" s="363"/>
      <c r="I1453" s="363"/>
      <c r="J1453" s="363"/>
      <c r="K1453" s="363"/>
      <c r="L1453" s="363"/>
      <c r="M1453" s="367"/>
    </row>
    <row r="1454" customFormat="false" ht="12.75" hidden="false" customHeight="true" outlineLevel="0" collapsed="false">
      <c r="B1454" s="361"/>
      <c r="C1454" s="369"/>
      <c r="D1454" s="369"/>
      <c r="E1454" s="363"/>
      <c r="F1454" s="374"/>
      <c r="G1454" s="363"/>
      <c r="H1454" s="363"/>
      <c r="I1454" s="363"/>
      <c r="J1454" s="363"/>
      <c r="K1454" s="363"/>
      <c r="L1454" s="363"/>
      <c r="M1454" s="367"/>
    </row>
    <row r="1455" customFormat="false" ht="12.75" hidden="false" customHeight="true" outlineLevel="0" collapsed="false">
      <c r="B1455" s="361"/>
      <c r="C1455" s="369"/>
      <c r="D1455" s="369"/>
      <c r="E1455" s="363"/>
      <c r="F1455" s="374"/>
      <c r="G1455" s="363"/>
      <c r="H1455" s="363"/>
      <c r="I1455" s="363"/>
      <c r="J1455" s="363"/>
      <c r="K1455" s="363"/>
      <c r="L1455" s="363"/>
      <c r="M1455" s="367"/>
    </row>
    <row r="1456" customFormat="false" ht="12.75" hidden="false" customHeight="true" outlineLevel="0" collapsed="false">
      <c r="B1456" s="361"/>
      <c r="C1456" s="369"/>
      <c r="D1456" s="369"/>
      <c r="E1456" s="363"/>
      <c r="F1456" s="374"/>
      <c r="G1456" s="363"/>
      <c r="H1456" s="363"/>
      <c r="I1456" s="363"/>
      <c r="J1456" s="363"/>
      <c r="K1456" s="363"/>
      <c r="L1456" s="363"/>
      <c r="M1456" s="367"/>
    </row>
    <row r="1457" customFormat="false" ht="12.75" hidden="false" customHeight="true" outlineLevel="0" collapsed="false">
      <c r="B1457" s="361"/>
      <c r="C1457" s="369"/>
      <c r="D1457" s="369"/>
      <c r="E1457" s="363"/>
      <c r="F1457" s="374"/>
      <c r="G1457" s="363"/>
      <c r="H1457" s="363"/>
      <c r="I1457" s="363"/>
      <c r="J1457" s="363"/>
      <c r="K1457" s="363"/>
      <c r="L1457" s="363"/>
      <c r="M1457" s="367"/>
    </row>
    <row r="1458" customFormat="false" ht="12.75" hidden="false" customHeight="true" outlineLevel="0" collapsed="false">
      <c r="B1458" s="361"/>
      <c r="C1458" s="369"/>
      <c r="D1458" s="369"/>
      <c r="E1458" s="363"/>
      <c r="F1458" s="374"/>
      <c r="G1458" s="363"/>
      <c r="H1458" s="363"/>
      <c r="I1458" s="363"/>
      <c r="J1458" s="363"/>
      <c r="K1458" s="363"/>
      <c r="L1458" s="363"/>
      <c r="M1458" s="367"/>
    </row>
    <row r="1459" customFormat="false" ht="12.75" hidden="false" customHeight="true" outlineLevel="0" collapsed="false">
      <c r="B1459" s="361"/>
      <c r="C1459" s="369"/>
      <c r="D1459" s="369"/>
      <c r="E1459" s="363"/>
      <c r="F1459" s="374"/>
      <c r="G1459" s="363"/>
      <c r="H1459" s="363"/>
      <c r="I1459" s="363"/>
      <c r="J1459" s="363"/>
      <c r="K1459" s="363"/>
      <c r="L1459" s="363"/>
      <c r="M1459" s="367"/>
    </row>
    <row r="1460" customFormat="false" ht="12.75" hidden="false" customHeight="true" outlineLevel="0" collapsed="false">
      <c r="B1460" s="361"/>
      <c r="C1460" s="369"/>
      <c r="D1460" s="369"/>
      <c r="E1460" s="363"/>
      <c r="F1460" s="374"/>
      <c r="G1460" s="363"/>
      <c r="H1460" s="363"/>
      <c r="I1460" s="363"/>
      <c r="J1460" s="363"/>
      <c r="K1460" s="363"/>
      <c r="L1460" s="363"/>
      <c r="M1460" s="367"/>
    </row>
    <row r="1461" customFormat="false" ht="12.75" hidden="false" customHeight="true" outlineLevel="0" collapsed="false">
      <c r="B1461" s="361"/>
      <c r="C1461" s="369"/>
      <c r="D1461" s="369"/>
      <c r="E1461" s="363"/>
      <c r="F1461" s="374"/>
      <c r="G1461" s="363"/>
      <c r="H1461" s="363"/>
      <c r="I1461" s="363"/>
      <c r="J1461" s="363"/>
      <c r="K1461" s="363"/>
      <c r="L1461" s="363"/>
      <c r="M1461" s="367"/>
    </row>
    <row r="1462" customFormat="false" ht="12.75" hidden="false" customHeight="true" outlineLevel="0" collapsed="false">
      <c r="B1462" s="361"/>
      <c r="C1462" s="369"/>
      <c r="D1462" s="369"/>
      <c r="E1462" s="363"/>
      <c r="F1462" s="374"/>
      <c r="G1462" s="363"/>
      <c r="H1462" s="363"/>
      <c r="I1462" s="363"/>
      <c r="J1462" s="363"/>
      <c r="K1462" s="363"/>
      <c r="L1462" s="363"/>
      <c r="M1462" s="367"/>
    </row>
    <row r="1463" customFormat="false" ht="12.75" hidden="false" customHeight="true" outlineLevel="0" collapsed="false">
      <c r="B1463" s="361"/>
      <c r="C1463" s="369"/>
      <c r="D1463" s="369"/>
      <c r="E1463" s="363"/>
      <c r="F1463" s="374"/>
      <c r="G1463" s="363"/>
      <c r="H1463" s="363"/>
      <c r="I1463" s="363"/>
      <c r="J1463" s="363"/>
      <c r="K1463" s="363"/>
      <c r="L1463" s="363"/>
      <c r="M1463" s="367"/>
    </row>
    <row r="1464" customFormat="false" ht="12.75" hidden="false" customHeight="true" outlineLevel="0" collapsed="false">
      <c r="B1464" s="361"/>
      <c r="C1464" s="369"/>
      <c r="D1464" s="369"/>
      <c r="E1464" s="363"/>
      <c r="F1464" s="374"/>
      <c r="G1464" s="363"/>
      <c r="H1464" s="363"/>
      <c r="I1464" s="363"/>
      <c r="J1464" s="363"/>
      <c r="K1464" s="363"/>
      <c r="L1464" s="363"/>
      <c r="M1464" s="367"/>
    </row>
    <row r="1465" customFormat="false" ht="12.75" hidden="false" customHeight="true" outlineLevel="0" collapsed="false">
      <c r="B1465" s="361"/>
      <c r="C1465" s="369"/>
      <c r="D1465" s="369"/>
      <c r="E1465" s="363"/>
      <c r="F1465" s="374"/>
      <c r="G1465" s="363"/>
      <c r="H1465" s="363"/>
      <c r="I1465" s="363"/>
      <c r="J1465" s="363"/>
      <c r="K1465" s="363"/>
      <c r="L1465" s="363"/>
      <c r="M1465" s="367"/>
    </row>
    <row r="1466" customFormat="false" ht="12.75" hidden="false" customHeight="true" outlineLevel="0" collapsed="false">
      <c r="B1466" s="361"/>
      <c r="C1466" s="369"/>
      <c r="D1466" s="369"/>
      <c r="E1466" s="363"/>
      <c r="F1466" s="374"/>
      <c r="G1466" s="363"/>
      <c r="H1466" s="363"/>
      <c r="I1466" s="363"/>
      <c r="J1466" s="363"/>
      <c r="K1466" s="363"/>
      <c r="L1466" s="363"/>
      <c r="M1466" s="367"/>
    </row>
    <row r="1467" customFormat="false" ht="12.75" hidden="false" customHeight="true" outlineLevel="0" collapsed="false">
      <c r="B1467" s="361"/>
      <c r="C1467" s="369"/>
      <c r="D1467" s="369"/>
      <c r="E1467" s="363"/>
      <c r="F1467" s="374"/>
      <c r="G1467" s="363"/>
      <c r="H1467" s="363"/>
      <c r="I1467" s="363"/>
      <c r="J1467" s="363"/>
      <c r="K1467" s="363"/>
      <c r="L1467" s="363"/>
      <c r="M1467" s="367"/>
    </row>
    <row r="1468" customFormat="false" ht="12.75" hidden="false" customHeight="true" outlineLevel="0" collapsed="false">
      <c r="B1468" s="361"/>
      <c r="C1468" s="369"/>
      <c r="D1468" s="369"/>
      <c r="E1468" s="363"/>
      <c r="F1468" s="374"/>
      <c r="G1468" s="363"/>
      <c r="H1468" s="363"/>
      <c r="I1468" s="363"/>
      <c r="J1468" s="363"/>
      <c r="K1468" s="363"/>
      <c r="L1468" s="363"/>
      <c r="M1468" s="367"/>
    </row>
    <row r="1469" customFormat="false" ht="12.75" hidden="false" customHeight="true" outlineLevel="0" collapsed="false">
      <c r="B1469" s="361"/>
      <c r="C1469" s="369"/>
      <c r="D1469" s="369"/>
      <c r="E1469" s="363"/>
      <c r="F1469" s="374"/>
      <c r="G1469" s="363"/>
      <c r="H1469" s="363"/>
      <c r="I1469" s="363"/>
      <c r="J1469" s="363"/>
      <c r="K1469" s="363"/>
      <c r="L1469" s="363"/>
      <c r="M1469" s="367"/>
    </row>
    <row r="1470" customFormat="false" ht="12.75" hidden="false" customHeight="true" outlineLevel="0" collapsed="false">
      <c r="B1470" s="361"/>
      <c r="C1470" s="369"/>
      <c r="D1470" s="369"/>
      <c r="E1470" s="363"/>
      <c r="F1470" s="374"/>
      <c r="G1470" s="363"/>
      <c r="H1470" s="363"/>
      <c r="I1470" s="363"/>
      <c r="J1470" s="363"/>
      <c r="K1470" s="363"/>
      <c r="L1470" s="363"/>
      <c r="M1470" s="367"/>
    </row>
    <row r="1471" customFormat="false" ht="12.75" hidden="false" customHeight="true" outlineLevel="0" collapsed="false">
      <c r="B1471" s="361"/>
      <c r="C1471" s="369"/>
      <c r="D1471" s="369"/>
      <c r="E1471" s="363"/>
      <c r="F1471" s="374"/>
      <c r="G1471" s="363"/>
      <c r="H1471" s="363"/>
      <c r="I1471" s="363"/>
      <c r="J1471" s="363"/>
      <c r="K1471" s="363"/>
      <c r="L1471" s="363"/>
      <c r="M1471" s="367"/>
    </row>
    <row r="1472" customFormat="false" ht="12.75" hidden="false" customHeight="true" outlineLevel="0" collapsed="false">
      <c r="B1472" s="361"/>
      <c r="C1472" s="369"/>
      <c r="D1472" s="369"/>
      <c r="E1472" s="363"/>
      <c r="F1472" s="374"/>
      <c r="G1472" s="363"/>
      <c r="H1472" s="363"/>
      <c r="I1472" s="363"/>
      <c r="J1472" s="363"/>
      <c r="K1472" s="363"/>
      <c r="L1472" s="363"/>
      <c r="M1472" s="367"/>
    </row>
    <row r="1473" customFormat="false" ht="12.75" hidden="false" customHeight="true" outlineLevel="0" collapsed="false">
      <c r="B1473" s="361"/>
      <c r="C1473" s="369"/>
      <c r="D1473" s="369"/>
      <c r="E1473" s="363"/>
      <c r="F1473" s="374"/>
      <c r="G1473" s="363"/>
      <c r="H1473" s="363"/>
      <c r="I1473" s="363"/>
      <c r="J1473" s="363"/>
      <c r="K1473" s="363"/>
      <c r="L1473" s="363"/>
      <c r="M1473" s="367"/>
    </row>
    <row r="1474" customFormat="false" ht="12.75" hidden="false" customHeight="true" outlineLevel="0" collapsed="false">
      <c r="B1474" s="361"/>
      <c r="C1474" s="369"/>
      <c r="D1474" s="369"/>
      <c r="E1474" s="363"/>
      <c r="F1474" s="374"/>
      <c r="G1474" s="363"/>
      <c r="H1474" s="363"/>
      <c r="I1474" s="363"/>
      <c r="J1474" s="363"/>
      <c r="K1474" s="363"/>
      <c r="L1474" s="363"/>
      <c r="M1474" s="367"/>
    </row>
    <row r="1475" customFormat="false" ht="12.75" hidden="false" customHeight="true" outlineLevel="0" collapsed="false">
      <c r="B1475" s="361"/>
      <c r="C1475" s="369"/>
      <c r="D1475" s="369"/>
      <c r="E1475" s="363"/>
      <c r="F1475" s="374"/>
      <c r="G1475" s="363"/>
      <c r="H1475" s="363"/>
      <c r="I1475" s="363"/>
      <c r="J1475" s="363"/>
      <c r="K1475" s="363"/>
      <c r="L1475" s="363"/>
      <c r="M1475" s="367"/>
    </row>
    <row r="1476" customFormat="false" ht="12.75" hidden="false" customHeight="true" outlineLevel="0" collapsed="false">
      <c r="B1476" s="361"/>
      <c r="C1476" s="369"/>
      <c r="D1476" s="369"/>
      <c r="E1476" s="363"/>
      <c r="F1476" s="374"/>
      <c r="G1476" s="363"/>
      <c r="H1476" s="363"/>
      <c r="I1476" s="363"/>
      <c r="J1476" s="363"/>
      <c r="K1476" s="363"/>
      <c r="L1476" s="363"/>
      <c r="M1476" s="367"/>
    </row>
    <row r="1477" customFormat="false" ht="12.75" hidden="false" customHeight="true" outlineLevel="0" collapsed="false">
      <c r="B1477" s="361"/>
      <c r="C1477" s="369"/>
      <c r="D1477" s="369"/>
      <c r="E1477" s="363"/>
      <c r="F1477" s="374"/>
      <c r="G1477" s="363"/>
      <c r="H1477" s="363"/>
      <c r="I1477" s="363"/>
      <c r="J1477" s="363"/>
      <c r="K1477" s="363"/>
      <c r="L1477" s="363"/>
      <c r="M1477" s="367"/>
    </row>
    <row r="1478" customFormat="false" ht="12.75" hidden="false" customHeight="true" outlineLevel="0" collapsed="false">
      <c r="B1478" s="368"/>
      <c r="C1478" s="369"/>
      <c r="D1478" s="369"/>
      <c r="E1478" s="370"/>
      <c r="F1478" s="375"/>
      <c r="G1478" s="370"/>
      <c r="H1478" s="363"/>
      <c r="I1478" s="370"/>
      <c r="J1478" s="370"/>
      <c r="K1478" s="370"/>
      <c r="L1478" s="370"/>
      <c r="M1478" s="367"/>
    </row>
    <row r="1479" customFormat="false" ht="12.75" hidden="false" customHeight="true" outlineLevel="0" collapsed="false">
      <c r="B1479" s="361"/>
      <c r="C1479" s="369"/>
      <c r="D1479" s="369"/>
      <c r="E1479" s="363"/>
      <c r="F1479" s="374"/>
      <c r="G1479" s="363"/>
      <c r="H1479" s="363"/>
      <c r="I1479" s="363"/>
      <c r="J1479" s="363"/>
      <c r="K1479" s="363"/>
      <c r="L1479" s="363"/>
      <c r="M1479" s="367"/>
    </row>
    <row r="1480" customFormat="false" ht="12.75" hidden="false" customHeight="true" outlineLevel="0" collapsed="false">
      <c r="B1480" s="361"/>
      <c r="C1480" s="369"/>
      <c r="D1480" s="369"/>
      <c r="E1480" s="363"/>
      <c r="F1480" s="374"/>
      <c r="G1480" s="363"/>
      <c r="H1480" s="363"/>
      <c r="I1480" s="363"/>
      <c r="J1480" s="363"/>
      <c r="K1480" s="363"/>
      <c r="L1480" s="363"/>
      <c r="M1480" s="367"/>
    </row>
    <row r="1481" customFormat="false" ht="12.75" hidden="false" customHeight="true" outlineLevel="0" collapsed="false">
      <c r="B1481" s="361"/>
      <c r="C1481" s="369"/>
      <c r="D1481" s="369"/>
      <c r="E1481" s="363"/>
      <c r="F1481" s="374"/>
      <c r="G1481" s="363"/>
      <c r="H1481" s="363"/>
      <c r="I1481" s="363"/>
      <c r="J1481" s="363"/>
      <c r="K1481" s="363"/>
      <c r="L1481" s="363"/>
      <c r="M1481" s="367"/>
    </row>
    <row r="1482" customFormat="false" ht="12.75" hidden="false" customHeight="true" outlineLevel="0" collapsed="false">
      <c r="B1482" s="361"/>
      <c r="C1482" s="369"/>
      <c r="D1482" s="369"/>
      <c r="E1482" s="363"/>
      <c r="F1482" s="374"/>
      <c r="G1482" s="363"/>
      <c r="H1482" s="363"/>
      <c r="I1482" s="363"/>
      <c r="J1482" s="363"/>
      <c r="K1482" s="363"/>
      <c r="L1482" s="363"/>
      <c r="M1482" s="367"/>
    </row>
    <row r="1483" customFormat="false" ht="12.75" hidden="false" customHeight="true" outlineLevel="0" collapsed="false">
      <c r="B1483" s="361"/>
      <c r="C1483" s="369"/>
      <c r="D1483" s="369"/>
      <c r="E1483" s="363"/>
      <c r="F1483" s="374"/>
      <c r="G1483" s="363"/>
      <c r="H1483" s="363"/>
      <c r="I1483" s="363"/>
      <c r="J1483" s="363"/>
      <c r="K1483" s="363"/>
      <c r="L1483" s="363"/>
      <c r="M1483" s="367"/>
    </row>
    <row r="1484" customFormat="false" ht="12.75" hidden="false" customHeight="true" outlineLevel="0" collapsed="false">
      <c r="B1484" s="361"/>
      <c r="C1484" s="369"/>
      <c r="D1484" s="369"/>
      <c r="E1484" s="363"/>
      <c r="F1484" s="374"/>
      <c r="G1484" s="363"/>
      <c r="H1484" s="363"/>
      <c r="I1484" s="363"/>
      <c r="J1484" s="363"/>
      <c r="K1484" s="363"/>
      <c r="L1484" s="363"/>
      <c r="M1484" s="367"/>
    </row>
    <row r="1485" customFormat="false" ht="12.75" hidden="false" customHeight="true" outlineLevel="0" collapsed="false">
      <c r="B1485" s="361"/>
      <c r="C1485" s="369"/>
      <c r="D1485" s="369"/>
      <c r="E1485" s="363"/>
      <c r="F1485" s="374"/>
      <c r="G1485" s="363"/>
      <c r="H1485" s="363"/>
      <c r="I1485" s="363"/>
      <c r="J1485" s="363"/>
      <c r="K1485" s="363"/>
      <c r="L1485" s="363"/>
      <c r="M1485" s="367"/>
    </row>
    <row r="1486" customFormat="false" ht="12.75" hidden="false" customHeight="true" outlineLevel="0" collapsed="false">
      <c r="B1486" s="361"/>
      <c r="C1486" s="369"/>
      <c r="D1486" s="369"/>
      <c r="E1486" s="363"/>
      <c r="F1486" s="374"/>
      <c r="G1486" s="363"/>
      <c r="H1486" s="363"/>
      <c r="I1486" s="363"/>
      <c r="J1486" s="363"/>
      <c r="K1486" s="363"/>
      <c r="L1486" s="363"/>
      <c r="M1486" s="367"/>
    </row>
    <row r="1487" customFormat="false" ht="12.75" hidden="false" customHeight="true" outlineLevel="0" collapsed="false">
      <c r="B1487" s="361"/>
      <c r="C1487" s="369"/>
      <c r="D1487" s="369"/>
      <c r="E1487" s="363"/>
      <c r="F1487" s="374"/>
      <c r="G1487" s="363"/>
      <c r="H1487" s="363"/>
      <c r="I1487" s="363"/>
      <c r="J1487" s="363"/>
      <c r="K1487" s="363"/>
      <c r="L1487" s="363"/>
      <c r="M1487" s="367"/>
    </row>
    <row r="1488" customFormat="false" ht="12.75" hidden="false" customHeight="true" outlineLevel="0" collapsed="false">
      <c r="B1488" s="361"/>
      <c r="C1488" s="369"/>
      <c r="D1488" s="369"/>
      <c r="E1488" s="363"/>
      <c r="F1488" s="374"/>
      <c r="G1488" s="363"/>
      <c r="H1488" s="363"/>
      <c r="I1488" s="363"/>
      <c r="J1488" s="363"/>
      <c r="K1488" s="363"/>
      <c r="L1488" s="363"/>
      <c r="M1488" s="367"/>
    </row>
    <row r="1489" customFormat="false" ht="12.75" hidden="false" customHeight="true" outlineLevel="0" collapsed="false">
      <c r="B1489" s="361"/>
      <c r="C1489" s="369"/>
      <c r="D1489" s="369"/>
      <c r="E1489" s="363"/>
      <c r="F1489" s="374"/>
      <c r="G1489" s="363"/>
      <c r="H1489" s="363"/>
      <c r="I1489" s="363"/>
      <c r="J1489" s="363"/>
      <c r="K1489" s="363"/>
      <c r="L1489" s="363"/>
      <c r="M1489" s="367"/>
    </row>
    <row r="1490" customFormat="false" ht="12.75" hidden="false" customHeight="true" outlineLevel="0" collapsed="false">
      <c r="B1490" s="361"/>
      <c r="C1490" s="369"/>
      <c r="D1490" s="369"/>
      <c r="E1490" s="363"/>
      <c r="F1490" s="374"/>
      <c r="G1490" s="363"/>
      <c r="H1490" s="363"/>
      <c r="I1490" s="363"/>
      <c r="J1490" s="363"/>
      <c r="K1490" s="363"/>
      <c r="L1490" s="363"/>
      <c r="M1490" s="367"/>
    </row>
    <row r="1491" customFormat="false" ht="12.75" hidden="false" customHeight="true" outlineLevel="0" collapsed="false">
      <c r="B1491" s="361"/>
      <c r="C1491" s="369"/>
      <c r="D1491" s="369"/>
      <c r="E1491" s="363"/>
      <c r="F1491" s="374"/>
      <c r="G1491" s="363"/>
      <c r="H1491" s="363"/>
      <c r="I1491" s="363"/>
      <c r="J1491" s="363"/>
      <c r="K1491" s="363"/>
      <c r="L1491" s="363"/>
      <c r="M1491" s="367"/>
    </row>
    <row r="1492" customFormat="false" ht="12.75" hidden="false" customHeight="true" outlineLevel="0" collapsed="false">
      <c r="B1492" s="361"/>
      <c r="C1492" s="369"/>
      <c r="D1492" s="369"/>
      <c r="E1492" s="363"/>
      <c r="F1492" s="374"/>
      <c r="G1492" s="363"/>
      <c r="H1492" s="363"/>
      <c r="I1492" s="363"/>
      <c r="J1492" s="363"/>
      <c r="K1492" s="363"/>
      <c r="L1492" s="363"/>
      <c r="M1492" s="367"/>
    </row>
    <row r="1493" customFormat="false" ht="12.75" hidden="false" customHeight="true" outlineLevel="0" collapsed="false">
      <c r="B1493" s="361"/>
      <c r="C1493" s="369"/>
      <c r="D1493" s="369"/>
      <c r="E1493" s="363"/>
      <c r="F1493" s="374"/>
      <c r="G1493" s="363"/>
      <c r="H1493" s="363"/>
      <c r="I1493" s="363"/>
      <c r="J1493" s="363"/>
      <c r="K1493" s="363"/>
      <c r="L1493" s="363"/>
      <c r="M1493" s="367"/>
    </row>
    <row r="1494" customFormat="false" ht="12.75" hidden="false" customHeight="true" outlineLevel="0" collapsed="false">
      <c r="B1494" s="361"/>
      <c r="C1494" s="369"/>
      <c r="D1494" s="369"/>
      <c r="E1494" s="363"/>
      <c r="F1494" s="374"/>
      <c r="G1494" s="363"/>
      <c r="H1494" s="363"/>
      <c r="I1494" s="363"/>
      <c r="J1494" s="363"/>
      <c r="K1494" s="363"/>
      <c r="L1494" s="363"/>
      <c r="M1494" s="367"/>
    </row>
    <row r="1495" customFormat="false" ht="12.75" hidden="false" customHeight="true" outlineLevel="0" collapsed="false">
      <c r="B1495" s="361"/>
      <c r="C1495" s="369"/>
      <c r="D1495" s="369"/>
      <c r="E1495" s="363"/>
      <c r="F1495" s="374"/>
      <c r="G1495" s="363"/>
      <c r="H1495" s="363"/>
      <c r="I1495" s="363"/>
      <c r="J1495" s="363"/>
      <c r="K1495" s="363"/>
      <c r="L1495" s="363"/>
      <c r="M1495" s="367"/>
    </row>
    <row r="1496" customFormat="false" ht="12.75" hidden="false" customHeight="true" outlineLevel="0" collapsed="false">
      <c r="B1496" s="361"/>
      <c r="C1496" s="369"/>
      <c r="D1496" s="369"/>
      <c r="E1496" s="363"/>
      <c r="F1496" s="374"/>
      <c r="G1496" s="363"/>
      <c r="H1496" s="363"/>
      <c r="I1496" s="363"/>
      <c r="J1496" s="363"/>
      <c r="K1496" s="363"/>
      <c r="L1496" s="363"/>
      <c r="M1496" s="367"/>
    </row>
    <row r="1497" customFormat="false" ht="12.75" hidden="false" customHeight="true" outlineLevel="0" collapsed="false">
      <c r="B1497" s="361"/>
      <c r="C1497" s="369"/>
      <c r="D1497" s="369"/>
      <c r="E1497" s="363"/>
      <c r="F1497" s="374"/>
      <c r="G1497" s="363"/>
      <c r="H1497" s="363"/>
      <c r="I1497" s="363"/>
      <c r="J1497" s="363"/>
      <c r="K1497" s="363"/>
      <c r="L1497" s="363"/>
      <c r="M1497" s="367"/>
    </row>
    <row r="1498" customFormat="false" ht="12.75" hidden="false" customHeight="true" outlineLevel="0" collapsed="false">
      <c r="B1498" s="361"/>
      <c r="C1498" s="369"/>
      <c r="D1498" s="369"/>
      <c r="E1498" s="363"/>
      <c r="F1498" s="374"/>
      <c r="G1498" s="363"/>
      <c r="H1498" s="363"/>
      <c r="I1498" s="363"/>
      <c r="J1498" s="363"/>
      <c r="K1498" s="363"/>
      <c r="L1498" s="363"/>
      <c r="M1498" s="367"/>
    </row>
    <row r="1499" customFormat="false" ht="12.75" hidden="false" customHeight="true" outlineLevel="0" collapsed="false">
      <c r="B1499" s="361"/>
      <c r="C1499" s="369"/>
      <c r="D1499" s="369"/>
      <c r="E1499" s="363"/>
      <c r="F1499" s="374"/>
      <c r="G1499" s="363"/>
      <c r="H1499" s="363"/>
      <c r="I1499" s="363"/>
      <c r="J1499" s="363"/>
      <c r="K1499" s="363"/>
      <c r="L1499" s="363"/>
      <c r="M1499" s="367"/>
    </row>
    <row r="1500" customFormat="false" ht="12.75" hidden="false" customHeight="true" outlineLevel="0" collapsed="false">
      <c r="B1500" s="361"/>
      <c r="C1500" s="369"/>
      <c r="D1500" s="369"/>
      <c r="E1500" s="363"/>
      <c r="F1500" s="374"/>
      <c r="G1500" s="363"/>
      <c r="H1500" s="363"/>
      <c r="I1500" s="363"/>
      <c r="J1500" s="363"/>
      <c r="K1500" s="363"/>
      <c r="L1500" s="363"/>
      <c r="M1500" s="367"/>
    </row>
    <row r="1501" customFormat="false" ht="12.75" hidden="false" customHeight="true" outlineLevel="0" collapsed="false">
      <c r="B1501" s="361"/>
      <c r="C1501" s="369"/>
      <c r="D1501" s="369"/>
      <c r="E1501" s="363"/>
      <c r="F1501" s="374"/>
      <c r="G1501" s="363"/>
      <c r="H1501" s="363"/>
      <c r="I1501" s="363"/>
      <c r="J1501" s="363"/>
      <c r="K1501" s="363"/>
      <c r="L1501" s="363"/>
      <c r="M1501" s="367"/>
    </row>
    <row r="1502" customFormat="false" ht="12.75" hidden="false" customHeight="true" outlineLevel="0" collapsed="false">
      <c r="B1502" s="361"/>
      <c r="C1502" s="369"/>
      <c r="D1502" s="369"/>
      <c r="E1502" s="363"/>
      <c r="F1502" s="374"/>
      <c r="G1502" s="363"/>
      <c r="H1502" s="363"/>
      <c r="I1502" s="363"/>
      <c r="J1502" s="363"/>
      <c r="K1502" s="363"/>
      <c r="L1502" s="363"/>
      <c r="M1502" s="367"/>
    </row>
    <row r="1503" customFormat="false" ht="12.75" hidden="false" customHeight="true" outlineLevel="0" collapsed="false">
      <c r="B1503" s="361"/>
      <c r="C1503" s="369"/>
      <c r="D1503" s="369"/>
      <c r="E1503" s="363"/>
      <c r="F1503" s="374"/>
      <c r="G1503" s="363"/>
      <c r="H1503" s="363"/>
      <c r="I1503" s="363"/>
      <c r="J1503" s="363"/>
      <c r="K1503" s="363"/>
      <c r="L1503" s="363"/>
      <c r="M1503" s="367"/>
    </row>
    <row r="1504" customFormat="false" ht="12.75" hidden="false" customHeight="true" outlineLevel="0" collapsed="false">
      <c r="B1504" s="361"/>
      <c r="C1504" s="369"/>
      <c r="D1504" s="369"/>
      <c r="E1504" s="363"/>
      <c r="F1504" s="374"/>
      <c r="G1504" s="363"/>
      <c r="H1504" s="363"/>
      <c r="I1504" s="363"/>
      <c r="J1504" s="363"/>
      <c r="K1504" s="363"/>
      <c r="L1504" s="363"/>
      <c r="M1504" s="367"/>
    </row>
    <row r="1505" customFormat="false" ht="12.75" hidden="false" customHeight="true" outlineLevel="0" collapsed="false">
      <c r="B1505" s="361"/>
      <c r="C1505" s="369"/>
      <c r="D1505" s="369"/>
      <c r="E1505" s="363"/>
      <c r="F1505" s="374"/>
      <c r="G1505" s="363"/>
      <c r="H1505" s="363"/>
      <c r="I1505" s="363"/>
      <c r="J1505" s="363"/>
      <c r="K1505" s="363"/>
      <c r="L1505" s="363"/>
      <c r="M1505" s="367"/>
    </row>
    <row r="1506" customFormat="false" ht="12.75" hidden="false" customHeight="true" outlineLevel="0" collapsed="false">
      <c r="B1506" s="361"/>
      <c r="C1506" s="369"/>
      <c r="D1506" s="369"/>
      <c r="E1506" s="363"/>
      <c r="F1506" s="374"/>
      <c r="G1506" s="363"/>
      <c r="H1506" s="363"/>
      <c r="I1506" s="363"/>
      <c r="J1506" s="363"/>
      <c r="K1506" s="363"/>
      <c r="L1506" s="363"/>
      <c r="M1506" s="367"/>
    </row>
    <row r="1507" customFormat="false" ht="12.75" hidden="false" customHeight="true" outlineLevel="0" collapsed="false">
      <c r="B1507" s="361"/>
      <c r="C1507" s="369"/>
      <c r="D1507" s="369"/>
      <c r="E1507" s="363"/>
      <c r="F1507" s="374"/>
      <c r="G1507" s="363"/>
      <c r="H1507" s="363"/>
      <c r="I1507" s="363"/>
      <c r="J1507" s="363"/>
      <c r="K1507" s="363"/>
      <c r="L1507" s="363"/>
      <c r="M1507" s="367"/>
    </row>
    <row r="1508" customFormat="false" ht="12.75" hidden="false" customHeight="true" outlineLevel="0" collapsed="false">
      <c r="B1508" s="361"/>
      <c r="C1508" s="369"/>
      <c r="D1508" s="369"/>
      <c r="E1508" s="363"/>
      <c r="F1508" s="374"/>
      <c r="G1508" s="363"/>
      <c r="H1508" s="363"/>
      <c r="I1508" s="363"/>
      <c r="J1508" s="363"/>
      <c r="K1508" s="363"/>
      <c r="L1508" s="363"/>
      <c r="M1508" s="367"/>
    </row>
    <row r="1509" customFormat="false" ht="12.75" hidden="false" customHeight="true" outlineLevel="0" collapsed="false">
      <c r="B1509" s="361"/>
      <c r="C1509" s="369"/>
      <c r="D1509" s="369"/>
      <c r="E1509" s="363"/>
      <c r="F1509" s="374"/>
      <c r="G1509" s="363"/>
      <c r="H1509" s="363"/>
      <c r="I1509" s="363"/>
      <c r="J1509" s="363"/>
      <c r="K1509" s="363"/>
      <c r="L1509" s="363"/>
      <c r="M1509" s="367"/>
    </row>
    <row r="1510" customFormat="false" ht="12.75" hidden="false" customHeight="true" outlineLevel="0" collapsed="false">
      <c r="B1510" s="361"/>
      <c r="C1510" s="369"/>
      <c r="D1510" s="369"/>
      <c r="E1510" s="363"/>
      <c r="F1510" s="374"/>
      <c r="G1510" s="363"/>
      <c r="H1510" s="363"/>
      <c r="I1510" s="363"/>
      <c r="J1510" s="363"/>
      <c r="K1510" s="363"/>
      <c r="L1510" s="363"/>
      <c r="M1510" s="367"/>
    </row>
    <row r="1511" customFormat="false" ht="12.75" hidden="false" customHeight="true" outlineLevel="0" collapsed="false">
      <c r="B1511" s="361"/>
      <c r="C1511" s="369"/>
      <c r="D1511" s="369"/>
      <c r="E1511" s="363"/>
      <c r="F1511" s="374"/>
      <c r="G1511" s="363"/>
      <c r="H1511" s="363"/>
      <c r="I1511" s="363"/>
      <c r="J1511" s="363"/>
      <c r="K1511" s="363"/>
      <c r="L1511" s="363"/>
      <c r="M1511" s="367"/>
    </row>
    <row r="1512" customFormat="false" ht="12.75" hidden="false" customHeight="true" outlineLevel="0" collapsed="false">
      <c r="B1512" s="361"/>
      <c r="C1512" s="369"/>
      <c r="D1512" s="369"/>
      <c r="E1512" s="363"/>
      <c r="F1512" s="374"/>
      <c r="G1512" s="363"/>
      <c r="H1512" s="363"/>
      <c r="I1512" s="363"/>
      <c r="J1512" s="363"/>
      <c r="K1512" s="363"/>
      <c r="L1512" s="363"/>
      <c r="M1512" s="367"/>
    </row>
    <row r="1513" customFormat="false" ht="12.75" hidden="false" customHeight="true" outlineLevel="0" collapsed="false">
      <c r="B1513" s="361"/>
      <c r="C1513" s="369"/>
      <c r="D1513" s="369"/>
      <c r="E1513" s="363"/>
      <c r="F1513" s="374"/>
      <c r="G1513" s="363"/>
      <c r="H1513" s="363"/>
      <c r="I1513" s="363"/>
      <c r="J1513" s="363"/>
      <c r="K1513" s="363"/>
      <c r="L1513" s="363"/>
      <c r="M1513" s="367"/>
    </row>
    <row r="1514" customFormat="false" ht="12.75" hidden="false" customHeight="true" outlineLevel="0" collapsed="false">
      <c r="B1514" s="361"/>
      <c r="C1514" s="369"/>
      <c r="D1514" s="369"/>
      <c r="E1514" s="363"/>
      <c r="F1514" s="374"/>
      <c r="G1514" s="363"/>
      <c r="H1514" s="363"/>
      <c r="I1514" s="363"/>
      <c r="J1514" s="363"/>
      <c r="K1514" s="363"/>
      <c r="L1514" s="363"/>
      <c r="M1514" s="367"/>
    </row>
    <row r="1515" customFormat="false" ht="12.75" hidden="false" customHeight="true" outlineLevel="0" collapsed="false">
      <c r="B1515" s="361"/>
      <c r="C1515" s="369"/>
      <c r="D1515" s="369"/>
      <c r="E1515" s="363"/>
      <c r="F1515" s="374"/>
      <c r="G1515" s="363"/>
      <c r="H1515" s="363"/>
      <c r="I1515" s="363"/>
      <c r="J1515" s="363"/>
      <c r="K1515" s="363"/>
      <c r="L1515" s="363"/>
      <c r="M1515" s="367"/>
    </row>
    <row r="1516" customFormat="false" ht="12.75" hidden="false" customHeight="true" outlineLevel="0" collapsed="false">
      <c r="B1516" s="361"/>
      <c r="C1516" s="369"/>
      <c r="D1516" s="369"/>
      <c r="E1516" s="363"/>
      <c r="F1516" s="374"/>
      <c r="G1516" s="363"/>
      <c r="H1516" s="363"/>
      <c r="I1516" s="363"/>
      <c r="J1516" s="363"/>
      <c r="K1516" s="363"/>
      <c r="L1516" s="363"/>
      <c r="M1516" s="367"/>
    </row>
    <row r="1517" customFormat="false" ht="12.75" hidden="false" customHeight="true" outlineLevel="0" collapsed="false">
      <c r="B1517" s="361"/>
      <c r="C1517" s="369"/>
      <c r="D1517" s="369"/>
      <c r="E1517" s="363"/>
      <c r="F1517" s="374"/>
      <c r="G1517" s="363"/>
      <c r="H1517" s="363"/>
      <c r="I1517" s="363"/>
      <c r="J1517" s="363"/>
      <c r="K1517" s="363"/>
      <c r="L1517" s="363"/>
      <c r="M1517" s="367"/>
    </row>
    <row r="1518" customFormat="false" ht="12.75" hidden="false" customHeight="true" outlineLevel="0" collapsed="false">
      <c r="B1518" s="361"/>
      <c r="C1518" s="369"/>
      <c r="D1518" s="369"/>
      <c r="E1518" s="363"/>
      <c r="F1518" s="374"/>
      <c r="G1518" s="363"/>
      <c r="H1518" s="363"/>
      <c r="I1518" s="363"/>
      <c r="J1518" s="363"/>
      <c r="K1518" s="363"/>
      <c r="L1518" s="363"/>
      <c r="M1518" s="367"/>
    </row>
    <row r="1519" customFormat="false" ht="12.75" hidden="false" customHeight="true" outlineLevel="0" collapsed="false">
      <c r="B1519" s="361"/>
      <c r="C1519" s="369"/>
      <c r="D1519" s="369"/>
      <c r="E1519" s="363"/>
      <c r="F1519" s="374"/>
      <c r="G1519" s="363"/>
      <c r="H1519" s="363"/>
      <c r="I1519" s="363"/>
      <c r="J1519" s="363"/>
      <c r="K1519" s="363"/>
      <c r="L1519" s="363"/>
      <c r="M1519" s="367"/>
    </row>
    <row r="1520" customFormat="false" ht="12.75" hidden="false" customHeight="true" outlineLevel="0" collapsed="false">
      <c r="B1520" s="361"/>
      <c r="C1520" s="369"/>
      <c r="D1520" s="369"/>
      <c r="E1520" s="363"/>
      <c r="F1520" s="374"/>
      <c r="G1520" s="363"/>
      <c r="H1520" s="363"/>
      <c r="I1520" s="363"/>
      <c r="J1520" s="363"/>
      <c r="K1520" s="363"/>
      <c r="L1520" s="363"/>
      <c r="M1520" s="367"/>
    </row>
    <row r="1521" customFormat="false" ht="12.75" hidden="false" customHeight="true" outlineLevel="0" collapsed="false">
      <c r="B1521" s="361"/>
      <c r="C1521" s="369"/>
      <c r="D1521" s="369"/>
      <c r="E1521" s="363"/>
      <c r="F1521" s="374"/>
      <c r="G1521" s="363"/>
      <c r="H1521" s="363"/>
      <c r="I1521" s="363"/>
      <c r="J1521" s="363"/>
      <c r="K1521" s="363"/>
      <c r="L1521" s="363"/>
      <c r="M1521" s="367"/>
    </row>
    <row r="1522" customFormat="false" ht="12.75" hidden="false" customHeight="true" outlineLevel="0" collapsed="false">
      <c r="B1522" s="361"/>
      <c r="C1522" s="369"/>
      <c r="D1522" s="369"/>
      <c r="E1522" s="363"/>
      <c r="F1522" s="374"/>
      <c r="G1522" s="363"/>
      <c r="H1522" s="363"/>
      <c r="I1522" s="363"/>
      <c r="J1522" s="363"/>
      <c r="K1522" s="363"/>
      <c r="L1522" s="363"/>
      <c r="M1522" s="367"/>
    </row>
    <row r="1523" customFormat="false" ht="12.75" hidden="false" customHeight="true" outlineLevel="0" collapsed="false">
      <c r="B1523" s="361"/>
      <c r="C1523" s="369"/>
      <c r="D1523" s="369"/>
      <c r="E1523" s="363"/>
      <c r="F1523" s="374"/>
      <c r="G1523" s="363"/>
      <c r="H1523" s="363"/>
      <c r="I1523" s="363"/>
      <c r="J1523" s="363"/>
      <c r="K1523" s="363"/>
      <c r="L1523" s="363"/>
      <c r="M1523" s="367"/>
    </row>
    <row r="1524" customFormat="false" ht="12.75" hidden="false" customHeight="true" outlineLevel="0" collapsed="false">
      <c r="B1524" s="361"/>
      <c r="C1524" s="369"/>
      <c r="D1524" s="369"/>
      <c r="E1524" s="363"/>
      <c r="F1524" s="374"/>
      <c r="G1524" s="363"/>
      <c r="H1524" s="363"/>
      <c r="I1524" s="363"/>
      <c r="J1524" s="363"/>
      <c r="K1524" s="363"/>
      <c r="L1524" s="363"/>
      <c r="M1524" s="367"/>
    </row>
    <row r="1525" customFormat="false" ht="12.75" hidden="false" customHeight="true" outlineLevel="0" collapsed="false">
      <c r="B1525" s="361"/>
      <c r="C1525" s="369"/>
      <c r="D1525" s="369"/>
      <c r="E1525" s="363"/>
      <c r="F1525" s="374"/>
      <c r="G1525" s="363"/>
      <c r="H1525" s="363"/>
      <c r="I1525" s="363"/>
      <c r="J1525" s="363"/>
      <c r="K1525" s="363"/>
      <c r="L1525" s="363"/>
      <c r="M1525" s="367"/>
    </row>
    <row r="1526" customFormat="false" ht="12.75" hidden="false" customHeight="true" outlineLevel="0" collapsed="false">
      <c r="B1526" s="361"/>
      <c r="C1526" s="369"/>
      <c r="D1526" s="369"/>
      <c r="E1526" s="363"/>
      <c r="F1526" s="374"/>
      <c r="G1526" s="363"/>
      <c r="H1526" s="363"/>
      <c r="I1526" s="363"/>
      <c r="J1526" s="363"/>
      <c r="K1526" s="363"/>
      <c r="L1526" s="363"/>
      <c r="M1526" s="367"/>
    </row>
    <row r="1527" customFormat="false" ht="12.75" hidden="false" customHeight="true" outlineLevel="0" collapsed="false">
      <c r="B1527" s="361"/>
      <c r="C1527" s="369"/>
      <c r="D1527" s="369"/>
      <c r="E1527" s="363"/>
      <c r="F1527" s="374"/>
      <c r="G1527" s="363"/>
      <c r="H1527" s="363"/>
      <c r="I1527" s="363"/>
      <c r="J1527" s="363"/>
      <c r="K1527" s="363"/>
      <c r="L1527" s="363"/>
      <c r="M1527" s="367"/>
    </row>
    <row r="1528" customFormat="false" ht="12.75" hidden="false" customHeight="true" outlineLevel="0" collapsed="false">
      <c r="B1528" s="361"/>
      <c r="C1528" s="369"/>
      <c r="D1528" s="369"/>
      <c r="E1528" s="363"/>
      <c r="F1528" s="374"/>
      <c r="G1528" s="363"/>
      <c r="H1528" s="363"/>
      <c r="I1528" s="363"/>
      <c r="J1528" s="363"/>
      <c r="K1528" s="363"/>
      <c r="L1528" s="363"/>
      <c r="M1528" s="367"/>
    </row>
    <row r="1529" customFormat="false" ht="12.75" hidden="false" customHeight="true" outlineLevel="0" collapsed="false">
      <c r="B1529" s="368"/>
      <c r="C1529" s="369"/>
      <c r="D1529" s="369"/>
      <c r="E1529" s="370"/>
      <c r="F1529" s="373"/>
      <c r="G1529" s="370"/>
      <c r="H1529" s="370"/>
      <c r="I1529" s="370"/>
      <c r="J1529" s="370"/>
      <c r="K1529" s="370"/>
      <c r="L1529" s="370"/>
      <c r="M1529" s="367"/>
    </row>
    <row r="1530" customFormat="false" ht="12.75" hidden="false" customHeight="true" outlineLevel="0" collapsed="false">
      <c r="B1530" s="361"/>
      <c r="C1530" s="369"/>
      <c r="D1530" s="369"/>
      <c r="E1530" s="363"/>
      <c r="F1530" s="364"/>
      <c r="G1530" s="363"/>
      <c r="H1530" s="363"/>
      <c r="I1530" s="363"/>
      <c r="J1530" s="363"/>
      <c r="K1530" s="363"/>
      <c r="L1530" s="363"/>
      <c r="M1530" s="367"/>
    </row>
    <row r="1531" customFormat="false" ht="12.75" hidden="false" customHeight="true" outlineLevel="0" collapsed="false">
      <c r="B1531" s="361"/>
      <c r="C1531" s="369"/>
      <c r="D1531" s="369"/>
      <c r="E1531" s="363"/>
      <c r="F1531" s="364"/>
      <c r="G1531" s="363"/>
      <c r="H1531" s="363"/>
      <c r="I1531" s="363"/>
      <c r="J1531" s="363"/>
      <c r="K1531" s="363"/>
      <c r="L1531" s="363"/>
      <c r="M1531" s="367"/>
    </row>
    <row r="1532" customFormat="false" ht="12.75" hidden="false" customHeight="true" outlineLevel="0" collapsed="false">
      <c r="B1532" s="361"/>
      <c r="C1532" s="369"/>
      <c r="D1532" s="369"/>
      <c r="E1532" s="363"/>
      <c r="F1532" s="364"/>
      <c r="G1532" s="363"/>
      <c r="H1532" s="363"/>
      <c r="I1532" s="363"/>
      <c r="J1532" s="363"/>
      <c r="K1532" s="363"/>
      <c r="L1532" s="363"/>
      <c r="M1532" s="367"/>
    </row>
    <row r="1533" customFormat="false" ht="12.75" hidden="false" customHeight="true" outlineLevel="0" collapsed="false">
      <c r="B1533" s="361"/>
      <c r="C1533" s="369"/>
      <c r="D1533" s="369"/>
      <c r="E1533" s="363"/>
      <c r="F1533" s="364"/>
      <c r="G1533" s="363"/>
      <c r="H1533" s="363"/>
      <c r="I1533" s="363"/>
      <c r="J1533" s="363"/>
      <c r="K1533" s="363"/>
      <c r="L1533" s="363"/>
      <c r="M1533" s="367"/>
    </row>
    <row r="1534" customFormat="false" ht="12.75" hidden="false" customHeight="true" outlineLevel="0" collapsed="false">
      <c r="B1534" s="361"/>
      <c r="C1534" s="369"/>
      <c r="D1534" s="369"/>
      <c r="E1534" s="363"/>
      <c r="F1534" s="364"/>
      <c r="G1534" s="363"/>
      <c r="H1534" s="363"/>
      <c r="I1534" s="363"/>
      <c r="J1534" s="363"/>
      <c r="K1534" s="363"/>
      <c r="L1534" s="363"/>
      <c r="M1534" s="367"/>
    </row>
    <row r="1535" customFormat="false" ht="12.75" hidden="false" customHeight="true" outlineLevel="0" collapsed="false">
      <c r="B1535" s="361"/>
      <c r="C1535" s="369"/>
      <c r="D1535" s="369"/>
      <c r="E1535" s="363"/>
      <c r="F1535" s="364"/>
      <c r="G1535" s="363"/>
      <c r="H1535" s="363"/>
      <c r="I1535" s="363"/>
      <c r="J1535" s="363"/>
      <c r="K1535" s="363"/>
      <c r="L1535" s="363"/>
      <c r="M1535" s="367"/>
    </row>
    <row r="1536" customFormat="false" ht="12.75" hidden="false" customHeight="true" outlineLevel="0" collapsed="false">
      <c r="B1536" s="361"/>
      <c r="C1536" s="369"/>
      <c r="D1536" s="369"/>
      <c r="E1536" s="363"/>
      <c r="F1536" s="364"/>
      <c r="G1536" s="363"/>
      <c r="H1536" s="363"/>
      <c r="I1536" s="363"/>
      <c r="J1536" s="363"/>
      <c r="K1536" s="363"/>
      <c r="L1536" s="363"/>
      <c r="M1536" s="367"/>
    </row>
    <row r="1537" customFormat="false" ht="12.75" hidden="false" customHeight="true" outlineLevel="0" collapsed="false">
      <c r="B1537" s="361"/>
      <c r="C1537" s="369"/>
      <c r="D1537" s="369"/>
      <c r="E1537" s="363"/>
      <c r="F1537" s="364"/>
      <c r="G1537" s="363"/>
      <c r="H1537" s="363"/>
      <c r="I1537" s="363"/>
      <c r="J1537" s="363"/>
      <c r="K1537" s="363"/>
      <c r="L1537" s="363"/>
      <c r="M1537" s="367"/>
    </row>
    <row r="1538" customFormat="false" ht="12.75" hidden="false" customHeight="true" outlineLevel="0" collapsed="false">
      <c r="B1538" s="361"/>
      <c r="C1538" s="369"/>
      <c r="D1538" s="369"/>
      <c r="E1538" s="363"/>
      <c r="F1538" s="364"/>
      <c r="G1538" s="363"/>
      <c r="H1538" s="363"/>
      <c r="I1538" s="363"/>
      <c r="J1538" s="363"/>
      <c r="K1538" s="363"/>
      <c r="L1538" s="363"/>
      <c r="M1538" s="367"/>
    </row>
    <row r="1539" customFormat="false" ht="12.75" hidden="false" customHeight="true" outlineLevel="0" collapsed="false">
      <c r="B1539" s="361"/>
      <c r="C1539" s="369"/>
      <c r="D1539" s="369"/>
      <c r="E1539" s="363"/>
      <c r="F1539" s="364"/>
      <c r="G1539" s="363"/>
      <c r="H1539" s="363"/>
      <c r="I1539" s="363"/>
      <c r="J1539" s="363"/>
      <c r="K1539" s="363"/>
      <c r="L1539" s="363"/>
      <c r="M1539" s="367"/>
    </row>
    <row r="1540" customFormat="false" ht="12.75" hidden="false" customHeight="true" outlineLevel="0" collapsed="false">
      <c r="B1540" s="361"/>
      <c r="C1540" s="369"/>
      <c r="D1540" s="369"/>
      <c r="E1540" s="363"/>
      <c r="F1540" s="364"/>
      <c r="G1540" s="363"/>
      <c r="H1540" s="363"/>
      <c r="I1540" s="363"/>
      <c r="J1540" s="363"/>
      <c r="K1540" s="363"/>
      <c r="L1540" s="363"/>
      <c r="M1540" s="367"/>
    </row>
    <row r="1541" customFormat="false" ht="12.75" hidden="false" customHeight="true" outlineLevel="0" collapsed="false">
      <c r="B1541" s="361"/>
      <c r="C1541" s="369"/>
      <c r="D1541" s="369"/>
      <c r="E1541" s="363"/>
      <c r="F1541" s="364"/>
      <c r="G1541" s="363"/>
      <c r="H1541" s="363"/>
      <c r="I1541" s="363"/>
      <c r="J1541" s="363"/>
      <c r="K1541" s="363"/>
      <c r="L1541" s="363"/>
      <c r="M1541" s="367"/>
    </row>
    <row r="1542" customFormat="false" ht="12.75" hidden="false" customHeight="true" outlineLevel="0" collapsed="false">
      <c r="B1542" s="361"/>
      <c r="C1542" s="369"/>
      <c r="D1542" s="369"/>
      <c r="E1542" s="363"/>
      <c r="F1542" s="364"/>
      <c r="G1542" s="363"/>
      <c r="H1542" s="363"/>
      <c r="I1542" s="363"/>
      <c r="J1542" s="363"/>
      <c r="K1542" s="363"/>
      <c r="L1542" s="363"/>
      <c r="M1542" s="367"/>
    </row>
    <row r="1543" customFormat="false" ht="12.75" hidden="false" customHeight="true" outlineLevel="0" collapsed="false">
      <c r="B1543" s="361"/>
      <c r="C1543" s="369"/>
      <c r="D1543" s="369"/>
      <c r="E1543" s="363"/>
      <c r="F1543" s="364"/>
      <c r="G1543" s="363"/>
      <c r="H1543" s="363"/>
      <c r="I1543" s="363"/>
      <c r="J1543" s="363"/>
      <c r="K1543" s="363"/>
      <c r="L1543" s="363"/>
      <c r="M1543" s="367"/>
    </row>
    <row r="1544" customFormat="false" ht="12.75" hidden="false" customHeight="true" outlineLevel="0" collapsed="false">
      <c r="B1544" s="361"/>
      <c r="C1544" s="369"/>
      <c r="D1544" s="369"/>
      <c r="E1544" s="363"/>
      <c r="F1544" s="364"/>
      <c r="G1544" s="363"/>
      <c r="H1544" s="363"/>
      <c r="I1544" s="363"/>
      <c r="J1544" s="363"/>
      <c r="K1544" s="363"/>
      <c r="L1544" s="363"/>
      <c r="M1544" s="367"/>
    </row>
    <row r="1545" customFormat="false" ht="12.75" hidden="false" customHeight="true" outlineLevel="0" collapsed="false">
      <c r="B1545" s="361"/>
      <c r="C1545" s="369"/>
      <c r="D1545" s="369"/>
      <c r="E1545" s="363"/>
      <c r="F1545" s="364"/>
      <c r="G1545" s="363"/>
      <c r="H1545" s="363"/>
      <c r="I1545" s="363"/>
      <c r="J1545" s="363"/>
      <c r="K1545" s="363"/>
      <c r="L1545" s="363"/>
      <c r="M1545" s="367"/>
    </row>
    <row r="1546" customFormat="false" ht="12.75" hidden="false" customHeight="true" outlineLevel="0" collapsed="false">
      <c r="B1546" s="361"/>
      <c r="C1546" s="369"/>
      <c r="D1546" s="369"/>
      <c r="E1546" s="363"/>
      <c r="F1546" s="364"/>
      <c r="G1546" s="363"/>
      <c r="H1546" s="363"/>
      <c r="I1546" s="363"/>
      <c r="J1546" s="363"/>
      <c r="K1546" s="363"/>
      <c r="L1546" s="363"/>
      <c r="M1546" s="367"/>
    </row>
    <row r="1547" customFormat="false" ht="12.75" hidden="false" customHeight="true" outlineLevel="0" collapsed="false">
      <c r="B1547" s="361"/>
      <c r="C1547" s="369"/>
      <c r="D1547" s="369"/>
      <c r="E1547" s="363"/>
      <c r="F1547" s="364"/>
      <c r="G1547" s="363"/>
      <c r="H1547" s="363"/>
      <c r="I1547" s="363"/>
      <c r="J1547" s="363"/>
      <c r="K1547" s="363"/>
      <c r="L1547" s="363"/>
      <c r="M1547" s="367"/>
    </row>
    <row r="1548" customFormat="false" ht="12.75" hidden="false" customHeight="true" outlineLevel="0" collapsed="false">
      <c r="B1548" s="361"/>
      <c r="C1548" s="369"/>
      <c r="D1548" s="369"/>
      <c r="E1548" s="363"/>
      <c r="F1548" s="364"/>
      <c r="G1548" s="363"/>
      <c r="H1548" s="363"/>
      <c r="I1548" s="363"/>
      <c r="J1548" s="363"/>
      <c r="K1548" s="363"/>
      <c r="L1548" s="363"/>
      <c r="M1548" s="367"/>
    </row>
    <row r="1549" customFormat="false" ht="12.75" hidden="false" customHeight="true" outlineLevel="0" collapsed="false">
      <c r="B1549" s="361"/>
      <c r="C1549" s="369"/>
      <c r="D1549" s="369"/>
      <c r="E1549" s="363"/>
      <c r="F1549" s="364"/>
      <c r="G1549" s="363"/>
      <c r="H1549" s="363"/>
      <c r="I1549" s="363"/>
      <c r="J1549" s="363"/>
      <c r="K1549" s="363"/>
      <c r="L1549" s="363"/>
      <c r="M1549" s="367"/>
    </row>
    <row r="1550" customFormat="false" ht="12.75" hidden="false" customHeight="true" outlineLevel="0" collapsed="false">
      <c r="B1550" s="361"/>
      <c r="C1550" s="369"/>
      <c r="D1550" s="369"/>
      <c r="E1550" s="363"/>
      <c r="F1550" s="364"/>
      <c r="G1550" s="363"/>
      <c r="H1550" s="363"/>
      <c r="I1550" s="363"/>
      <c r="J1550" s="363"/>
      <c r="K1550" s="363"/>
      <c r="L1550" s="363"/>
      <c r="M1550" s="367"/>
    </row>
    <row r="1551" customFormat="false" ht="12.75" hidden="false" customHeight="true" outlineLevel="0" collapsed="false">
      <c r="B1551" s="361"/>
      <c r="C1551" s="369"/>
      <c r="D1551" s="369"/>
      <c r="E1551" s="363"/>
      <c r="F1551" s="364"/>
      <c r="G1551" s="363"/>
      <c r="H1551" s="363"/>
      <c r="I1551" s="363"/>
      <c r="J1551" s="363"/>
      <c r="K1551" s="363"/>
      <c r="L1551" s="363"/>
      <c r="M1551" s="367"/>
    </row>
    <row r="1552" customFormat="false" ht="12.75" hidden="false" customHeight="true" outlineLevel="0" collapsed="false">
      <c r="B1552" s="361"/>
      <c r="C1552" s="369"/>
      <c r="D1552" s="369"/>
      <c r="E1552" s="363"/>
      <c r="F1552" s="364"/>
      <c r="G1552" s="363"/>
      <c r="H1552" s="363"/>
      <c r="I1552" s="363"/>
      <c r="J1552" s="363"/>
      <c r="K1552" s="363"/>
      <c r="L1552" s="363"/>
      <c r="M1552" s="367"/>
    </row>
    <row r="1553" customFormat="false" ht="12.75" hidden="false" customHeight="true" outlineLevel="0" collapsed="false">
      <c r="B1553" s="361"/>
      <c r="C1553" s="369"/>
      <c r="D1553" s="369"/>
      <c r="E1553" s="363"/>
      <c r="F1553" s="364"/>
      <c r="G1553" s="363"/>
      <c r="H1553" s="363"/>
      <c r="I1553" s="363"/>
      <c r="J1553" s="363"/>
      <c r="K1553" s="363"/>
      <c r="L1553" s="363"/>
      <c r="M1553" s="367"/>
    </row>
    <row r="1554" customFormat="false" ht="12.75" hidden="false" customHeight="true" outlineLevel="0" collapsed="false">
      <c r="B1554" s="361"/>
      <c r="C1554" s="369"/>
      <c r="D1554" s="369"/>
      <c r="E1554" s="363"/>
      <c r="F1554" s="364"/>
      <c r="G1554" s="363"/>
      <c r="H1554" s="363"/>
      <c r="I1554" s="363"/>
      <c r="J1554" s="363"/>
      <c r="K1554" s="363"/>
      <c r="L1554" s="363"/>
      <c r="M1554" s="367"/>
    </row>
    <row r="1555" customFormat="false" ht="12.75" hidden="false" customHeight="true" outlineLevel="0" collapsed="false">
      <c r="B1555" s="361"/>
      <c r="C1555" s="369"/>
      <c r="D1555" s="369"/>
      <c r="E1555" s="363"/>
      <c r="F1555" s="364"/>
      <c r="G1555" s="363"/>
      <c r="H1555" s="363"/>
      <c r="I1555" s="363"/>
      <c r="J1555" s="363"/>
      <c r="K1555" s="363"/>
      <c r="L1555" s="363"/>
      <c r="M1555" s="367"/>
    </row>
    <row r="1556" customFormat="false" ht="12.75" hidden="false" customHeight="true" outlineLevel="0" collapsed="false">
      <c r="B1556" s="361"/>
      <c r="C1556" s="369"/>
      <c r="D1556" s="369"/>
      <c r="E1556" s="363"/>
      <c r="F1556" s="364"/>
      <c r="G1556" s="363"/>
      <c r="H1556" s="363"/>
      <c r="I1556" s="363"/>
      <c r="J1556" s="363"/>
      <c r="K1556" s="363"/>
      <c r="L1556" s="363"/>
      <c r="M1556" s="367"/>
    </row>
    <row r="1557" customFormat="false" ht="12.75" hidden="false" customHeight="true" outlineLevel="0" collapsed="false">
      <c r="B1557" s="361"/>
      <c r="C1557" s="369"/>
      <c r="D1557" s="369"/>
      <c r="E1557" s="363"/>
      <c r="F1557" s="364"/>
      <c r="G1557" s="363"/>
      <c r="H1557" s="363"/>
      <c r="I1557" s="363"/>
      <c r="J1557" s="363"/>
      <c r="K1557" s="363"/>
      <c r="L1557" s="363"/>
      <c r="M1557" s="367"/>
    </row>
    <row r="1558" customFormat="false" ht="12.75" hidden="false" customHeight="true" outlineLevel="0" collapsed="false">
      <c r="B1558" s="361"/>
      <c r="C1558" s="369"/>
      <c r="D1558" s="369"/>
      <c r="E1558" s="363"/>
      <c r="F1558" s="364"/>
      <c r="G1558" s="363"/>
      <c r="H1558" s="363"/>
      <c r="I1558" s="363"/>
      <c r="J1558" s="363"/>
      <c r="K1558" s="363"/>
      <c r="L1558" s="363"/>
      <c r="M1558" s="367"/>
    </row>
    <row r="1559" customFormat="false" ht="12.75" hidden="false" customHeight="true" outlineLevel="0" collapsed="false">
      <c r="B1559" s="361"/>
      <c r="C1559" s="369"/>
      <c r="D1559" s="369"/>
      <c r="E1559" s="363"/>
      <c r="F1559" s="364"/>
      <c r="G1559" s="363"/>
      <c r="H1559" s="363"/>
      <c r="I1559" s="363"/>
      <c r="J1559" s="363"/>
      <c r="K1559" s="363"/>
      <c r="L1559" s="363"/>
      <c r="M1559" s="367"/>
    </row>
    <row r="1560" customFormat="false" ht="12.75" hidden="false" customHeight="true" outlineLevel="0" collapsed="false">
      <c r="B1560" s="361"/>
      <c r="C1560" s="369"/>
      <c r="D1560" s="369"/>
      <c r="E1560" s="363"/>
      <c r="F1560" s="364"/>
      <c r="G1560" s="363"/>
      <c r="H1560" s="363"/>
      <c r="I1560" s="363"/>
      <c r="J1560" s="363"/>
      <c r="K1560" s="363"/>
      <c r="L1560" s="363"/>
      <c r="M1560" s="367"/>
    </row>
    <row r="1561" customFormat="false" ht="12.75" hidden="false" customHeight="true" outlineLevel="0" collapsed="false">
      <c r="B1561" s="361"/>
      <c r="C1561" s="369"/>
      <c r="D1561" s="369"/>
      <c r="E1561" s="363"/>
      <c r="F1561" s="364"/>
      <c r="G1561" s="363"/>
      <c r="H1561" s="363"/>
      <c r="I1561" s="363"/>
      <c r="J1561" s="363"/>
      <c r="K1561" s="363"/>
      <c r="L1561" s="363"/>
      <c r="M1561" s="367"/>
    </row>
    <row r="1562" customFormat="false" ht="12.75" hidden="false" customHeight="true" outlineLevel="0" collapsed="false">
      <c r="B1562" s="361"/>
      <c r="C1562" s="369"/>
      <c r="D1562" s="369"/>
      <c r="E1562" s="363"/>
      <c r="F1562" s="364"/>
      <c r="G1562" s="363"/>
      <c r="H1562" s="363"/>
      <c r="I1562" s="363"/>
      <c r="J1562" s="363"/>
      <c r="K1562" s="363"/>
      <c r="L1562" s="363"/>
      <c r="M1562" s="367"/>
    </row>
    <row r="1563" customFormat="false" ht="12.75" hidden="false" customHeight="true" outlineLevel="0" collapsed="false">
      <c r="B1563" s="361"/>
      <c r="C1563" s="369"/>
      <c r="D1563" s="369"/>
      <c r="E1563" s="363"/>
      <c r="F1563" s="364"/>
      <c r="G1563" s="363"/>
      <c r="H1563" s="363"/>
      <c r="I1563" s="363"/>
      <c r="J1563" s="363"/>
      <c r="K1563" s="363"/>
      <c r="L1563" s="363"/>
      <c r="M1563" s="367"/>
    </row>
    <row r="1564" customFormat="false" ht="12.75" hidden="false" customHeight="true" outlineLevel="0" collapsed="false">
      <c r="B1564" s="361"/>
      <c r="C1564" s="369"/>
      <c r="D1564" s="369"/>
      <c r="E1564" s="363"/>
      <c r="F1564" s="364"/>
      <c r="G1564" s="363"/>
      <c r="H1564" s="363"/>
      <c r="I1564" s="363"/>
      <c r="J1564" s="363"/>
      <c r="K1564" s="363"/>
      <c r="L1564" s="363"/>
      <c r="M1564" s="367"/>
    </row>
    <row r="1565" customFormat="false" ht="12.75" hidden="false" customHeight="true" outlineLevel="0" collapsed="false">
      <c r="B1565" s="361"/>
      <c r="C1565" s="369"/>
      <c r="D1565" s="369"/>
      <c r="E1565" s="363"/>
      <c r="F1565" s="364"/>
      <c r="G1565" s="363"/>
      <c r="H1565" s="363"/>
      <c r="I1565" s="363"/>
      <c r="J1565" s="363"/>
      <c r="K1565" s="363"/>
      <c r="L1565" s="363"/>
      <c r="M1565" s="367"/>
    </row>
    <row r="1566" customFormat="false" ht="12.75" hidden="false" customHeight="true" outlineLevel="0" collapsed="false">
      <c r="B1566" s="361"/>
      <c r="C1566" s="369"/>
      <c r="D1566" s="369"/>
      <c r="E1566" s="363"/>
      <c r="F1566" s="364"/>
      <c r="G1566" s="363"/>
      <c r="H1566" s="363"/>
      <c r="I1566" s="363"/>
      <c r="J1566" s="363"/>
      <c r="K1566" s="363"/>
      <c r="L1566" s="363"/>
      <c r="M1566" s="367"/>
    </row>
    <row r="1567" customFormat="false" ht="12.75" hidden="false" customHeight="true" outlineLevel="0" collapsed="false">
      <c r="B1567" s="361"/>
      <c r="C1567" s="369"/>
      <c r="D1567" s="369"/>
      <c r="E1567" s="363"/>
      <c r="F1567" s="364"/>
      <c r="G1567" s="363"/>
      <c r="H1567" s="363"/>
      <c r="I1567" s="363"/>
      <c r="J1567" s="363"/>
      <c r="K1567" s="363"/>
      <c r="L1567" s="363"/>
      <c r="M1567" s="367"/>
    </row>
    <row r="1568" customFormat="false" ht="12.75" hidden="false" customHeight="true" outlineLevel="0" collapsed="false">
      <c r="B1568" s="361"/>
      <c r="C1568" s="369"/>
      <c r="D1568" s="369"/>
      <c r="E1568" s="363"/>
      <c r="F1568" s="364"/>
      <c r="G1568" s="363"/>
      <c r="H1568" s="363"/>
      <c r="I1568" s="363"/>
      <c r="J1568" s="363"/>
      <c r="K1568" s="363"/>
      <c r="L1568" s="363"/>
      <c r="M1568" s="367"/>
    </row>
    <row r="1569" customFormat="false" ht="12.75" hidden="false" customHeight="true" outlineLevel="0" collapsed="false">
      <c r="B1569" s="361"/>
      <c r="C1569" s="369"/>
      <c r="D1569" s="369"/>
      <c r="E1569" s="363"/>
      <c r="F1569" s="364"/>
      <c r="G1569" s="363"/>
      <c r="H1569" s="363"/>
      <c r="I1569" s="363"/>
      <c r="J1569" s="363"/>
      <c r="K1569" s="363"/>
      <c r="L1569" s="363"/>
      <c r="M1569" s="367"/>
    </row>
    <row r="1570" customFormat="false" ht="12.75" hidden="false" customHeight="true" outlineLevel="0" collapsed="false">
      <c r="B1570" s="361"/>
      <c r="C1570" s="369"/>
      <c r="D1570" s="369"/>
      <c r="E1570" s="363"/>
      <c r="F1570" s="364"/>
      <c r="G1570" s="363"/>
      <c r="H1570" s="363"/>
      <c r="I1570" s="363"/>
      <c r="J1570" s="363"/>
      <c r="K1570" s="363"/>
      <c r="L1570" s="363"/>
      <c r="M1570" s="367"/>
    </row>
    <row r="1571" customFormat="false" ht="12.75" hidden="false" customHeight="true" outlineLevel="0" collapsed="false">
      <c r="B1571" s="361"/>
      <c r="C1571" s="369"/>
      <c r="D1571" s="369"/>
      <c r="E1571" s="363"/>
      <c r="F1571" s="364"/>
      <c r="G1571" s="363"/>
      <c r="H1571" s="363"/>
      <c r="I1571" s="363"/>
      <c r="J1571" s="363"/>
      <c r="K1571" s="363"/>
      <c r="L1571" s="363"/>
      <c r="M1571" s="367"/>
    </row>
    <row r="1572" customFormat="false" ht="12.75" hidden="false" customHeight="true" outlineLevel="0" collapsed="false">
      <c r="B1572" s="368"/>
      <c r="C1572" s="369"/>
      <c r="D1572" s="369"/>
      <c r="E1572" s="370"/>
      <c r="F1572" s="371"/>
      <c r="G1572" s="370"/>
      <c r="H1572" s="363"/>
      <c r="I1572" s="370"/>
      <c r="J1572" s="370"/>
      <c r="K1572" s="370"/>
      <c r="L1572" s="370"/>
      <c r="M1572" s="367"/>
    </row>
    <row r="1573" customFormat="false" ht="12.75" hidden="false" customHeight="true" outlineLevel="0" collapsed="false">
      <c r="B1573" s="361"/>
      <c r="C1573" s="369"/>
      <c r="D1573" s="369"/>
      <c r="E1573" s="363"/>
      <c r="F1573" s="364"/>
      <c r="G1573" s="363"/>
      <c r="H1573" s="363"/>
      <c r="I1573" s="363"/>
      <c r="J1573" s="363"/>
      <c r="K1573" s="363"/>
      <c r="L1573" s="363"/>
      <c r="M1573" s="367"/>
    </row>
    <row r="1574" customFormat="false" ht="12.75" hidden="false" customHeight="true" outlineLevel="0" collapsed="false">
      <c r="B1574" s="361"/>
      <c r="C1574" s="369"/>
      <c r="D1574" s="369"/>
      <c r="E1574" s="363"/>
      <c r="F1574" s="364"/>
      <c r="G1574" s="363"/>
      <c r="H1574" s="363"/>
      <c r="I1574" s="363"/>
      <c r="J1574" s="363"/>
      <c r="K1574" s="363"/>
      <c r="L1574" s="363"/>
      <c r="M1574" s="367"/>
    </row>
    <row r="1575" customFormat="false" ht="12.75" hidden="false" customHeight="true" outlineLevel="0" collapsed="false">
      <c r="B1575" s="361"/>
      <c r="C1575" s="369"/>
      <c r="D1575" s="369"/>
      <c r="E1575" s="363"/>
      <c r="F1575" s="364"/>
      <c r="G1575" s="363"/>
      <c r="H1575" s="363"/>
      <c r="I1575" s="363"/>
      <c r="J1575" s="363"/>
      <c r="K1575" s="363"/>
      <c r="L1575" s="363"/>
      <c r="M1575" s="367"/>
    </row>
    <row r="1576" customFormat="false" ht="12.75" hidden="false" customHeight="true" outlineLevel="0" collapsed="false">
      <c r="B1576" s="361"/>
      <c r="C1576" s="369"/>
      <c r="D1576" s="369"/>
      <c r="E1576" s="363"/>
      <c r="F1576" s="364"/>
      <c r="G1576" s="363"/>
      <c r="H1576" s="363"/>
      <c r="I1576" s="363"/>
      <c r="J1576" s="363"/>
      <c r="K1576" s="363"/>
      <c r="L1576" s="363"/>
      <c r="M1576" s="367"/>
    </row>
    <row r="1577" customFormat="false" ht="12.75" hidden="false" customHeight="true" outlineLevel="0" collapsed="false">
      <c r="B1577" s="361"/>
      <c r="C1577" s="369"/>
      <c r="D1577" s="369"/>
      <c r="E1577" s="363"/>
      <c r="F1577" s="364"/>
      <c r="G1577" s="363"/>
      <c r="H1577" s="363"/>
      <c r="I1577" s="363"/>
      <c r="J1577" s="363"/>
      <c r="K1577" s="363"/>
      <c r="L1577" s="363"/>
      <c r="M1577" s="367"/>
    </row>
    <row r="1578" customFormat="false" ht="12.75" hidden="false" customHeight="true" outlineLevel="0" collapsed="false">
      <c r="B1578" s="361"/>
      <c r="C1578" s="369"/>
      <c r="D1578" s="369"/>
      <c r="E1578" s="363"/>
      <c r="F1578" s="364"/>
      <c r="G1578" s="363"/>
      <c r="H1578" s="363"/>
      <c r="I1578" s="363"/>
      <c r="J1578" s="363"/>
      <c r="K1578" s="363"/>
      <c r="L1578" s="363"/>
      <c r="M1578" s="367"/>
    </row>
    <row r="1579" customFormat="false" ht="12.75" hidden="false" customHeight="true" outlineLevel="0" collapsed="false">
      <c r="B1579" s="361"/>
      <c r="C1579" s="369"/>
      <c r="D1579" s="369"/>
      <c r="E1579" s="363"/>
      <c r="F1579" s="364"/>
      <c r="G1579" s="363"/>
      <c r="H1579" s="363"/>
      <c r="I1579" s="363"/>
      <c r="J1579" s="363"/>
      <c r="K1579" s="363"/>
      <c r="L1579" s="363"/>
      <c r="M1579" s="367"/>
    </row>
    <row r="1580" customFormat="false" ht="12.75" hidden="false" customHeight="true" outlineLevel="0" collapsed="false">
      <c r="B1580" s="361"/>
      <c r="C1580" s="369"/>
      <c r="D1580" s="369"/>
      <c r="E1580" s="363"/>
      <c r="F1580" s="364"/>
      <c r="G1580" s="363"/>
      <c r="H1580" s="363"/>
      <c r="I1580" s="363"/>
      <c r="J1580" s="363"/>
      <c r="K1580" s="363"/>
      <c r="L1580" s="363"/>
      <c r="M1580" s="367"/>
    </row>
    <row r="1581" customFormat="false" ht="12.75" hidden="false" customHeight="true" outlineLevel="0" collapsed="false">
      <c r="B1581" s="361"/>
      <c r="C1581" s="369"/>
      <c r="D1581" s="369"/>
      <c r="E1581" s="363"/>
      <c r="F1581" s="364"/>
      <c r="G1581" s="363"/>
      <c r="H1581" s="363"/>
      <c r="I1581" s="363"/>
      <c r="J1581" s="363"/>
      <c r="K1581" s="363"/>
      <c r="L1581" s="363"/>
      <c r="M1581" s="367"/>
    </row>
    <row r="1582" customFormat="false" ht="12.75" hidden="false" customHeight="true" outlineLevel="0" collapsed="false">
      <c r="B1582" s="361"/>
      <c r="C1582" s="369"/>
      <c r="D1582" s="369"/>
      <c r="E1582" s="363"/>
      <c r="F1582" s="364"/>
      <c r="G1582" s="363"/>
      <c r="H1582" s="363"/>
      <c r="I1582" s="363"/>
      <c r="J1582" s="363"/>
      <c r="K1582" s="363"/>
      <c r="L1582" s="363"/>
      <c r="M1582" s="367"/>
    </row>
    <row r="1583" customFormat="false" ht="12.75" hidden="false" customHeight="true" outlineLevel="0" collapsed="false">
      <c r="B1583" s="361"/>
      <c r="C1583" s="369"/>
      <c r="D1583" s="369"/>
      <c r="E1583" s="363"/>
      <c r="F1583" s="364"/>
      <c r="G1583" s="363"/>
      <c r="H1583" s="363"/>
      <c r="I1583" s="363"/>
      <c r="J1583" s="363"/>
      <c r="K1583" s="363"/>
      <c r="L1583" s="363"/>
      <c r="M1583" s="367"/>
    </row>
    <row r="1584" customFormat="false" ht="12.75" hidden="false" customHeight="true" outlineLevel="0" collapsed="false">
      <c r="B1584" s="361"/>
      <c r="C1584" s="369"/>
      <c r="D1584" s="369"/>
      <c r="E1584" s="363"/>
      <c r="F1584" s="364"/>
      <c r="G1584" s="363"/>
      <c r="H1584" s="363"/>
      <c r="I1584" s="363"/>
      <c r="J1584" s="363"/>
      <c r="K1584" s="363"/>
      <c r="L1584" s="363"/>
      <c r="M1584" s="367"/>
    </row>
    <row r="1585" customFormat="false" ht="12.75" hidden="false" customHeight="true" outlineLevel="0" collapsed="false">
      <c r="B1585" s="361"/>
      <c r="C1585" s="369"/>
      <c r="D1585" s="369"/>
      <c r="E1585" s="363"/>
      <c r="F1585" s="364"/>
      <c r="G1585" s="363"/>
      <c r="H1585" s="363"/>
      <c r="I1585" s="363"/>
      <c r="J1585" s="363"/>
      <c r="K1585" s="363"/>
      <c r="L1585" s="363"/>
      <c r="M1585" s="367"/>
    </row>
    <row r="1586" customFormat="false" ht="12.75" hidden="false" customHeight="true" outlineLevel="0" collapsed="false">
      <c r="B1586" s="361"/>
      <c r="C1586" s="369"/>
      <c r="D1586" s="369"/>
      <c r="E1586" s="363"/>
      <c r="F1586" s="364"/>
      <c r="G1586" s="363"/>
      <c r="H1586" s="363"/>
      <c r="I1586" s="363"/>
      <c r="J1586" s="363"/>
      <c r="K1586" s="363"/>
      <c r="L1586" s="363"/>
      <c r="M1586" s="367"/>
    </row>
    <row r="1587" customFormat="false" ht="12.75" hidden="false" customHeight="true" outlineLevel="0" collapsed="false">
      <c r="B1587" s="361"/>
      <c r="C1587" s="369"/>
      <c r="D1587" s="369"/>
      <c r="E1587" s="363"/>
      <c r="F1587" s="364"/>
      <c r="G1587" s="363"/>
      <c r="H1587" s="363"/>
      <c r="I1587" s="363"/>
      <c r="J1587" s="363"/>
      <c r="K1587" s="363"/>
      <c r="L1587" s="363"/>
      <c r="M1587" s="367"/>
    </row>
    <row r="1588" customFormat="false" ht="12.75" hidden="false" customHeight="true" outlineLevel="0" collapsed="false">
      <c r="B1588" s="361"/>
      <c r="C1588" s="369"/>
      <c r="D1588" s="369"/>
      <c r="E1588" s="363"/>
      <c r="F1588" s="364"/>
      <c r="G1588" s="363"/>
      <c r="H1588" s="363"/>
      <c r="I1588" s="363"/>
      <c r="J1588" s="363"/>
      <c r="K1588" s="363"/>
      <c r="L1588" s="363"/>
      <c r="M1588" s="367"/>
    </row>
    <row r="1589" customFormat="false" ht="12.75" hidden="false" customHeight="true" outlineLevel="0" collapsed="false">
      <c r="B1589" s="361"/>
      <c r="C1589" s="369"/>
      <c r="D1589" s="369"/>
      <c r="E1589" s="363"/>
      <c r="F1589" s="364"/>
      <c r="G1589" s="363"/>
      <c r="H1589" s="363"/>
      <c r="I1589" s="363"/>
      <c r="J1589" s="363"/>
      <c r="K1589" s="363"/>
      <c r="L1589" s="363"/>
      <c r="M1589" s="367"/>
    </row>
    <row r="1590" customFormat="false" ht="12.75" hidden="false" customHeight="true" outlineLevel="0" collapsed="false">
      <c r="B1590" s="361"/>
      <c r="C1590" s="369"/>
      <c r="D1590" s="369"/>
      <c r="E1590" s="363"/>
      <c r="F1590" s="364"/>
      <c r="G1590" s="363"/>
      <c r="H1590" s="363"/>
      <c r="I1590" s="363"/>
      <c r="J1590" s="363"/>
      <c r="K1590" s="363"/>
      <c r="L1590" s="363"/>
      <c r="M1590" s="367"/>
    </row>
    <row r="1591" customFormat="false" ht="12.75" hidden="false" customHeight="true" outlineLevel="0" collapsed="false">
      <c r="B1591" s="361"/>
      <c r="C1591" s="369"/>
      <c r="D1591" s="369"/>
      <c r="E1591" s="363"/>
      <c r="F1591" s="364"/>
      <c r="G1591" s="363"/>
      <c r="H1591" s="363"/>
      <c r="I1591" s="363"/>
      <c r="J1591" s="363"/>
      <c r="K1591" s="363"/>
      <c r="L1591" s="363"/>
      <c r="M1591" s="367"/>
    </row>
    <row r="1592" customFormat="false" ht="12.75" hidden="false" customHeight="true" outlineLevel="0" collapsed="false">
      <c r="B1592" s="361"/>
      <c r="C1592" s="369"/>
      <c r="D1592" s="369"/>
      <c r="E1592" s="363"/>
      <c r="F1592" s="364"/>
      <c r="G1592" s="363"/>
      <c r="H1592" s="363"/>
      <c r="I1592" s="363"/>
      <c r="J1592" s="363"/>
      <c r="K1592" s="363"/>
      <c r="L1592" s="363"/>
      <c r="M1592" s="367"/>
    </row>
    <row r="1593" customFormat="false" ht="12.75" hidden="false" customHeight="true" outlineLevel="0" collapsed="false">
      <c r="B1593" s="368"/>
      <c r="C1593" s="369"/>
      <c r="D1593" s="369"/>
      <c r="E1593" s="370"/>
      <c r="F1593" s="371"/>
      <c r="G1593" s="370"/>
      <c r="H1593" s="363"/>
      <c r="I1593" s="370"/>
      <c r="J1593" s="370"/>
      <c r="K1593" s="370"/>
      <c r="L1593" s="370"/>
      <c r="M1593" s="367"/>
    </row>
    <row r="1594" customFormat="false" ht="12.75" hidden="false" customHeight="true" outlineLevel="0" collapsed="false">
      <c r="B1594" s="361"/>
      <c r="C1594" s="369"/>
      <c r="D1594" s="369"/>
      <c r="E1594" s="363"/>
      <c r="F1594" s="364"/>
      <c r="G1594" s="363"/>
      <c r="H1594" s="363"/>
      <c r="I1594" s="363"/>
      <c r="J1594" s="363"/>
      <c r="K1594" s="363"/>
      <c r="L1594" s="363"/>
      <c r="M1594" s="367"/>
    </row>
    <row r="1595" customFormat="false" ht="12.75" hidden="false" customHeight="true" outlineLevel="0" collapsed="false">
      <c r="B1595" s="361"/>
      <c r="C1595" s="369"/>
      <c r="D1595" s="369"/>
      <c r="E1595" s="363"/>
      <c r="F1595" s="364"/>
      <c r="G1595" s="363"/>
      <c r="H1595" s="363"/>
      <c r="I1595" s="363"/>
      <c r="J1595" s="363"/>
      <c r="K1595" s="363"/>
      <c r="L1595" s="363"/>
      <c r="M1595" s="367"/>
    </row>
    <row r="1596" customFormat="false" ht="12.75" hidden="false" customHeight="true" outlineLevel="0" collapsed="false">
      <c r="B1596" s="361"/>
      <c r="C1596" s="369"/>
      <c r="D1596" s="369"/>
      <c r="E1596" s="363"/>
      <c r="F1596" s="364"/>
      <c r="G1596" s="363"/>
      <c r="H1596" s="363"/>
      <c r="I1596" s="363"/>
      <c r="J1596" s="363"/>
      <c r="K1596" s="363"/>
      <c r="L1596" s="363"/>
      <c r="M1596" s="367"/>
    </row>
    <row r="1597" customFormat="false" ht="12.75" hidden="false" customHeight="true" outlineLevel="0" collapsed="false">
      <c r="B1597" s="361"/>
      <c r="C1597" s="369"/>
      <c r="D1597" s="369"/>
      <c r="E1597" s="363"/>
      <c r="F1597" s="364"/>
      <c r="G1597" s="363"/>
      <c r="H1597" s="363"/>
      <c r="I1597" s="363"/>
      <c r="J1597" s="363"/>
      <c r="K1597" s="363"/>
      <c r="L1597" s="363"/>
      <c r="M1597" s="367"/>
    </row>
    <row r="1598" customFormat="false" ht="12.75" hidden="false" customHeight="true" outlineLevel="0" collapsed="false">
      <c r="B1598" s="361"/>
      <c r="C1598" s="369"/>
      <c r="D1598" s="369"/>
      <c r="E1598" s="363"/>
      <c r="F1598" s="364"/>
      <c r="G1598" s="363"/>
      <c r="H1598" s="363"/>
      <c r="I1598" s="363"/>
      <c r="J1598" s="363"/>
      <c r="K1598" s="363"/>
      <c r="L1598" s="363"/>
      <c r="M1598" s="367"/>
    </row>
    <row r="1599" customFormat="false" ht="12.75" hidden="false" customHeight="true" outlineLevel="0" collapsed="false">
      <c r="B1599" s="361"/>
      <c r="C1599" s="369"/>
      <c r="D1599" s="369"/>
      <c r="E1599" s="363"/>
      <c r="F1599" s="364"/>
      <c r="G1599" s="363"/>
      <c r="H1599" s="363"/>
      <c r="I1599" s="363"/>
      <c r="J1599" s="363"/>
      <c r="K1599" s="363"/>
      <c r="L1599" s="363"/>
      <c r="M1599" s="367"/>
    </row>
    <row r="1600" customFormat="false" ht="12.75" hidden="false" customHeight="true" outlineLevel="0" collapsed="false">
      <c r="B1600" s="361"/>
      <c r="C1600" s="369"/>
      <c r="D1600" s="369"/>
      <c r="E1600" s="363"/>
      <c r="F1600" s="364"/>
      <c r="G1600" s="363"/>
      <c r="H1600" s="363"/>
      <c r="I1600" s="363"/>
      <c r="J1600" s="363"/>
      <c r="K1600" s="363"/>
      <c r="L1600" s="363"/>
      <c r="M1600" s="367"/>
    </row>
    <row r="1601" customFormat="false" ht="12.75" hidden="false" customHeight="true" outlineLevel="0" collapsed="false">
      <c r="B1601" s="361"/>
      <c r="C1601" s="369"/>
      <c r="D1601" s="369"/>
      <c r="E1601" s="363"/>
      <c r="F1601" s="364"/>
      <c r="G1601" s="363"/>
      <c r="H1601" s="363"/>
      <c r="I1601" s="363"/>
      <c r="J1601" s="363"/>
      <c r="K1601" s="363"/>
      <c r="L1601" s="363"/>
      <c r="M1601" s="367"/>
    </row>
    <row r="1602" customFormat="false" ht="12.75" hidden="false" customHeight="true" outlineLevel="0" collapsed="false">
      <c r="B1602" s="361"/>
      <c r="C1602" s="369"/>
      <c r="D1602" s="369"/>
      <c r="E1602" s="363"/>
      <c r="F1602" s="364"/>
      <c r="G1602" s="363"/>
      <c r="H1602" s="363"/>
      <c r="I1602" s="363"/>
      <c r="J1602" s="363"/>
      <c r="K1602" s="363"/>
      <c r="L1602" s="363"/>
      <c r="M1602" s="367"/>
    </row>
    <row r="1603" customFormat="false" ht="12.75" hidden="false" customHeight="true" outlineLevel="0" collapsed="false">
      <c r="B1603" s="361"/>
      <c r="C1603" s="369"/>
      <c r="D1603" s="369"/>
      <c r="E1603" s="363"/>
      <c r="F1603" s="364"/>
      <c r="G1603" s="363"/>
      <c r="H1603" s="363"/>
      <c r="I1603" s="363"/>
      <c r="J1603" s="363"/>
      <c r="K1603" s="363"/>
      <c r="L1603" s="363"/>
      <c r="M1603" s="367"/>
    </row>
    <row r="1604" customFormat="false" ht="12.75" hidden="false" customHeight="true" outlineLevel="0" collapsed="false">
      <c r="B1604" s="361"/>
      <c r="C1604" s="369"/>
      <c r="D1604" s="369"/>
      <c r="E1604" s="363"/>
      <c r="F1604" s="364"/>
      <c r="G1604" s="363"/>
      <c r="H1604" s="363"/>
      <c r="I1604" s="363"/>
      <c r="J1604" s="363"/>
      <c r="K1604" s="363"/>
      <c r="L1604" s="363"/>
      <c r="M1604" s="367"/>
    </row>
    <row r="1605" customFormat="false" ht="12.75" hidden="false" customHeight="true" outlineLevel="0" collapsed="false">
      <c r="B1605" s="361"/>
      <c r="C1605" s="369"/>
      <c r="D1605" s="369"/>
      <c r="E1605" s="363"/>
      <c r="F1605" s="364"/>
      <c r="G1605" s="363"/>
      <c r="H1605" s="363"/>
      <c r="I1605" s="363"/>
      <c r="J1605" s="363"/>
      <c r="K1605" s="363"/>
      <c r="L1605" s="363"/>
      <c r="M1605" s="367"/>
    </row>
    <row r="1606" customFormat="false" ht="12.75" hidden="false" customHeight="true" outlineLevel="0" collapsed="false">
      <c r="B1606" s="361"/>
      <c r="C1606" s="369"/>
      <c r="D1606" s="369"/>
      <c r="E1606" s="363"/>
      <c r="F1606" s="364"/>
      <c r="G1606" s="363"/>
      <c r="H1606" s="363"/>
      <c r="I1606" s="363"/>
      <c r="J1606" s="363"/>
      <c r="K1606" s="363"/>
      <c r="L1606" s="363"/>
      <c r="M1606" s="367"/>
    </row>
    <row r="1607" customFormat="false" ht="12.75" hidden="false" customHeight="true" outlineLevel="0" collapsed="false">
      <c r="B1607" s="361"/>
      <c r="C1607" s="369"/>
      <c r="D1607" s="369"/>
      <c r="E1607" s="363"/>
      <c r="F1607" s="364"/>
      <c r="G1607" s="363"/>
      <c r="H1607" s="363"/>
      <c r="I1607" s="363"/>
      <c r="J1607" s="363"/>
      <c r="K1607" s="363"/>
      <c r="L1607" s="363"/>
      <c r="M1607" s="367"/>
    </row>
    <row r="1608" customFormat="false" ht="12.75" hidden="false" customHeight="true" outlineLevel="0" collapsed="false">
      <c r="B1608" s="361"/>
      <c r="C1608" s="369"/>
      <c r="D1608" s="369"/>
      <c r="E1608" s="363"/>
      <c r="F1608" s="364"/>
      <c r="G1608" s="363"/>
      <c r="H1608" s="363"/>
      <c r="I1608" s="363"/>
      <c r="J1608" s="363"/>
      <c r="K1608" s="363"/>
      <c r="L1608" s="363"/>
      <c r="M1608" s="367"/>
    </row>
    <row r="1609" customFormat="false" ht="12.75" hidden="false" customHeight="true" outlineLevel="0" collapsed="false">
      <c r="B1609" s="361"/>
      <c r="C1609" s="369"/>
      <c r="D1609" s="369"/>
      <c r="E1609" s="363"/>
      <c r="F1609" s="364"/>
      <c r="G1609" s="363"/>
      <c r="H1609" s="363"/>
      <c r="I1609" s="363"/>
      <c r="J1609" s="363"/>
      <c r="K1609" s="363"/>
      <c r="L1609" s="363"/>
      <c r="M1609" s="367"/>
    </row>
    <row r="1610" customFormat="false" ht="12.75" hidden="false" customHeight="true" outlineLevel="0" collapsed="false">
      <c r="B1610" s="361"/>
      <c r="C1610" s="369"/>
      <c r="D1610" s="369"/>
      <c r="E1610" s="363"/>
      <c r="F1610" s="364"/>
      <c r="G1610" s="363"/>
      <c r="H1610" s="363"/>
      <c r="I1610" s="363"/>
      <c r="J1610" s="363"/>
      <c r="K1610" s="363"/>
      <c r="L1610" s="363"/>
      <c r="M1610" s="367"/>
    </row>
    <row r="1611" customFormat="false" ht="12.75" hidden="false" customHeight="true" outlineLevel="0" collapsed="false">
      <c r="B1611" s="361"/>
      <c r="C1611" s="369"/>
      <c r="D1611" s="369"/>
      <c r="E1611" s="363"/>
      <c r="F1611" s="364"/>
      <c r="G1611" s="363"/>
      <c r="H1611" s="363"/>
      <c r="I1611" s="363"/>
      <c r="J1611" s="363"/>
      <c r="K1611" s="363"/>
      <c r="L1611" s="363"/>
      <c r="M1611" s="367"/>
    </row>
    <row r="1612" customFormat="false" ht="12.75" hidden="false" customHeight="true" outlineLevel="0" collapsed="false">
      <c r="B1612" s="361"/>
      <c r="C1612" s="369"/>
      <c r="D1612" s="369"/>
      <c r="E1612" s="363"/>
      <c r="F1612" s="364"/>
      <c r="G1612" s="363"/>
      <c r="H1612" s="363"/>
      <c r="I1612" s="363"/>
      <c r="J1612" s="363"/>
      <c r="K1612" s="363"/>
      <c r="L1612" s="363"/>
      <c r="M1612" s="367"/>
    </row>
    <row r="1613" customFormat="false" ht="12.75" hidden="false" customHeight="true" outlineLevel="0" collapsed="false">
      <c r="B1613" s="361"/>
      <c r="C1613" s="369"/>
      <c r="D1613" s="369"/>
      <c r="E1613" s="363"/>
      <c r="F1613" s="364"/>
      <c r="G1613" s="363"/>
      <c r="H1613" s="363"/>
      <c r="I1613" s="363"/>
      <c r="J1613" s="363"/>
      <c r="K1613" s="363"/>
      <c r="L1613" s="363"/>
      <c r="M1613" s="367"/>
    </row>
    <row r="1614" customFormat="false" ht="12.75" hidden="false" customHeight="true" outlineLevel="0" collapsed="false">
      <c r="B1614" s="361"/>
      <c r="C1614" s="369"/>
      <c r="D1614" s="369"/>
      <c r="E1614" s="363"/>
      <c r="F1614" s="364"/>
      <c r="G1614" s="363"/>
      <c r="H1614" s="363"/>
      <c r="I1614" s="363"/>
      <c r="J1614" s="363"/>
      <c r="K1614" s="363"/>
      <c r="L1614" s="363"/>
      <c r="M1614" s="367"/>
    </row>
    <row r="1615" customFormat="false" ht="12.75" hidden="false" customHeight="true" outlineLevel="0" collapsed="false">
      <c r="B1615" s="361"/>
      <c r="C1615" s="369"/>
      <c r="D1615" s="369"/>
      <c r="E1615" s="363"/>
      <c r="F1615" s="364"/>
      <c r="G1615" s="363"/>
      <c r="H1615" s="363"/>
      <c r="I1615" s="363"/>
      <c r="J1615" s="363"/>
      <c r="K1615" s="363"/>
      <c r="L1615" s="363"/>
      <c r="M1615" s="367"/>
    </row>
    <row r="1616" customFormat="false" ht="12.75" hidden="false" customHeight="true" outlineLevel="0" collapsed="false">
      <c r="B1616" s="361"/>
      <c r="C1616" s="369"/>
      <c r="D1616" s="369"/>
      <c r="E1616" s="363"/>
      <c r="F1616" s="364"/>
      <c r="G1616" s="363"/>
      <c r="H1616" s="363"/>
      <c r="I1616" s="363"/>
      <c r="J1616" s="363"/>
      <c r="K1616" s="363"/>
      <c r="L1616" s="363"/>
      <c r="M1616" s="367"/>
    </row>
    <row r="1617" customFormat="false" ht="12.75" hidden="false" customHeight="true" outlineLevel="0" collapsed="false">
      <c r="B1617" s="361"/>
      <c r="C1617" s="369"/>
      <c r="D1617" s="369"/>
      <c r="E1617" s="363"/>
      <c r="F1617" s="364"/>
      <c r="G1617" s="363"/>
      <c r="H1617" s="363"/>
      <c r="I1617" s="363"/>
      <c r="J1617" s="363"/>
      <c r="K1617" s="363"/>
      <c r="L1617" s="363"/>
      <c r="M1617" s="367"/>
    </row>
    <row r="1618" customFormat="false" ht="12.75" hidden="false" customHeight="true" outlineLevel="0" collapsed="false">
      <c r="B1618" s="361"/>
      <c r="C1618" s="369"/>
      <c r="D1618" s="369"/>
      <c r="E1618" s="363"/>
      <c r="F1618" s="364"/>
      <c r="G1618" s="363"/>
      <c r="H1618" s="363"/>
      <c r="I1618" s="363"/>
      <c r="J1618" s="363"/>
      <c r="K1618" s="363"/>
      <c r="L1618" s="363"/>
      <c r="M1618" s="367"/>
    </row>
    <row r="1619" customFormat="false" ht="12.75" hidden="false" customHeight="true" outlineLevel="0" collapsed="false">
      <c r="B1619" s="361"/>
      <c r="C1619" s="369"/>
      <c r="D1619" s="369"/>
      <c r="E1619" s="363"/>
      <c r="F1619" s="364"/>
      <c r="G1619" s="363"/>
      <c r="H1619" s="363"/>
      <c r="I1619" s="363"/>
      <c r="J1619" s="363"/>
      <c r="K1619" s="363"/>
      <c r="L1619" s="363"/>
      <c r="M1619" s="367"/>
    </row>
    <row r="1620" customFormat="false" ht="12.75" hidden="false" customHeight="true" outlineLevel="0" collapsed="false">
      <c r="B1620" s="361"/>
      <c r="C1620" s="369"/>
      <c r="D1620" s="369"/>
      <c r="E1620" s="363"/>
      <c r="F1620" s="364"/>
      <c r="G1620" s="363"/>
      <c r="H1620" s="363"/>
      <c r="I1620" s="363"/>
      <c r="J1620" s="363"/>
      <c r="K1620" s="363"/>
      <c r="L1620" s="363"/>
      <c r="M1620" s="367"/>
    </row>
    <row r="1621" customFormat="false" ht="12.75" hidden="false" customHeight="true" outlineLevel="0" collapsed="false">
      <c r="B1621" s="361"/>
      <c r="C1621" s="369"/>
      <c r="D1621" s="369"/>
      <c r="E1621" s="363"/>
      <c r="F1621" s="364"/>
      <c r="G1621" s="363"/>
      <c r="H1621" s="363"/>
      <c r="I1621" s="363"/>
      <c r="J1621" s="363"/>
      <c r="K1621" s="363"/>
      <c r="L1621" s="363"/>
      <c r="M1621" s="367"/>
    </row>
    <row r="1622" customFormat="false" ht="12.75" hidden="false" customHeight="true" outlineLevel="0" collapsed="false">
      <c r="B1622" s="361"/>
      <c r="C1622" s="369"/>
      <c r="D1622" s="369"/>
      <c r="E1622" s="363"/>
      <c r="F1622" s="364"/>
      <c r="G1622" s="363"/>
      <c r="H1622" s="363"/>
      <c r="I1622" s="363"/>
      <c r="J1622" s="363"/>
      <c r="K1622" s="363"/>
      <c r="L1622" s="363"/>
      <c r="M1622" s="367"/>
    </row>
    <row r="1623" customFormat="false" ht="12.75" hidden="false" customHeight="true" outlineLevel="0" collapsed="false">
      <c r="B1623" s="361"/>
      <c r="C1623" s="369"/>
      <c r="D1623" s="369"/>
      <c r="E1623" s="363"/>
      <c r="F1623" s="364"/>
      <c r="G1623" s="363"/>
      <c r="H1623" s="363"/>
      <c r="I1623" s="363"/>
      <c r="J1623" s="363"/>
      <c r="K1623" s="363"/>
      <c r="L1623" s="363"/>
      <c r="M1623" s="367"/>
    </row>
    <row r="1624" customFormat="false" ht="12.75" hidden="false" customHeight="true" outlineLevel="0" collapsed="false">
      <c r="B1624" s="361"/>
      <c r="C1624" s="369"/>
      <c r="D1624" s="369"/>
      <c r="E1624" s="363"/>
      <c r="F1624" s="364"/>
      <c r="G1624" s="363"/>
      <c r="H1624" s="363"/>
      <c r="I1624" s="363"/>
      <c r="J1624" s="363"/>
      <c r="K1624" s="363"/>
      <c r="L1624" s="363"/>
      <c r="M1624" s="367"/>
    </row>
    <row r="1625" customFormat="false" ht="12.75" hidden="false" customHeight="true" outlineLevel="0" collapsed="false">
      <c r="B1625" s="361"/>
      <c r="C1625" s="369"/>
      <c r="D1625" s="369"/>
      <c r="E1625" s="363"/>
      <c r="F1625" s="364"/>
      <c r="G1625" s="363"/>
      <c r="H1625" s="363"/>
      <c r="I1625" s="363"/>
      <c r="J1625" s="363"/>
      <c r="K1625" s="363"/>
      <c r="L1625" s="363"/>
      <c r="M1625" s="367"/>
    </row>
    <row r="1626" customFormat="false" ht="12.75" hidden="false" customHeight="true" outlineLevel="0" collapsed="false">
      <c r="B1626" s="361"/>
      <c r="C1626" s="369"/>
      <c r="D1626" s="369"/>
      <c r="E1626" s="363"/>
      <c r="F1626" s="364"/>
      <c r="G1626" s="363"/>
      <c r="H1626" s="363"/>
      <c r="I1626" s="363"/>
      <c r="J1626" s="363"/>
      <c r="K1626" s="363"/>
      <c r="L1626" s="363"/>
      <c r="M1626" s="367"/>
    </row>
    <row r="1627" customFormat="false" ht="12.75" hidden="false" customHeight="true" outlineLevel="0" collapsed="false">
      <c r="B1627" s="361"/>
      <c r="C1627" s="369"/>
      <c r="D1627" s="369"/>
      <c r="E1627" s="363"/>
      <c r="F1627" s="364"/>
      <c r="G1627" s="363"/>
      <c r="H1627" s="363"/>
      <c r="I1627" s="363"/>
      <c r="J1627" s="363"/>
      <c r="K1627" s="363"/>
      <c r="L1627" s="363"/>
      <c r="M1627" s="367"/>
    </row>
    <row r="1628" customFormat="false" ht="12.75" hidden="false" customHeight="true" outlineLevel="0" collapsed="false">
      <c r="B1628" s="361"/>
      <c r="C1628" s="369"/>
      <c r="D1628" s="369"/>
      <c r="E1628" s="363"/>
      <c r="F1628" s="364"/>
      <c r="G1628" s="363"/>
      <c r="H1628" s="363"/>
      <c r="I1628" s="363"/>
      <c r="J1628" s="363"/>
      <c r="K1628" s="363"/>
      <c r="L1628" s="363"/>
      <c r="M1628" s="367"/>
    </row>
    <row r="1629" customFormat="false" ht="12.75" hidden="false" customHeight="true" outlineLevel="0" collapsed="false">
      <c r="B1629" s="361"/>
      <c r="C1629" s="369"/>
      <c r="D1629" s="369"/>
      <c r="E1629" s="363"/>
      <c r="F1629" s="364"/>
      <c r="G1629" s="363"/>
      <c r="H1629" s="363"/>
      <c r="I1629" s="363"/>
      <c r="J1629" s="363"/>
      <c r="K1629" s="363"/>
      <c r="L1629" s="363"/>
      <c r="M1629" s="367"/>
    </row>
    <row r="1630" customFormat="false" ht="12.75" hidden="false" customHeight="true" outlineLevel="0" collapsed="false">
      <c r="B1630" s="361"/>
      <c r="C1630" s="369"/>
      <c r="D1630" s="369"/>
      <c r="E1630" s="363"/>
      <c r="F1630" s="364"/>
      <c r="G1630" s="363"/>
      <c r="H1630" s="363"/>
      <c r="I1630" s="363"/>
      <c r="J1630" s="363"/>
      <c r="K1630" s="363"/>
      <c r="L1630" s="363"/>
      <c r="M1630" s="367"/>
    </row>
    <row r="1631" customFormat="false" ht="12.75" hidden="false" customHeight="true" outlineLevel="0" collapsed="false">
      <c r="B1631" s="361"/>
      <c r="C1631" s="369"/>
      <c r="D1631" s="369"/>
      <c r="E1631" s="363"/>
      <c r="F1631" s="364"/>
      <c r="G1631" s="363"/>
      <c r="H1631" s="363"/>
      <c r="I1631" s="363"/>
      <c r="J1631" s="363"/>
      <c r="K1631" s="363"/>
      <c r="L1631" s="363"/>
      <c r="M1631" s="367"/>
    </row>
    <row r="1632" customFormat="false" ht="12.75" hidden="false" customHeight="true" outlineLevel="0" collapsed="false">
      <c r="B1632" s="368"/>
      <c r="C1632" s="369"/>
      <c r="D1632" s="369"/>
      <c r="E1632" s="370"/>
      <c r="F1632" s="371"/>
      <c r="G1632" s="370"/>
      <c r="H1632" s="363"/>
      <c r="I1632" s="370"/>
      <c r="J1632" s="370"/>
      <c r="K1632" s="370"/>
      <c r="L1632" s="370"/>
      <c r="M1632" s="367"/>
    </row>
    <row r="1633" customFormat="false" ht="12.75" hidden="false" customHeight="true" outlineLevel="0" collapsed="false">
      <c r="B1633" s="361"/>
      <c r="C1633" s="369"/>
      <c r="D1633" s="369"/>
      <c r="E1633" s="363"/>
      <c r="F1633" s="374"/>
      <c r="G1633" s="363"/>
      <c r="H1633" s="363"/>
      <c r="I1633" s="363"/>
      <c r="J1633" s="363"/>
      <c r="K1633" s="363"/>
      <c r="L1633" s="363"/>
      <c r="M1633" s="367"/>
    </row>
    <row r="1634" customFormat="false" ht="12.75" hidden="false" customHeight="true" outlineLevel="0" collapsed="false">
      <c r="B1634" s="361"/>
      <c r="C1634" s="369"/>
      <c r="D1634" s="369"/>
      <c r="E1634" s="363"/>
      <c r="F1634" s="374"/>
      <c r="G1634" s="363"/>
      <c r="H1634" s="363"/>
      <c r="I1634" s="363"/>
      <c r="J1634" s="363"/>
      <c r="K1634" s="363"/>
      <c r="L1634" s="363"/>
      <c r="M1634" s="367"/>
    </row>
    <row r="1635" customFormat="false" ht="12.75" hidden="false" customHeight="true" outlineLevel="0" collapsed="false">
      <c r="B1635" s="361"/>
      <c r="C1635" s="369"/>
      <c r="D1635" s="369"/>
      <c r="E1635" s="363"/>
      <c r="F1635" s="374"/>
      <c r="G1635" s="363"/>
      <c r="H1635" s="363"/>
      <c r="I1635" s="363"/>
      <c r="J1635" s="363"/>
      <c r="K1635" s="363"/>
      <c r="L1635" s="363"/>
      <c r="M1635" s="367"/>
    </row>
    <row r="1636" customFormat="false" ht="12.75" hidden="false" customHeight="true" outlineLevel="0" collapsed="false">
      <c r="B1636" s="361"/>
      <c r="C1636" s="369"/>
      <c r="D1636" s="369"/>
      <c r="E1636" s="363"/>
      <c r="F1636" s="374"/>
      <c r="G1636" s="363"/>
      <c r="H1636" s="363"/>
      <c r="I1636" s="363"/>
      <c r="J1636" s="363"/>
      <c r="K1636" s="363"/>
      <c r="L1636" s="363"/>
      <c r="M1636" s="367"/>
    </row>
    <row r="1637" customFormat="false" ht="12.75" hidden="false" customHeight="true" outlineLevel="0" collapsed="false">
      <c r="B1637" s="361"/>
      <c r="C1637" s="369"/>
      <c r="D1637" s="369"/>
      <c r="E1637" s="363"/>
      <c r="F1637" s="374"/>
      <c r="G1637" s="363"/>
      <c r="H1637" s="363"/>
      <c r="I1637" s="363"/>
      <c r="J1637" s="363"/>
      <c r="K1637" s="363"/>
      <c r="L1637" s="363"/>
      <c r="M1637" s="367"/>
    </row>
    <row r="1638" customFormat="false" ht="12.75" hidden="false" customHeight="true" outlineLevel="0" collapsed="false">
      <c r="B1638" s="361"/>
      <c r="C1638" s="369"/>
      <c r="D1638" s="369"/>
      <c r="E1638" s="363"/>
      <c r="F1638" s="374"/>
      <c r="G1638" s="363"/>
      <c r="H1638" s="363"/>
      <c r="I1638" s="363"/>
      <c r="J1638" s="363"/>
      <c r="K1638" s="363"/>
      <c r="L1638" s="363"/>
      <c r="M1638" s="367"/>
    </row>
    <row r="1639" customFormat="false" ht="12.75" hidden="false" customHeight="true" outlineLevel="0" collapsed="false">
      <c r="B1639" s="361"/>
      <c r="C1639" s="369"/>
      <c r="D1639" s="369"/>
      <c r="E1639" s="363"/>
      <c r="F1639" s="374"/>
      <c r="G1639" s="363"/>
      <c r="H1639" s="363"/>
      <c r="I1639" s="363"/>
      <c r="J1639" s="363"/>
      <c r="K1639" s="363"/>
      <c r="L1639" s="363"/>
      <c r="M1639" s="367"/>
    </row>
    <row r="1640" customFormat="false" ht="12.75" hidden="false" customHeight="true" outlineLevel="0" collapsed="false">
      <c r="B1640" s="361"/>
      <c r="C1640" s="369"/>
      <c r="D1640" s="369"/>
      <c r="E1640" s="363"/>
      <c r="F1640" s="374"/>
      <c r="G1640" s="363"/>
      <c r="H1640" s="363"/>
      <c r="I1640" s="363"/>
      <c r="J1640" s="363"/>
      <c r="K1640" s="363"/>
      <c r="L1640" s="363"/>
      <c r="M1640" s="367"/>
    </row>
    <row r="1641" customFormat="false" ht="12.75" hidden="false" customHeight="true" outlineLevel="0" collapsed="false">
      <c r="B1641" s="361"/>
      <c r="C1641" s="369"/>
      <c r="D1641" s="369"/>
      <c r="E1641" s="363"/>
      <c r="F1641" s="374"/>
      <c r="G1641" s="363"/>
      <c r="H1641" s="363"/>
      <c r="I1641" s="363"/>
      <c r="J1641" s="363"/>
      <c r="K1641" s="363"/>
      <c r="L1641" s="363"/>
      <c r="M1641" s="367"/>
    </row>
    <row r="1642" customFormat="false" ht="12.75" hidden="false" customHeight="true" outlineLevel="0" collapsed="false">
      <c r="B1642" s="361"/>
      <c r="C1642" s="369"/>
      <c r="D1642" s="369"/>
      <c r="E1642" s="363"/>
      <c r="F1642" s="374"/>
      <c r="G1642" s="363"/>
      <c r="H1642" s="363"/>
      <c r="I1642" s="363"/>
      <c r="J1642" s="363"/>
      <c r="K1642" s="363"/>
      <c r="L1642" s="363"/>
      <c r="M1642" s="367"/>
    </row>
    <row r="1643" customFormat="false" ht="12.75" hidden="false" customHeight="true" outlineLevel="0" collapsed="false">
      <c r="B1643" s="361"/>
      <c r="C1643" s="369"/>
      <c r="D1643" s="369"/>
      <c r="E1643" s="363"/>
      <c r="F1643" s="374"/>
      <c r="G1643" s="363"/>
      <c r="H1643" s="363"/>
      <c r="I1643" s="363"/>
      <c r="J1643" s="363"/>
      <c r="K1643" s="363"/>
      <c r="L1643" s="363"/>
      <c r="M1643" s="367"/>
    </row>
    <row r="1644" customFormat="false" ht="12.75" hidden="false" customHeight="true" outlineLevel="0" collapsed="false">
      <c r="B1644" s="361"/>
      <c r="C1644" s="369"/>
      <c r="D1644" s="369"/>
      <c r="E1644" s="363"/>
      <c r="F1644" s="374"/>
      <c r="G1644" s="363"/>
      <c r="H1644" s="363"/>
      <c r="I1644" s="363"/>
      <c r="J1644" s="363"/>
      <c r="K1644" s="363"/>
      <c r="L1644" s="363"/>
      <c r="M1644" s="367"/>
    </row>
    <row r="1645" customFormat="false" ht="12.75" hidden="false" customHeight="true" outlineLevel="0" collapsed="false">
      <c r="B1645" s="361"/>
      <c r="C1645" s="369"/>
      <c r="D1645" s="369"/>
      <c r="E1645" s="363"/>
      <c r="F1645" s="374"/>
      <c r="G1645" s="363"/>
      <c r="H1645" s="363"/>
      <c r="I1645" s="363"/>
      <c r="J1645" s="363"/>
      <c r="K1645" s="363"/>
      <c r="L1645" s="363"/>
      <c r="M1645" s="367"/>
    </row>
    <row r="1646" customFormat="false" ht="12.75" hidden="false" customHeight="true" outlineLevel="0" collapsed="false">
      <c r="B1646" s="361"/>
      <c r="C1646" s="369"/>
      <c r="D1646" s="369"/>
      <c r="E1646" s="363"/>
      <c r="F1646" s="374"/>
      <c r="G1646" s="363"/>
      <c r="H1646" s="363"/>
      <c r="I1646" s="363"/>
      <c r="J1646" s="363"/>
      <c r="K1646" s="363"/>
      <c r="L1646" s="363"/>
      <c r="M1646" s="367"/>
    </row>
    <row r="1647" customFormat="false" ht="12.75" hidden="false" customHeight="true" outlineLevel="0" collapsed="false">
      <c r="B1647" s="361"/>
      <c r="C1647" s="369"/>
      <c r="D1647" s="369"/>
      <c r="E1647" s="363"/>
      <c r="F1647" s="374"/>
      <c r="G1647" s="363"/>
      <c r="H1647" s="363"/>
      <c r="I1647" s="363"/>
      <c r="J1647" s="363"/>
      <c r="K1647" s="363"/>
      <c r="L1647" s="363"/>
      <c r="M1647" s="367"/>
    </row>
    <row r="1648" customFormat="false" ht="12.75" hidden="false" customHeight="true" outlineLevel="0" collapsed="false">
      <c r="B1648" s="361"/>
      <c r="C1648" s="369"/>
      <c r="D1648" s="369"/>
      <c r="E1648" s="363"/>
      <c r="F1648" s="374"/>
      <c r="G1648" s="363"/>
      <c r="H1648" s="363"/>
      <c r="I1648" s="363"/>
      <c r="J1648" s="363"/>
      <c r="K1648" s="363"/>
      <c r="L1648" s="363"/>
      <c r="M1648" s="367"/>
    </row>
    <row r="1649" customFormat="false" ht="12.75" hidden="false" customHeight="true" outlineLevel="0" collapsed="false">
      <c r="B1649" s="361"/>
      <c r="C1649" s="369"/>
      <c r="D1649" s="369"/>
      <c r="E1649" s="363"/>
      <c r="F1649" s="374"/>
      <c r="G1649" s="363"/>
      <c r="H1649" s="363"/>
      <c r="I1649" s="363"/>
      <c r="J1649" s="363"/>
      <c r="K1649" s="363"/>
      <c r="L1649" s="363"/>
      <c r="M1649" s="367"/>
    </row>
    <row r="1650" customFormat="false" ht="12.75" hidden="false" customHeight="true" outlineLevel="0" collapsed="false">
      <c r="B1650" s="361"/>
      <c r="C1650" s="369"/>
      <c r="D1650" s="369"/>
      <c r="E1650" s="363"/>
      <c r="F1650" s="374"/>
      <c r="G1650" s="363"/>
      <c r="H1650" s="363"/>
      <c r="I1650" s="363"/>
      <c r="J1650" s="363"/>
      <c r="K1650" s="363"/>
      <c r="L1650" s="363"/>
      <c r="M1650" s="367"/>
    </row>
    <row r="1651" customFormat="false" ht="12.75" hidden="false" customHeight="true" outlineLevel="0" collapsed="false">
      <c r="B1651" s="361"/>
      <c r="C1651" s="369"/>
      <c r="D1651" s="369"/>
      <c r="E1651" s="363"/>
      <c r="F1651" s="374"/>
      <c r="G1651" s="363"/>
      <c r="H1651" s="363"/>
      <c r="I1651" s="363"/>
      <c r="J1651" s="363"/>
      <c r="K1651" s="363"/>
      <c r="L1651" s="363"/>
      <c r="M1651" s="367"/>
    </row>
    <row r="1652" customFormat="false" ht="12.75" hidden="false" customHeight="true" outlineLevel="0" collapsed="false">
      <c r="B1652" s="361"/>
      <c r="C1652" s="369"/>
      <c r="D1652" s="369"/>
      <c r="E1652" s="363"/>
      <c r="F1652" s="374"/>
      <c r="G1652" s="363"/>
      <c r="H1652" s="363"/>
      <c r="I1652" s="363"/>
      <c r="J1652" s="363"/>
      <c r="K1652" s="363"/>
      <c r="L1652" s="363"/>
      <c r="M1652" s="367"/>
    </row>
    <row r="1653" customFormat="false" ht="12.75" hidden="false" customHeight="true" outlineLevel="0" collapsed="false">
      <c r="B1653" s="361"/>
      <c r="C1653" s="369"/>
      <c r="D1653" s="369"/>
      <c r="E1653" s="363"/>
      <c r="F1653" s="374"/>
      <c r="G1653" s="363"/>
      <c r="H1653" s="363"/>
      <c r="I1653" s="363"/>
      <c r="J1653" s="363"/>
      <c r="K1653" s="363"/>
      <c r="L1653" s="363"/>
      <c r="M1653" s="367"/>
    </row>
    <row r="1654" customFormat="false" ht="12.75" hidden="false" customHeight="true" outlineLevel="0" collapsed="false">
      <c r="B1654" s="361"/>
      <c r="C1654" s="369"/>
      <c r="D1654" s="369"/>
      <c r="E1654" s="363"/>
      <c r="F1654" s="374"/>
      <c r="G1654" s="363"/>
      <c r="H1654" s="363"/>
      <c r="I1654" s="363"/>
      <c r="J1654" s="363"/>
      <c r="K1654" s="363"/>
      <c r="L1654" s="363"/>
      <c r="M1654" s="367"/>
    </row>
    <row r="1655" customFormat="false" ht="12.75" hidden="false" customHeight="true" outlineLevel="0" collapsed="false">
      <c r="B1655" s="361"/>
      <c r="C1655" s="369"/>
      <c r="D1655" s="369"/>
      <c r="E1655" s="363"/>
      <c r="F1655" s="374"/>
      <c r="G1655" s="363"/>
      <c r="H1655" s="363"/>
      <c r="I1655" s="363"/>
      <c r="J1655" s="363"/>
      <c r="K1655" s="363"/>
      <c r="L1655" s="363"/>
      <c r="M1655" s="367"/>
    </row>
    <row r="1656" customFormat="false" ht="12.75" hidden="false" customHeight="true" outlineLevel="0" collapsed="false">
      <c r="B1656" s="361"/>
      <c r="C1656" s="369"/>
      <c r="D1656" s="369"/>
      <c r="E1656" s="363"/>
      <c r="F1656" s="374"/>
      <c r="G1656" s="363"/>
      <c r="H1656" s="363"/>
      <c r="I1656" s="363"/>
      <c r="J1656" s="363"/>
      <c r="K1656" s="363"/>
      <c r="L1656" s="363"/>
      <c r="M1656" s="367"/>
    </row>
    <row r="1657" customFormat="false" ht="12.75" hidden="false" customHeight="true" outlineLevel="0" collapsed="false">
      <c r="B1657" s="361"/>
      <c r="C1657" s="369"/>
      <c r="D1657" s="369"/>
      <c r="E1657" s="363"/>
      <c r="F1657" s="374"/>
      <c r="G1657" s="363"/>
      <c r="H1657" s="363"/>
      <c r="I1657" s="363"/>
      <c r="J1657" s="363"/>
      <c r="K1657" s="363"/>
      <c r="L1657" s="363"/>
      <c r="M1657" s="367"/>
    </row>
    <row r="1658" customFormat="false" ht="12.75" hidden="false" customHeight="true" outlineLevel="0" collapsed="false">
      <c r="B1658" s="361"/>
      <c r="C1658" s="369"/>
      <c r="D1658" s="369"/>
      <c r="E1658" s="363"/>
      <c r="F1658" s="374"/>
      <c r="G1658" s="363"/>
      <c r="H1658" s="363"/>
      <c r="I1658" s="363"/>
      <c r="J1658" s="363"/>
      <c r="K1658" s="363"/>
      <c r="L1658" s="363"/>
      <c r="M1658" s="367"/>
    </row>
    <row r="1659" customFormat="false" ht="12.75" hidden="false" customHeight="true" outlineLevel="0" collapsed="false">
      <c r="B1659" s="361"/>
      <c r="C1659" s="369"/>
      <c r="D1659" s="369"/>
      <c r="E1659" s="363"/>
      <c r="F1659" s="374"/>
      <c r="G1659" s="363"/>
      <c r="H1659" s="363"/>
      <c r="I1659" s="363"/>
      <c r="J1659" s="363"/>
      <c r="K1659" s="363"/>
      <c r="L1659" s="363"/>
      <c r="M1659" s="367"/>
    </row>
    <row r="1660" customFormat="false" ht="12.75" hidden="false" customHeight="true" outlineLevel="0" collapsed="false">
      <c r="B1660" s="361"/>
      <c r="C1660" s="369"/>
      <c r="D1660" s="369"/>
      <c r="E1660" s="363"/>
      <c r="F1660" s="374"/>
      <c r="G1660" s="363"/>
      <c r="H1660" s="363"/>
      <c r="I1660" s="363"/>
      <c r="J1660" s="363"/>
      <c r="K1660" s="363"/>
      <c r="L1660" s="363"/>
      <c r="M1660" s="367"/>
    </row>
    <row r="1661" customFormat="false" ht="12.75" hidden="false" customHeight="true" outlineLevel="0" collapsed="false">
      <c r="B1661" s="361"/>
      <c r="C1661" s="369"/>
      <c r="D1661" s="369"/>
      <c r="E1661" s="363"/>
      <c r="F1661" s="374"/>
      <c r="G1661" s="363"/>
      <c r="H1661" s="363"/>
      <c r="I1661" s="363"/>
      <c r="J1661" s="363"/>
      <c r="K1661" s="363"/>
      <c r="L1661" s="363"/>
      <c r="M1661" s="367"/>
    </row>
    <row r="1662" customFormat="false" ht="12.75" hidden="false" customHeight="true" outlineLevel="0" collapsed="false">
      <c r="B1662" s="361"/>
      <c r="C1662" s="369"/>
      <c r="D1662" s="369"/>
      <c r="E1662" s="363"/>
      <c r="F1662" s="374"/>
      <c r="G1662" s="363"/>
      <c r="H1662" s="363"/>
      <c r="I1662" s="363"/>
      <c r="J1662" s="363"/>
      <c r="K1662" s="363"/>
      <c r="L1662" s="363"/>
      <c r="M1662" s="367"/>
    </row>
    <row r="1663" customFormat="false" ht="12.75" hidden="false" customHeight="true" outlineLevel="0" collapsed="false">
      <c r="B1663" s="361"/>
      <c r="C1663" s="369"/>
      <c r="D1663" s="369"/>
      <c r="E1663" s="363"/>
      <c r="F1663" s="374"/>
      <c r="G1663" s="363"/>
      <c r="H1663" s="363"/>
      <c r="I1663" s="363"/>
      <c r="J1663" s="363"/>
      <c r="K1663" s="363"/>
      <c r="L1663" s="363"/>
      <c r="M1663" s="367"/>
    </row>
    <row r="1664" customFormat="false" ht="12.75" hidden="false" customHeight="true" outlineLevel="0" collapsed="false">
      <c r="B1664" s="361"/>
      <c r="C1664" s="369"/>
      <c r="D1664" s="369"/>
      <c r="E1664" s="363"/>
      <c r="F1664" s="374"/>
      <c r="G1664" s="363"/>
      <c r="H1664" s="363"/>
      <c r="I1664" s="363"/>
      <c r="J1664" s="363"/>
      <c r="K1664" s="363"/>
      <c r="L1664" s="363"/>
      <c r="M1664" s="367"/>
    </row>
    <row r="1665" customFormat="false" ht="12.75" hidden="false" customHeight="true" outlineLevel="0" collapsed="false">
      <c r="B1665" s="361"/>
      <c r="C1665" s="369"/>
      <c r="D1665" s="369"/>
      <c r="E1665" s="363"/>
      <c r="F1665" s="374"/>
      <c r="G1665" s="363"/>
      <c r="H1665" s="363"/>
      <c r="I1665" s="363"/>
      <c r="J1665" s="363"/>
      <c r="K1665" s="363"/>
      <c r="L1665" s="363"/>
      <c r="M1665" s="367"/>
    </row>
    <row r="1666" customFormat="false" ht="12.75" hidden="false" customHeight="true" outlineLevel="0" collapsed="false">
      <c r="B1666" s="361"/>
      <c r="C1666" s="369"/>
      <c r="D1666" s="369"/>
      <c r="E1666" s="363"/>
      <c r="F1666" s="374"/>
      <c r="G1666" s="363"/>
      <c r="H1666" s="363"/>
      <c r="I1666" s="363"/>
      <c r="J1666" s="363"/>
      <c r="K1666" s="363"/>
      <c r="L1666" s="363"/>
      <c r="M1666" s="367"/>
    </row>
    <row r="1667" customFormat="false" ht="12.75" hidden="false" customHeight="true" outlineLevel="0" collapsed="false">
      <c r="B1667" s="361"/>
      <c r="C1667" s="369"/>
      <c r="D1667" s="369"/>
      <c r="E1667" s="363"/>
      <c r="F1667" s="374"/>
      <c r="G1667" s="363"/>
      <c r="H1667" s="363"/>
      <c r="I1667" s="363"/>
      <c r="J1667" s="363"/>
      <c r="K1667" s="363"/>
      <c r="L1667" s="363"/>
      <c r="M1667" s="367"/>
    </row>
    <row r="1668" customFormat="false" ht="12.75" hidden="false" customHeight="true" outlineLevel="0" collapsed="false">
      <c r="B1668" s="361"/>
      <c r="C1668" s="369"/>
      <c r="D1668" s="369"/>
      <c r="E1668" s="363"/>
      <c r="F1668" s="374"/>
      <c r="G1668" s="363"/>
      <c r="H1668" s="363"/>
      <c r="I1668" s="363"/>
      <c r="J1668" s="363"/>
      <c r="K1668" s="363"/>
      <c r="L1668" s="363"/>
      <c r="M1668" s="367"/>
    </row>
    <row r="1669" customFormat="false" ht="12.75" hidden="false" customHeight="true" outlineLevel="0" collapsed="false">
      <c r="B1669" s="361"/>
      <c r="C1669" s="369"/>
      <c r="D1669" s="369"/>
      <c r="E1669" s="363"/>
      <c r="F1669" s="374"/>
      <c r="G1669" s="363"/>
      <c r="H1669" s="363"/>
      <c r="I1669" s="363"/>
      <c r="J1669" s="363"/>
      <c r="K1669" s="363"/>
      <c r="L1669" s="363"/>
      <c r="M1669" s="367"/>
    </row>
    <row r="1670" customFormat="false" ht="12.75" hidden="false" customHeight="true" outlineLevel="0" collapsed="false">
      <c r="B1670" s="361"/>
      <c r="C1670" s="369"/>
      <c r="D1670" s="369"/>
      <c r="E1670" s="363"/>
      <c r="F1670" s="374"/>
      <c r="G1670" s="363"/>
      <c r="H1670" s="363"/>
      <c r="I1670" s="363"/>
      <c r="J1670" s="363"/>
      <c r="K1670" s="363"/>
      <c r="L1670" s="363"/>
      <c r="M1670" s="367"/>
    </row>
    <row r="1671" customFormat="false" ht="12.75" hidden="false" customHeight="true" outlineLevel="0" collapsed="false">
      <c r="B1671" s="361"/>
      <c r="C1671" s="369"/>
      <c r="D1671" s="369"/>
      <c r="E1671" s="363"/>
      <c r="F1671" s="374"/>
      <c r="G1671" s="363"/>
      <c r="H1671" s="363"/>
      <c r="I1671" s="363"/>
      <c r="J1671" s="363"/>
      <c r="K1671" s="363"/>
      <c r="L1671" s="363"/>
      <c r="M1671" s="367"/>
    </row>
    <row r="1672" customFormat="false" ht="12.75" hidden="false" customHeight="true" outlineLevel="0" collapsed="false">
      <c r="B1672" s="361"/>
      <c r="C1672" s="369"/>
      <c r="D1672" s="369"/>
      <c r="E1672" s="363"/>
      <c r="F1672" s="374"/>
      <c r="G1672" s="363"/>
      <c r="H1672" s="363"/>
      <c r="I1672" s="363"/>
      <c r="J1672" s="363"/>
      <c r="K1672" s="363"/>
      <c r="L1672" s="363"/>
      <c r="M1672" s="367"/>
    </row>
    <row r="1673" customFormat="false" ht="12.75" hidden="false" customHeight="true" outlineLevel="0" collapsed="false">
      <c r="B1673" s="361"/>
      <c r="C1673" s="369"/>
      <c r="D1673" s="369"/>
      <c r="E1673" s="363"/>
      <c r="F1673" s="374"/>
      <c r="G1673" s="363"/>
      <c r="H1673" s="363"/>
      <c r="I1673" s="363"/>
      <c r="J1673" s="363"/>
      <c r="K1673" s="363"/>
      <c r="L1673" s="363"/>
      <c r="M1673" s="367"/>
    </row>
    <row r="1674" customFormat="false" ht="12.75" hidden="false" customHeight="true" outlineLevel="0" collapsed="false">
      <c r="B1674" s="368"/>
      <c r="C1674" s="369"/>
      <c r="D1674" s="369"/>
      <c r="E1674" s="370"/>
      <c r="F1674" s="375"/>
      <c r="G1674" s="370"/>
      <c r="H1674" s="363"/>
      <c r="I1674" s="370"/>
      <c r="J1674" s="370"/>
      <c r="K1674" s="370"/>
      <c r="L1674" s="370"/>
      <c r="M1674" s="367"/>
    </row>
    <row r="1675" customFormat="false" ht="12.75" hidden="false" customHeight="true" outlineLevel="0" collapsed="false">
      <c r="B1675" s="361"/>
      <c r="C1675" s="369"/>
      <c r="D1675" s="369"/>
      <c r="E1675" s="363"/>
      <c r="F1675" s="374"/>
      <c r="G1675" s="363"/>
      <c r="H1675" s="363"/>
      <c r="I1675" s="363"/>
      <c r="J1675" s="363"/>
      <c r="K1675" s="363"/>
      <c r="L1675" s="363"/>
      <c r="M1675" s="367"/>
    </row>
    <row r="1676" customFormat="false" ht="12.75" hidden="false" customHeight="true" outlineLevel="0" collapsed="false">
      <c r="B1676" s="361"/>
      <c r="C1676" s="369"/>
      <c r="D1676" s="369"/>
      <c r="E1676" s="363"/>
      <c r="F1676" s="374"/>
      <c r="G1676" s="363"/>
      <c r="H1676" s="363"/>
      <c r="I1676" s="363"/>
      <c r="J1676" s="363"/>
      <c r="K1676" s="363"/>
      <c r="L1676" s="363"/>
      <c r="M1676" s="367"/>
    </row>
    <row r="1677" customFormat="false" ht="12.75" hidden="false" customHeight="true" outlineLevel="0" collapsed="false">
      <c r="B1677" s="361"/>
      <c r="C1677" s="369"/>
      <c r="D1677" s="369"/>
      <c r="E1677" s="363"/>
      <c r="F1677" s="374"/>
      <c r="G1677" s="363"/>
      <c r="H1677" s="363"/>
      <c r="I1677" s="363"/>
      <c r="J1677" s="363"/>
      <c r="K1677" s="363"/>
      <c r="L1677" s="363"/>
      <c r="M1677" s="367"/>
    </row>
    <row r="1678" customFormat="false" ht="12.75" hidden="false" customHeight="true" outlineLevel="0" collapsed="false">
      <c r="B1678" s="361"/>
      <c r="C1678" s="369"/>
      <c r="D1678" s="369"/>
      <c r="E1678" s="363"/>
      <c r="F1678" s="374"/>
      <c r="G1678" s="363"/>
      <c r="H1678" s="363"/>
      <c r="I1678" s="363"/>
      <c r="J1678" s="363"/>
      <c r="K1678" s="363"/>
      <c r="L1678" s="363"/>
      <c r="M1678" s="367"/>
    </row>
    <row r="1679" customFormat="false" ht="12.75" hidden="false" customHeight="true" outlineLevel="0" collapsed="false">
      <c r="B1679" s="361"/>
      <c r="C1679" s="369"/>
      <c r="D1679" s="369"/>
      <c r="E1679" s="363"/>
      <c r="F1679" s="374"/>
      <c r="G1679" s="363"/>
      <c r="H1679" s="363"/>
      <c r="I1679" s="363"/>
      <c r="J1679" s="363"/>
      <c r="K1679" s="363"/>
      <c r="L1679" s="363"/>
      <c r="M1679" s="367"/>
    </row>
    <row r="1680" customFormat="false" ht="12.75" hidden="false" customHeight="true" outlineLevel="0" collapsed="false">
      <c r="B1680" s="361"/>
      <c r="C1680" s="369"/>
      <c r="D1680" s="369"/>
      <c r="E1680" s="363"/>
      <c r="F1680" s="374"/>
      <c r="G1680" s="363"/>
      <c r="H1680" s="363"/>
      <c r="I1680" s="363"/>
      <c r="J1680" s="363"/>
      <c r="K1680" s="363"/>
      <c r="L1680" s="363"/>
      <c r="M1680" s="367"/>
    </row>
    <row r="1681" customFormat="false" ht="12.75" hidden="false" customHeight="true" outlineLevel="0" collapsed="false">
      <c r="B1681" s="368"/>
      <c r="C1681" s="369"/>
      <c r="D1681" s="369"/>
      <c r="E1681" s="370"/>
      <c r="F1681" s="375"/>
      <c r="G1681" s="370"/>
      <c r="H1681" s="363"/>
      <c r="I1681" s="370"/>
      <c r="J1681" s="370"/>
      <c r="K1681" s="370"/>
      <c r="L1681" s="370"/>
      <c r="M1681" s="367"/>
    </row>
    <row r="1682" customFormat="false" ht="12.75" hidden="false" customHeight="true" outlineLevel="0" collapsed="false">
      <c r="B1682" s="361"/>
      <c r="C1682" s="369"/>
      <c r="D1682" s="369"/>
      <c r="E1682" s="363"/>
      <c r="F1682" s="374"/>
      <c r="G1682" s="363"/>
      <c r="H1682" s="363"/>
      <c r="I1682" s="363"/>
      <c r="J1682" s="363"/>
      <c r="K1682" s="363"/>
      <c r="L1682" s="363"/>
      <c r="M1682" s="367"/>
    </row>
    <row r="1683" customFormat="false" ht="12.75" hidden="false" customHeight="true" outlineLevel="0" collapsed="false">
      <c r="B1683" s="361"/>
      <c r="C1683" s="369"/>
      <c r="D1683" s="369"/>
      <c r="E1683" s="363"/>
      <c r="F1683" s="374"/>
      <c r="G1683" s="363"/>
      <c r="H1683" s="363"/>
      <c r="I1683" s="363"/>
      <c r="J1683" s="363"/>
      <c r="K1683" s="363"/>
      <c r="L1683" s="363"/>
      <c r="M1683" s="367"/>
    </row>
    <row r="1684" customFormat="false" ht="12.75" hidden="false" customHeight="true" outlineLevel="0" collapsed="false">
      <c r="B1684" s="361"/>
      <c r="C1684" s="369"/>
      <c r="D1684" s="369"/>
      <c r="E1684" s="363"/>
      <c r="F1684" s="374"/>
      <c r="G1684" s="363"/>
      <c r="H1684" s="363"/>
      <c r="I1684" s="363"/>
      <c r="J1684" s="363"/>
      <c r="K1684" s="363"/>
      <c r="L1684" s="363"/>
      <c r="M1684" s="367"/>
    </row>
    <row r="1685" customFormat="false" ht="12.75" hidden="false" customHeight="true" outlineLevel="0" collapsed="false">
      <c r="B1685" s="361"/>
      <c r="C1685" s="369"/>
      <c r="D1685" s="369"/>
      <c r="E1685" s="363"/>
      <c r="F1685" s="374"/>
      <c r="G1685" s="363"/>
      <c r="H1685" s="363"/>
      <c r="I1685" s="363"/>
      <c r="J1685" s="363"/>
      <c r="K1685" s="363"/>
      <c r="L1685" s="363"/>
      <c r="M1685" s="367"/>
    </row>
    <row r="1686" customFormat="false" ht="12.75" hidden="false" customHeight="true" outlineLevel="0" collapsed="false">
      <c r="B1686" s="361"/>
      <c r="C1686" s="369"/>
      <c r="D1686" s="369"/>
      <c r="E1686" s="363"/>
      <c r="F1686" s="374"/>
      <c r="G1686" s="363"/>
      <c r="H1686" s="363"/>
      <c r="I1686" s="363"/>
      <c r="J1686" s="363"/>
      <c r="K1686" s="363"/>
      <c r="L1686" s="363"/>
      <c r="M1686" s="367"/>
    </row>
    <row r="1687" customFormat="false" ht="12.75" hidden="false" customHeight="true" outlineLevel="0" collapsed="false">
      <c r="B1687" s="361"/>
      <c r="C1687" s="369"/>
      <c r="D1687" s="369"/>
      <c r="E1687" s="363"/>
      <c r="F1687" s="374"/>
      <c r="G1687" s="363"/>
      <c r="H1687" s="363"/>
      <c r="I1687" s="363"/>
      <c r="J1687" s="363"/>
      <c r="K1687" s="363"/>
      <c r="L1687" s="363"/>
      <c r="M1687" s="367"/>
    </row>
    <row r="1688" customFormat="false" ht="12.75" hidden="false" customHeight="true" outlineLevel="0" collapsed="false">
      <c r="B1688" s="361"/>
      <c r="C1688" s="369"/>
      <c r="D1688" s="369"/>
      <c r="E1688" s="363"/>
      <c r="F1688" s="374"/>
      <c r="G1688" s="363"/>
      <c r="H1688" s="363"/>
      <c r="I1688" s="363"/>
      <c r="J1688" s="363"/>
      <c r="K1688" s="363"/>
      <c r="L1688" s="363"/>
      <c r="M1688" s="367"/>
    </row>
    <row r="1689" customFormat="false" ht="12.75" hidden="false" customHeight="true" outlineLevel="0" collapsed="false">
      <c r="B1689" s="361"/>
      <c r="C1689" s="369"/>
      <c r="D1689" s="369"/>
      <c r="E1689" s="363"/>
      <c r="F1689" s="374"/>
      <c r="G1689" s="363"/>
      <c r="H1689" s="363"/>
      <c r="I1689" s="363"/>
      <c r="J1689" s="363"/>
      <c r="K1689" s="363"/>
      <c r="L1689" s="363"/>
      <c r="M1689" s="367"/>
    </row>
    <row r="1690" customFormat="false" ht="12.75" hidden="false" customHeight="true" outlineLevel="0" collapsed="false">
      <c r="B1690" s="361"/>
      <c r="C1690" s="369"/>
      <c r="D1690" s="369"/>
      <c r="E1690" s="363"/>
      <c r="F1690" s="374"/>
      <c r="G1690" s="363"/>
      <c r="H1690" s="363"/>
      <c r="I1690" s="363"/>
      <c r="J1690" s="363"/>
      <c r="K1690" s="363"/>
      <c r="L1690" s="363"/>
      <c r="M1690" s="367"/>
    </row>
    <row r="1691" customFormat="false" ht="12.75" hidden="false" customHeight="true" outlineLevel="0" collapsed="false">
      <c r="B1691" s="361"/>
      <c r="C1691" s="369"/>
      <c r="D1691" s="369"/>
      <c r="E1691" s="363"/>
      <c r="F1691" s="374"/>
      <c r="G1691" s="363"/>
      <c r="H1691" s="363"/>
      <c r="I1691" s="363"/>
      <c r="J1691" s="363"/>
      <c r="K1691" s="363"/>
      <c r="L1691" s="363"/>
      <c r="M1691" s="367"/>
    </row>
    <row r="1692" customFormat="false" ht="12.75" hidden="false" customHeight="true" outlineLevel="0" collapsed="false">
      <c r="B1692" s="361"/>
      <c r="C1692" s="369"/>
      <c r="D1692" s="369"/>
      <c r="E1692" s="363"/>
      <c r="F1692" s="374"/>
      <c r="G1692" s="363"/>
      <c r="H1692" s="363"/>
      <c r="I1692" s="363"/>
      <c r="J1692" s="363"/>
      <c r="K1692" s="363"/>
      <c r="L1692" s="363"/>
      <c r="M1692" s="367"/>
    </row>
    <row r="1693" customFormat="false" ht="12.75" hidden="false" customHeight="true" outlineLevel="0" collapsed="false">
      <c r="B1693" s="361"/>
      <c r="C1693" s="369"/>
      <c r="D1693" s="369"/>
      <c r="E1693" s="363"/>
      <c r="F1693" s="374"/>
      <c r="G1693" s="363"/>
      <c r="H1693" s="363"/>
      <c r="I1693" s="363"/>
      <c r="J1693" s="363"/>
      <c r="K1693" s="363"/>
      <c r="L1693" s="363"/>
      <c r="M1693" s="367"/>
    </row>
    <row r="1694" customFormat="false" ht="12.75" hidden="false" customHeight="true" outlineLevel="0" collapsed="false">
      <c r="B1694" s="361"/>
      <c r="C1694" s="369"/>
      <c r="D1694" s="369"/>
      <c r="E1694" s="363"/>
      <c r="F1694" s="374"/>
      <c r="G1694" s="363"/>
      <c r="H1694" s="363"/>
      <c r="I1694" s="363"/>
      <c r="J1694" s="363"/>
      <c r="K1694" s="363"/>
      <c r="L1694" s="365"/>
      <c r="M1694" s="367"/>
    </row>
    <row r="1695" customFormat="false" ht="12.75" hidden="false" customHeight="true" outlineLevel="0" collapsed="false">
      <c r="B1695" s="361"/>
      <c r="C1695" s="369"/>
      <c r="D1695" s="369"/>
      <c r="E1695" s="363"/>
      <c r="F1695" s="374"/>
      <c r="G1695" s="363"/>
      <c r="H1695" s="363"/>
      <c r="I1695" s="363"/>
      <c r="J1695" s="363"/>
      <c r="K1695" s="363"/>
      <c r="L1695" s="363"/>
      <c r="M1695" s="367"/>
    </row>
    <row r="1696" customFormat="false" ht="12.75" hidden="false" customHeight="true" outlineLevel="0" collapsed="false">
      <c r="B1696" s="368"/>
      <c r="C1696" s="369"/>
      <c r="D1696" s="369"/>
      <c r="E1696" s="370"/>
      <c r="F1696" s="375"/>
      <c r="G1696" s="370"/>
      <c r="H1696" s="363"/>
      <c r="I1696" s="370"/>
      <c r="J1696" s="370"/>
      <c r="K1696" s="370"/>
      <c r="L1696" s="370"/>
      <c r="M1696" s="367"/>
    </row>
    <row r="1697" customFormat="false" ht="12.75" hidden="false" customHeight="true" outlineLevel="0" collapsed="false">
      <c r="B1697" s="361"/>
      <c r="C1697" s="369"/>
      <c r="D1697" s="369"/>
      <c r="E1697" s="363"/>
      <c r="F1697" s="374"/>
      <c r="G1697" s="363"/>
      <c r="H1697" s="363"/>
      <c r="I1697" s="363"/>
      <c r="J1697" s="363"/>
      <c r="K1697" s="363"/>
      <c r="L1697" s="363"/>
      <c r="M1697" s="367"/>
    </row>
    <row r="1698" customFormat="false" ht="12.75" hidden="false" customHeight="true" outlineLevel="0" collapsed="false">
      <c r="B1698" s="361"/>
      <c r="C1698" s="369"/>
      <c r="D1698" s="369"/>
      <c r="E1698" s="363"/>
      <c r="F1698" s="374"/>
      <c r="G1698" s="363"/>
      <c r="H1698" s="363"/>
      <c r="I1698" s="363"/>
      <c r="J1698" s="363"/>
      <c r="K1698" s="363"/>
      <c r="L1698" s="363"/>
      <c r="M1698" s="367"/>
    </row>
    <row r="1699" customFormat="false" ht="12.75" hidden="false" customHeight="true" outlineLevel="0" collapsed="false">
      <c r="B1699" s="361"/>
      <c r="C1699" s="369"/>
      <c r="D1699" s="369"/>
      <c r="E1699" s="363"/>
      <c r="F1699" s="374"/>
      <c r="G1699" s="363"/>
      <c r="H1699" s="363"/>
      <c r="I1699" s="363"/>
      <c r="J1699" s="363"/>
      <c r="K1699" s="363"/>
      <c r="L1699" s="363"/>
      <c r="M1699" s="367"/>
    </row>
    <row r="1700" customFormat="false" ht="12.75" hidden="false" customHeight="true" outlineLevel="0" collapsed="false">
      <c r="B1700" s="361"/>
      <c r="C1700" s="369"/>
      <c r="D1700" s="369"/>
      <c r="E1700" s="363"/>
      <c r="F1700" s="374"/>
      <c r="G1700" s="363"/>
      <c r="H1700" s="363"/>
      <c r="I1700" s="363"/>
      <c r="J1700" s="363"/>
      <c r="K1700" s="363"/>
      <c r="L1700" s="370"/>
      <c r="M1700" s="367"/>
    </row>
    <row r="1701" customFormat="false" ht="12.75" hidden="false" customHeight="true" outlineLevel="0" collapsed="false">
      <c r="B1701" s="361"/>
      <c r="C1701" s="369"/>
      <c r="D1701" s="369"/>
      <c r="E1701" s="370"/>
      <c r="F1701" s="375"/>
      <c r="G1701" s="370"/>
      <c r="H1701" s="363"/>
      <c r="I1701" s="370"/>
      <c r="J1701" s="370"/>
      <c r="K1701" s="370"/>
      <c r="L1701" s="363"/>
      <c r="M1701" s="367"/>
    </row>
    <row r="1702" customFormat="false" ht="12.75" hidden="false" customHeight="true" outlineLevel="0" collapsed="false">
      <c r="B1702" s="361"/>
      <c r="C1702" s="369"/>
      <c r="D1702" s="369"/>
      <c r="E1702" s="363"/>
      <c r="F1702" s="374"/>
      <c r="G1702" s="363"/>
      <c r="H1702" s="363"/>
      <c r="I1702" s="363"/>
      <c r="J1702" s="363"/>
      <c r="K1702" s="363"/>
      <c r="L1702" s="363"/>
      <c r="M1702" s="367"/>
    </row>
    <row r="1703" customFormat="false" ht="12.75" hidden="false" customHeight="true" outlineLevel="0" collapsed="false">
      <c r="B1703" s="361"/>
      <c r="C1703" s="369"/>
      <c r="D1703" s="369"/>
      <c r="E1703" s="363"/>
      <c r="F1703" s="374"/>
      <c r="G1703" s="363"/>
      <c r="H1703" s="363"/>
      <c r="I1703" s="363"/>
      <c r="J1703" s="363"/>
      <c r="K1703" s="363"/>
      <c r="L1703" s="363"/>
      <c r="M1703" s="367"/>
    </row>
    <row r="1704" customFormat="false" ht="12.75" hidden="false" customHeight="true" outlineLevel="0" collapsed="false">
      <c r="B1704" s="361"/>
      <c r="C1704" s="369"/>
      <c r="D1704" s="369"/>
      <c r="E1704" s="363"/>
      <c r="F1704" s="374"/>
      <c r="G1704" s="363"/>
      <c r="H1704" s="363"/>
      <c r="I1704" s="363"/>
      <c r="J1704" s="363"/>
      <c r="K1704" s="363"/>
      <c r="L1704" s="363"/>
      <c r="M1704" s="367"/>
    </row>
    <row r="1705" customFormat="false" ht="12.75" hidden="false" customHeight="true" outlineLevel="0" collapsed="false">
      <c r="B1705" s="361"/>
      <c r="C1705" s="369"/>
      <c r="D1705" s="369"/>
      <c r="E1705" s="363"/>
      <c r="F1705" s="374"/>
      <c r="G1705" s="363"/>
      <c r="H1705" s="363"/>
      <c r="I1705" s="363"/>
      <c r="J1705" s="363"/>
      <c r="K1705" s="363"/>
      <c r="L1705" s="363"/>
      <c r="M1705" s="367"/>
    </row>
    <row r="1706" customFormat="false" ht="12.75" hidden="false" customHeight="true" outlineLevel="0" collapsed="false">
      <c r="B1706" s="361"/>
      <c r="C1706" s="369"/>
      <c r="D1706" s="369"/>
      <c r="E1706" s="363"/>
      <c r="F1706" s="374"/>
      <c r="G1706" s="363"/>
      <c r="H1706" s="363"/>
      <c r="I1706" s="363"/>
      <c r="J1706" s="363"/>
      <c r="K1706" s="363"/>
      <c r="L1706" s="363"/>
      <c r="M1706" s="367"/>
    </row>
    <row r="1707" customFormat="false" ht="12.75" hidden="false" customHeight="true" outlineLevel="0" collapsed="false">
      <c r="B1707" s="361"/>
      <c r="C1707" s="369"/>
      <c r="D1707" s="369"/>
      <c r="E1707" s="363"/>
      <c r="F1707" s="374"/>
      <c r="G1707" s="363"/>
      <c r="H1707" s="363"/>
      <c r="I1707" s="363"/>
      <c r="J1707" s="363"/>
      <c r="K1707" s="363"/>
      <c r="L1707" s="370"/>
      <c r="M1707" s="367"/>
    </row>
    <row r="1708" customFormat="false" ht="12.75" hidden="false" customHeight="true" outlineLevel="0" collapsed="false">
      <c r="B1708" s="361"/>
      <c r="C1708" s="369"/>
      <c r="D1708" s="369"/>
      <c r="E1708" s="363"/>
      <c r="F1708" s="374"/>
      <c r="G1708" s="363"/>
      <c r="H1708" s="363"/>
      <c r="I1708" s="363"/>
      <c r="J1708" s="363"/>
      <c r="K1708" s="363"/>
      <c r="L1708" s="363"/>
      <c r="M1708" s="367"/>
    </row>
    <row r="1709" customFormat="false" ht="12.75" hidden="false" customHeight="true" outlineLevel="0" collapsed="false">
      <c r="B1709" s="361"/>
      <c r="C1709" s="369"/>
      <c r="D1709" s="369"/>
      <c r="E1709" s="363"/>
      <c r="F1709" s="374"/>
      <c r="G1709" s="363"/>
      <c r="H1709" s="363"/>
      <c r="I1709" s="363"/>
      <c r="J1709" s="363"/>
      <c r="K1709" s="363"/>
      <c r="L1709" s="363"/>
      <c r="M1709" s="367"/>
    </row>
    <row r="1710" customFormat="false" ht="12.75" hidden="false" customHeight="true" outlineLevel="0" collapsed="false">
      <c r="B1710" s="361"/>
      <c r="C1710" s="369"/>
      <c r="D1710" s="369"/>
      <c r="E1710" s="363"/>
      <c r="F1710" s="374"/>
      <c r="G1710" s="363"/>
      <c r="H1710" s="363"/>
      <c r="I1710" s="363"/>
      <c r="J1710" s="363"/>
      <c r="K1710" s="363"/>
      <c r="L1710" s="363"/>
      <c r="M1710" s="367"/>
    </row>
    <row r="1711" customFormat="false" ht="12.75" hidden="false" customHeight="true" outlineLevel="0" collapsed="false">
      <c r="B1711" s="361"/>
      <c r="C1711" s="369"/>
      <c r="D1711" s="369"/>
      <c r="E1711" s="363"/>
      <c r="F1711" s="374"/>
      <c r="G1711" s="363"/>
      <c r="H1711" s="363"/>
      <c r="I1711" s="363"/>
      <c r="J1711" s="363"/>
      <c r="K1711" s="363"/>
      <c r="L1711" s="363"/>
      <c r="M1711" s="367"/>
    </row>
    <row r="1712" customFormat="false" ht="12.75" hidden="false" customHeight="true" outlineLevel="0" collapsed="false">
      <c r="B1712" s="361"/>
      <c r="C1712" s="369"/>
      <c r="D1712" s="369"/>
      <c r="E1712" s="363"/>
      <c r="F1712" s="374"/>
      <c r="G1712" s="363"/>
      <c r="H1712" s="363"/>
      <c r="I1712" s="363"/>
      <c r="J1712" s="363"/>
      <c r="K1712" s="363"/>
      <c r="L1712" s="363"/>
      <c r="M1712" s="367"/>
    </row>
    <row r="1713" customFormat="false" ht="12.75" hidden="false" customHeight="true" outlineLevel="0" collapsed="false">
      <c r="B1713" s="361"/>
      <c r="C1713" s="369"/>
      <c r="D1713" s="369"/>
      <c r="E1713" s="363"/>
      <c r="F1713" s="374"/>
      <c r="G1713" s="363"/>
      <c r="H1713" s="363"/>
      <c r="I1713" s="363"/>
      <c r="J1713" s="363"/>
      <c r="K1713" s="363"/>
      <c r="L1713" s="363"/>
      <c r="M1713" s="367"/>
    </row>
    <row r="1714" customFormat="false" ht="12.75" hidden="false" customHeight="true" outlineLevel="0" collapsed="false">
      <c r="B1714" s="361"/>
      <c r="C1714" s="369"/>
      <c r="D1714" s="369"/>
      <c r="E1714" s="363"/>
      <c r="F1714" s="374"/>
      <c r="G1714" s="363"/>
      <c r="H1714" s="363"/>
      <c r="I1714" s="363"/>
      <c r="J1714" s="363"/>
      <c r="K1714" s="363"/>
      <c r="L1714" s="363"/>
      <c r="M1714" s="367"/>
    </row>
    <row r="1715" customFormat="false" ht="12.75" hidden="false" customHeight="true" outlineLevel="0" collapsed="false">
      <c r="B1715" s="361"/>
      <c r="C1715" s="369"/>
      <c r="D1715" s="369"/>
      <c r="E1715" s="363"/>
      <c r="F1715" s="374"/>
      <c r="G1715" s="363"/>
      <c r="H1715" s="363"/>
      <c r="I1715" s="363"/>
      <c r="J1715" s="363"/>
      <c r="K1715" s="363"/>
      <c r="L1715" s="363"/>
      <c r="M1715" s="367"/>
    </row>
    <row r="1716" customFormat="false" ht="12.75" hidden="false" customHeight="true" outlineLevel="0" collapsed="false">
      <c r="B1716" s="361"/>
      <c r="C1716" s="369"/>
      <c r="D1716" s="369"/>
      <c r="E1716" s="363"/>
      <c r="F1716" s="374"/>
      <c r="G1716" s="363"/>
      <c r="H1716" s="363"/>
      <c r="I1716" s="363"/>
      <c r="J1716" s="363"/>
      <c r="K1716" s="363"/>
      <c r="L1716" s="363"/>
      <c r="M1716" s="367"/>
    </row>
    <row r="1717" customFormat="false" ht="12.75" hidden="false" customHeight="true" outlineLevel="0" collapsed="false">
      <c r="B1717" s="361"/>
      <c r="C1717" s="369"/>
      <c r="D1717" s="369"/>
      <c r="E1717" s="363"/>
      <c r="F1717" s="374"/>
      <c r="G1717" s="363"/>
      <c r="H1717" s="363"/>
      <c r="I1717" s="363"/>
      <c r="J1717" s="363"/>
      <c r="K1717" s="363"/>
      <c r="L1717" s="363"/>
      <c r="M1717" s="367"/>
    </row>
    <row r="1718" customFormat="false" ht="12.75" hidden="false" customHeight="true" outlineLevel="0" collapsed="false">
      <c r="B1718" s="361"/>
      <c r="C1718" s="369"/>
      <c r="D1718" s="369"/>
      <c r="E1718" s="363"/>
      <c r="F1718" s="374"/>
      <c r="G1718" s="363"/>
      <c r="H1718" s="363"/>
      <c r="I1718" s="363"/>
      <c r="J1718" s="363"/>
      <c r="K1718" s="363"/>
      <c r="L1718" s="363"/>
      <c r="M1718" s="367"/>
    </row>
    <row r="1719" customFormat="false" ht="12.75" hidden="false" customHeight="true" outlineLevel="0" collapsed="false">
      <c r="B1719" s="361"/>
      <c r="C1719" s="369"/>
      <c r="D1719" s="369"/>
      <c r="E1719" s="363"/>
      <c r="F1719" s="374"/>
      <c r="G1719" s="363"/>
      <c r="H1719" s="363"/>
      <c r="I1719" s="363"/>
      <c r="J1719" s="363"/>
      <c r="K1719" s="363"/>
      <c r="L1719" s="363"/>
      <c r="M1719" s="367"/>
    </row>
    <row r="1720" customFormat="false" ht="12.75" hidden="false" customHeight="true" outlineLevel="0" collapsed="false">
      <c r="B1720" s="361"/>
      <c r="C1720" s="369"/>
      <c r="D1720" s="369"/>
      <c r="E1720" s="363"/>
      <c r="F1720" s="374"/>
      <c r="G1720" s="363"/>
      <c r="H1720" s="363"/>
      <c r="I1720" s="363"/>
      <c r="J1720" s="363"/>
      <c r="K1720" s="363"/>
      <c r="L1720" s="363"/>
      <c r="M1720" s="367"/>
    </row>
    <row r="1721" customFormat="false" ht="12.75" hidden="false" customHeight="true" outlineLevel="0" collapsed="false">
      <c r="B1721" s="361"/>
      <c r="C1721" s="369"/>
      <c r="D1721" s="369"/>
      <c r="E1721" s="363"/>
      <c r="F1721" s="374"/>
      <c r="G1721" s="363"/>
      <c r="H1721" s="363"/>
      <c r="I1721" s="363"/>
      <c r="J1721" s="363"/>
      <c r="K1721" s="363"/>
      <c r="L1721" s="363"/>
      <c r="M1721" s="367"/>
    </row>
    <row r="1722" customFormat="false" ht="12.75" hidden="false" customHeight="true" outlineLevel="0" collapsed="false">
      <c r="B1722" s="361"/>
      <c r="C1722" s="369"/>
      <c r="D1722" s="369"/>
      <c r="E1722" s="363"/>
      <c r="F1722" s="374"/>
      <c r="G1722" s="363"/>
      <c r="H1722" s="363"/>
      <c r="I1722" s="363"/>
      <c r="J1722" s="363"/>
      <c r="K1722" s="363"/>
      <c r="L1722" s="363"/>
      <c r="M1722" s="367"/>
    </row>
    <row r="1723" customFormat="false" ht="12.75" hidden="false" customHeight="true" outlineLevel="0" collapsed="false">
      <c r="B1723" s="361"/>
      <c r="C1723" s="369"/>
      <c r="D1723" s="369"/>
      <c r="E1723" s="363"/>
      <c r="F1723" s="374"/>
      <c r="G1723" s="363"/>
      <c r="H1723" s="363"/>
      <c r="I1723" s="363"/>
      <c r="J1723" s="363"/>
      <c r="K1723" s="363"/>
      <c r="L1723" s="363"/>
      <c r="M1723" s="367"/>
    </row>
    <row r="1724" customFormat="false" ht="12.75" hidden="false" customHeight="true" outlineLevel="0" collapsed="false">
      <c r="B1724" s="361"/>
      <c r="C1724" s="369"/>
      <c r="D1724" s="369"/>
      <c r="E1724" s="363"/>
      <c r="F1724" s="374"/>
      <c r="G1724" s="363"/>
      <c r="H1724" s="363"/>
      <c r="I1724" s="363"/>
      <c r="J1724" s="363"/>
      <c r="K1724" s="363"/>
      <c r="L1724" s="363"/>
      <c r="M1724" s="367"/>
    </row>
    <row r="1725" customFormat="false" ht="12.75" hidden="false" customHeight="true" outlineLevel="0" collapsed="false">
      <c r="B1725" s="361"/>
      <c r="C1725" s="369"/>
      <c r="D1725" s="369"/>
      <c r="E1725" s="363"/>
      <c r="F1725" s="374"/>
      <c r="G1725" s="363"/>
      <c r="H1725" s="363"/>
      <c r="I1725" s="363"/>
      <c r="J1725" s="363"/>
      <c r="K1725" s="363"/>
      <c r="L1725" s="363"/>
      <c r="M1725" s="367"/>
    </row>
    <row r="1726" customFormat="false" ht="12.75" hidden="false" customHeight="true" outlineLevel="0" collapsed="false">
      <c r="B1726" s="361"/>
      <c r="C1726" s="369"/>
      <c r="D1726" s="369"/>
      <c r="E1726" s="363"/>
      <c r="F1726" s="374"/>
      <c r="G1726" s="363"/>
      <c r="H1726" s="363"/>
      <c r="I1726" s="363"/>
      <c r="J1726" s="363"/>
      <c r="K1726" s="363"/>
      <c r="L1726" s="363"/>
      <c r="M1726" s="367"/>
    </row>
    <row r="1727" customFormat="false" ht="12.75" hidden="false" customHeight="true" outlineLevel="0" collapsed="false">
      <c r="B1727" s="361"/>
      <c r="C1727" s="369"/>
      <c r="D1727" s="369"/>
      <c r="E1727" s="363"/>
      <c r="F1727" s="374"/>
      <c r="G1727" s="363"/>
      <c r="H1727" s="363"/>
      <c r="I1727" s="363"/>
      <c r="J1727" s="363"/>
      <c r="K1727" s="363"/>
      <c r="L1727" s="363"/>
      <c r="M1727" s="367"/>
    </row>
    <row r="1728" customFormat="false" ht="12.75" hidden="false" customHeight="true" outlineLevel="0" collapsed="false">
      <c r="B1728" s="361"/>
      <c r="C1728" s="369"/>
      <c r="D1728" s="369"/>
      <c r="E1728" s="363"/>
      <c r="F1728" s="374"/>
      <c r="G1728" s="363"/>
      <c r="H1728" s="363"/>
      <c r="I1728" s="363"/>
      <c r="J1728" s="363"/>
      <c r="K1728" s="363"/>
      <c r="L1728" s="363"/>
      <c r="M1728" s="367"/>
    </row>
    <row r="1729" customFormat="false" ht="12.75" hidden="false" customHeight="true" outlineLevel="0" collapsed="false">
      <c r="B1729" s="361"/>
      <c r="C1729" s="369"/>
      <c r="D1729" s="369"/>
      <c r="E1729" s="363"/>
      <c r="F1729" s="374"/>
      <c r="G1729" s="363"/>
      <c r="H1729" s="363"/>
      <c r="I1729" s="363"/>
      <c r="J1729" s="363"/>
      <c r="K1729" s="363"/>
      <c r="L1729" s="363"/>
      <c r="M1729" s="367"/>
    </row>
    <row r="1730" customFormat="false" ht="12.75" hidden="false" customHeight="true" outlineLevel="0" collapsed="false">
      <c r="B1730" s="361"/>
      <c r="C1730" s="369"/>
      <c r="D1730" s="369"/>
      <c r="E1730" s="363"/>
      <c r="F1730" s="374"/>
      <c r="G1730" s="363"/>
      <c r="H1730" s="363"/>
      <c r="I1730" s="363"/>
      <c r="J1730" s="363"/>
      <c r="K1730" s="363"/>
      <c r="L1730" s="363"/>
      <c r="M1730" s="367"/>
    </row>
    <row r="1731" customFormat="false" ht="12.75" hidden="false" customHeight="true" outlineLevel="0" collapsed="false">
      <c r="B1731" s="361"/>
      <c r="C1731" s="369"/>
      <c r="D1731" s="369"/>
      <c r="E1731" s="363"/>
      <c r="F1731" s="374"/>
      <c r="G1731" s="363"/>
      <c r="H1731" s="363"/>
      <c r="I1731" s="363"/>
      <c r="J1731" s="363"/>
      <c r="K1731" s="363"/>
      <c r="L1731" s="363"/>
      <c r="M1731" s="367"/>
    </row>
    <row r="1732" customFormat="false" ht="12.75" hidden="false" customHeight="true" outlineLevel="0" collapsed="false">
      <c r="B1732" s="368"/>
      <c r="C1732" s="369"/>
      <c r="D1732" s="369"/>
      <c r="E1732" s="370"/>
      <c r="F1732" s="375"/>
      <c r="G1732" s="370"/>
      <c r="H1732" s="363"/>
      <c r="I1732" s="370"/>
      <c r="J1732" s="370"/>
      <c r="K1732" s="370"/>
      <c r="L1732" s="370"/>
      <c r="M1732" s="384"/>
    </row>
    <row r="1733" customFormat="false" ht="12.75" hidden="false" customHeight="true" outlineLevel="0" collapsed="false">
      <c r="B1733" s="368"/>
      <c r="C1733" s="369"/>
      <c r="D1733" s="369"/>
      <c r="E1733" s="370"/>
      <c r="F1733" s="375"/>
      <c r="G1733" s="370"/>
      <c r="H1733" s="363"/>
      <c r="I1733" s="370"/>
      <c r="J1733" s="370"/>
      <c r="K1733" s="370"/>
      <c r="L1733" s="370"/>
      <c r="M1733" s="367"/>
    </row>
    <row r="1734" customFormat="false" ht="12.75" hidden="false" customHeight="true" outlineLevel="0" collapsed="false">
      <c r="B1734" s="361"/>
      <c r="C1734" s="369"/>
      <c r="D1734" s="369"/>
      <c r="E1734" s="363"/>
      <c r="F1734" s="374"/>
      <c r="G1734" s="363"/>
      <c r="H1734" s="363"/>
      <c r="I1734" s="363"/>
      <c r="J1734" s="363"/>
      <c r="K1734" s="363"/>
      <c r="L1734" s="363"/>
      <c r="M1734" s="367"/>
    </row>
    <row r="1735" customFormat="false" ht="12.75" hidden="false" customHeight="true" outlineLevel="0" collapsed="false">
      <c r="B1735" s="361"/>
      <c r="C1735" s="369"/>
      <c r="D1735" s="369"/>
      <c r="E1735" s="363"/>
      <c r="F1735" s="374"/>
      <c r="G1735" s="363"/>
      <c r="H1735" s="363"/>
      <c r="I1735" s="363"/>
      <c r="J1735" s="363"/>
      <c r="K1735" s="363"/>
      <c r="L1735" s="363"/>
      <c r="M1735" s="367"/>
    </row>
    <row r="1736" customFormat="false" ht="12.75" hidden="false" customHeight="true" outlineLevel="0" collapsed="false">
      <c r="B1736" s="361"/>
      <c r="C1736" s="369"/>
      <c r="D1736" s="369"/>
      <c r="E1736" s="363"/>
      <c r="F1736" s="374"/>
      <c r="G1736" s="363"/>
      <c r="H1736" s="363"/>
      <c r="I1736" s="363"/>
      <c r="J1736" s="363"/>
      <c r="K1736" s="363"/>
      <c r="L1736" s="363"/>
      <c r="M1736" s="367"/>
    </row>
    <row r="1737" customFormat="false" ht="12.75" hidden="false" customHeight="true" outlineLevel="0" collapsed="false">
      <c r="B1737" s="361"/>
      <c r="C1737" s="369"/>
      <c r="D1737" s="369"/>
      <c r="E1737" s="363"/>
      <c r="F1737" s="374"/>
      <c r="G1737" s="363"/>
      <c r="H1737" s="363"/>
      <c r="I1737" s="363"/>
      <c r="J1737" s="363"/>
      <c r="K1737" s="363"/>
      <c r="L1737" s="363"/>
      <c r="M1737" s="367"/>
    </row>
    <row r="1738" customFormat="false" ht="12.75" hidden="false" customHeight="true" outlineLevel="0" collapsed="false">
      <c r="B1738" s="361"/>
      <c r="C1738" s="369"/>
      <c r="D1738" s="369"/>
      <c r="E1738" s="363"/>
      <c r="F1738" s="374"/>
      <c r="G1738" s="363"/>
      <c r="H1738" s="363"/>
      <c r="I1738" s="363"/>
      <c r="J1738" s="363"/>
      <c r="K1738" s="363"/>
      <c r="L1738" s="363"/>
      <c r="M1738" s="367"/>
    </row>
    <row r="1739" customFormat="false" ht="12.75" hidden="false" customHeight="true" outlineLevel="0" collapsed="false">
      <c r="B1739" s="361"/>
      <c r="C1739" s="369"/>
      <c r="D1739" s="369"/>
      <c r="E1739" s="363"/>
      <c r="F1739" s="374"/>
      <c r="G1739" s="363"/>
      <c r="H1739" s="363"/>
      <c r="I1739" s="363"/>
      <c r="J1739" s="363"/>
      <c r="K1739" s="363"/>
      <c r="L1739" s="363"/>
      <c r="M1739" s="367"/>
    </row>
    <row r="1740" customFormat="false" ht="12.75" hidden="false" customHeight="true" outlineLevel="0" collapsed="false">
      <c r="B1740" s="361"/>
      <c r="C1740" s="369"/>
      <c r="D1740" s="369"/>
      <c r="E1740" s="363"/>
      <c r="F1740" s="374"/>
      <c r="G1740" s="363"/>
      <c r="H1740" s="363"/>
      <c r="I1740" s="363"/>
      <c r="J1740" s="363"/>
      <c r="K1740" s="363"/>
      <c r="L1740" s="363"/>
      <c r="M1740" s="367"/>
    </row>
    <row r="1741" customFormat="false" ht="12.75" hidden="false" customHeight="true" outlineLevel="0" collapsed="false">
      <c r="B1741" s="361"/>
      <c r="C1741" s="369"/>
      <c r="D1741" s="369"/>
      <c r="E1741" s="363"/>
      <c r="F1741" s="374"/>
      <c r="G1741" s="363"/>
      <c r="H1741" s="363"/>
      <c r="I1741" s="363"/>
      <c r="J1741" s="363"/>
      <c r="K1741" s="363"/>
      <c r="L1741" s="363"/>
      <c r="M1741" s="367"/>
    </row>
    <row r="1742" customFormat="false" ht="12.75" hidden="false" customHeight="true" outlineLevel="0" collapsed="false">
      <c r="B1742" s="361"/>
      <c r="C1742" s="369"/>
      <c r="D1742" s="369"/>
      <c r="E1742" s="363"/>
      <c r="F1742" s="374"/>
      <c r="G1742" s="363"/>
      <c r="H1742" s="363"/>
      <c r="I1742" s="363"/>
      <c r="J1742" s="363"/>
      <c r="K1742" s="363"/>
      <c r="L1742" s="363"/>
      <c r="M1742" s="367"/>
    </row>
    <row r="1743" customFormat="false" ht="12.75" hidden="false" customHeight="true" outlineLevel="0" collapsed="false">
      <c r="B1743" s="361"/>
      <c r="C1743" s="369"/>
      <c r="D1743" s="369"/>
      <c r="E1743" s="363"/>
      <c r="F1743" s="374"/>
      <c r="G1743" s="363"/>
      <c r="H1743" s="363"/>
      <c r="I1743" s="363"/>
      <c r="J1743" s="363"/>
      <c r="K1743" s="363"/>
      <c r="L1743" s="363"/>
      <c r="M1743" s="367"/>
    </row>
    <row r="1744" customFormat="false" ht="12.75" hidden="false" customHeight="true" outlineLevel="0" collapsed="false">
      <c r="B1744" s="361"/>
      <c r="C1744" s="369"/>
      <c r="D1744" s="369"/>
      <c r="E1744" s="363"/>
      <c r="F1744" s="374"/>
      <c r="G1744" s="363"/>
      <c r="H1744" s="363"/>
      <c r="I1744" s="363"/>
      <c r="J1744" s="363"/>
      <c r="K1744" s="363"/>
      <c r="L1744" s="363"/>
      <c r="M1744" s="367"/>
    </row>
    <row r="1745" customFormat="false" ht="12.75" hidden="false" customHeight="true" outlineLevel="0" collapsed="false">
      <c r="B1745" s="361"/>
      <c r="C1745" s="369"/>
      <c r="D1745" s="369"/>
      <c r="E1745" s="363"/>
      <c r="F1745" s="374"/>
      <c r="G1745" s="363"/>
      <c r="H1745" s="363"/>
      <c r="I1745" s="363"/>
      <c r="J1745" s="363"/>
      <c r="K1745" s="363"/>
      <c r="L1745" s="363"/>
      <c r="M1745" s="367"/>
    </row>
    <row r="1746" customFormat="false" ht="12.75" hidden="false" customHeight="true" outlineLevel="0" collapsed="false">
      <c r="B1746" s="361"/>
      <c r="C1746" s="369"/>
      <c r="D1746" s="369"/>
      <c r="E1746" s="363"/>
      <c r="F1746" s="374"/>
      <c r="G1746" s="363"/>
      <c r="H1746" s="363"/>
      <c r="I1746" s="363"/>
      <c r="J1746" s="363"/>
      <c r="K1746" s="363"/>
      <c r="L1746" s="363"/>
      <c r="M1746" s="367"/>
    </row>
    <row r="1747" customFormat="false" ht="12.75" hidden="false" customHeight="true" outlineLevel="0" collapsed="false">
      <c r="B1747" s="361"/>
      <c r="C1747" s="369"/>
      <c r="D1747" s="369"/>
      <c r="E1747" s="363"/>
      <c r="F1747" s="374"/>
      <c r="G1747" s="363"/>
      <c r="H1747" s="363"/>
      <c r="I1747" s="363"/>
      <c r="J1747" s="363"/>
      <c r="K1747" s="363"/>
      <c r="L1747" s="363"/>
      <c r="M1747" s="367"/>
    </row>
    <row r="1748" customFormat="false" ht="12.75" hidden="false" customHeight="true" outlineLevel="0" collapsed="false">
      <c r="B1748" s="361"/>
      <c r="C1748" s="369"/>
      <c r="D1748" s="369"/>
      <c r="E1748" s="363"/>
      <c r="F1748" s="374"/>
      <c r="G1748" s="363"/>
      <c r="H1748" s="363"/>
      <c r="I1748" s="363"/>
      <c r="J1748" s="363"/>
      <c r="K1748" s="363"/>
      <c r="L1748" s="363"/>
      <c r="M1748" s="367"/>
    </row>
    <row r="1749" customFormat="false" ht="12.75" hidden="false" customHeight="true" outlineLevel="0" collapsed="false">
      <c r="B1749" s="361"/>
      <c r="C1749" s="369"/>
      <c r="D1749" s="369"/>
      <c r="E1749" s="363"/>
      <c r="F1749" s="374"/>
      <c r="G1749" s="363"/>
      <c r="H1749" s="363"/>
      <c r="I1749" s="363"/>
      <c r="J1749" s="363"/>
      <c r="K1749" s="363"/>
      <c r="L1749" s="363"/>
      <c r="M1749" s="367"/>
    </row>
    <row r="1750" customFormat="false" ht="12.75" hidden="false" customHeight="true" outlineLevel="0" collapsed="false">
      <c r="B1750" s="361"/>
      <c r="C1750" s="369"/>
      <c r="D1750" s="369"/>
      <c r="E1750" s="363"/>
      <c r="F1750" s="374"/>
      <c r="G1750" s="363"/>
      <c r="H1750" s="363"/>
      <c r="I1750" s="363"/>
      <c r="J1750" s="363"/>
      <c r="K1750" s="363"/>
      <c r="L1750" s="363"/>
      <c r="M1750" s="367"/>
    </row>
    <row r="1751" customFormat="false" ht="12.75" hidden="false" customHeight="true" outlineLevel="0" collapsed="false">
      <c r="B1751" s="361"/>
      <c r="C1751" s="369"/>
      <c r="D1751" s="369"/>
      <c r="E1751" s="363"/>
      <c r="F1751" s="374"/>
      <c r="G1751" s="363"/>
      <c r="H1751" s="363"/>
      <c r="I1751" s="363"/>
      <c r="J1751" s="363"/>
      <c r="K1751" s="363"/>
      <c r="L1751" s="363"/>
      <c r="M1751" s="367"/>
    </row>
    <row r="1752" customFormat="false" ht="12.75" hidden="false" customHeight="true" outlineLevel="0" collapsed="false">
      <c r="B1752" s="361"/>
      <c r="C1752" s="369"/>
      <c r="D1752" s="369"/>
      <c r="E1752" s="363"/>
      <c r="F1752" s="374"/>
      <c r="G1752" s="363"/>
      <c r="H1752" s="363"/>
      <c r="I1752" s="363"/>
      <c r="J1752" s="363"/>
      <c r="K1752" s="363"/>
      <c r="L1752" s="363"/>
      <c r="M1752" s="367"/>
    </row>
    <row r="1753" customFormat="false" ht="12.75" hidden="false" customHeight="true" outlineLevel="0" collapsed="false">
      <c r="B1753" s="361"/>
      <c r="C1753" s="369"/>
      <c r="D1753" s="369"/>
      <c r="E1753" s="363"/>
      <c r="F1753" s="374"/>
      <c r="G1753" s="363"/>
      <c r="H1753" s="363"/>
      <c r="I1753" s="363"/>
      <c r="J1753" s="363"/>
      <c r="K1753" s="363"/>
      <c r="L1753" s="363"/>
      <c r="M1753" s="367"/>
    </row>
    <row r="1754" customFormat="false" ht="12.75" hidden="false" customHeight="true" outlineLevel="0" collapsed="false">
      <c r="B1754" s="361"/>
      <c r="C1754" s="369"/>
      <c r="D1754" s="369"/>
      <c r="E1754" s="363"/>
      <c r="F1754" s="374"/>
      <c r="G1754" s="363"/>
      <c r="H1754" s="363"/>
      <c r="I1754" s="363"/>
      <c r="J1754" s="363"/>
      <c r="K1754" s="363"/>
      <c r="L1754" s="363"/>
      <c r="M1754" s="367"/>
    </row>
    <row r="1755" customFormat="false" ht="12.75" hidden="false" customHeight="true" outlineLevel="0" collapsed="false">
      <c r="B1755" s="361"/>
      <c r="C1755" s="369"/>
      <c r="D1755" s="369"/>
      <c r="E1755" s="363"/>
      <c r="F1755" s="374"/>
      <c r="G1755" s="363"/>
      <c r="H1755" s="363"/>
      <c r="I1755" s="363"/>
      <c r="J1755" s="363"/>
      <c r="K1755" s="363"/>
      <c r="L1755" s="363"/>
      <c r="M1755" s="367"/>
    </row>
    <row r="1756" customFormat="false" ht="12.75" hidden="false" customHeight="true" outlineLevel="0" collapsed="false">
      <c r="B1756" s="361"/>
      <c r="C1756" s="369"/>
      <c r="D1756" s="369"/>
      <c r="E1756" s="363"/>
      <c r="F1756" s="374"/>
      <c r="G1756" s="363"/>
      <c r="H1756" s="363"/>
      <c r="I1756" s="363"/>
      <c r="J1756" s="363"/>
      <c r="K1756" s="363"/>
      <c r="L1756" s="363"/>
      <c r="M1756" s="367"/>
    </row>
    <row r="1757" customFormat="false" ht="12.75" hidden="false" customHeight="true" outlineLevel="0" collapsed="false">
      <c r="B1757" s="361"/>
      <c r="C1757" s="369"/>
      <c r="D1757" s="369"/>
      <c r="E1757" s="363"/>
      <c r="F1757" s="374"/>
      <c r="G1757" s="363"/>
      <c r="H1757" s="363"/>
      <c r="I1757" s="363"/>
      <c r="J1757" s="363"/>
      <c r="K1757" s="363"/>
      <c r="L1757" s="363"/>
      <c r="M1757" s="367"/>
    </row>
    <row r="1758" customFormat="false" ht="12.75" hidden="false" customHeight="true" outlineLevel="0" collapsed="false">
      <c r="B1758" s="361"/>
      <c r="C1758" s="369"/>
      <c r="D1758" s="369"/>
      <c r="E1758" s="363"/>
      <c r="F1758" s="374"/>
      <c r="G1758" s="363"/>
      <c r="H1758" s="363"/>
      <c r="I1758" s="363"/>
      <c r="J1758" s="363"/>
      <c r="K1758" s="363"/>
      <c r="L1758" s="363"/>
      <c r="M1758" s="367"/>
    </row>
    <row r="1759" customFormat="false" ht="12.75" hidden="false" customHeight="true" outlineLevel="0" collapsed="false">
      <c r="B1759" s="361"/>
      <c r="C1759" s="369"/>
      <c r="D1759" s="369"/>
      <c r="E1759" s="363"/>
      <c r="F1759" s="374"/>
      <c r="G1759" s="363"/>
      <c r="H1759" s="363"/>
      <c r="I1759" s="363"/>
      <c r="J1759" s="363"/>
      <c r="K1759" s="363"/>
      <c r="L1759" s="363"/>
      <c r="M1759" s="367"/>
    </row>
    <row r="1760" customFormat="false" ht="12.75" hidden="false" customHeight="true" outlineLevel="0" collapsed="false">
      <c r="B1760" s="361"/>
      <c r="C1760" s="369"/>
      <c r="D1760" s="369"/>
      <c r="E1760" s="363"/>
      <c r="F1760" s="374"/>
      <c r="G1760" s="363"/>
      <c r="H1760" s="363"/>
      <c r="I1760" s="363"/>
      <c r="J1760" s="363"/>
      <c r="K1760" s="363"/>
      <c r="L1760" s="363"/>
      <c r="M1760" s="367"/>
    </row>
    <row r="1761" customFormat="false" ht="12.75" hidden="false" customHeight="true" outlineLevel="0" collapsed="false">
      <c r="B1761" s="361"/>
      <c r="C1761" s="369"/>
      <c r="D1761" s="369"/>
      <c r="E1761" s="363"/>
      <c r="F1761" s="374"/>
      <c r="G1761" s="363"/>
      <c r="H1761" s="363"/>
      <c r="I1761" s="363"/>
      <c r="J1761" s="363"/>
      <c r="K1761" s="363"/>
      <c r="L1761" s="363"/>
      <c r="M1761" s="367"/>
    </row>
    <row r="1762" customFormat="false" ht="12.75" hidden="false" customHeight="true" outlineLevel="0" collapsed="false">
      <c r="B1762" s="361"/>
      <c r="C1762" s="369"/>
      <c r="D1762" s="369"/>
      <c r="E1762" s="363"/>
      <c r="F1762" s="374"/>
      <c r="G1762" s="363"/>
      <c r="H1762" s="363"/>
      <c r="I1762" s="363"/>
      <c r="J1762" s="363"/>
      <c r="K1762" s="363"/>
      <c r="L1762" s="363"/>
      <c r="M1762" s="367"/>
    </row>
    <row r="1763" customFormat="false" ht="12.75" hidden="false" customHeight="true" outlineLevel="0" collapsed="false">
      <c r="B1763" s="361"/>
      <c r="C1763" s="369"/>
      <c r="D1763" s="369"/>
      <c r="E1763" s="363"/>
      <c r="F1763" s="374"/>
      <c r="G1763" s="363"/>
      <c r="H1763" s="363"/>
      <c r="I1763" s="363"/>
      <c r="J1763" s="363"/>
      <c r="K1763" s="363"/>
      <c r="L1763" s="363"/>
      <c r="M1763" s="367"/>
    </row>
    <row r="1764" customFormat="false" ht="12.75" hidden="false" customHeight="true" outlineLevel="0" collapsed="false">
      <c r="B1764" s="361"/>
      <c r="C1764" s="369"/>
      <c r="D1764" s="369"/>
      <c r="E1764" s="363"/>
      <c r="F1764" s="374"/>
      <c r="G1764" s="363"/>
      <c r="H1764" s="363"/>
      <c r="I1764" s="363"/>
      <c r="J1764" s="363"/>
      <c r="K1764" s="363"/>
      <c r="L1764" s="363"/>
      <c r="M1764" s="367"/>
    </row>
    <row r="1765" customFormat="false" ht="12.75" hidden="false" customHeight="true" outlineLevel="0" collapsed="false">
      <c r="B1765" s="361"/>
      <c r="C1765" s="369"/>
      <c r="D1765" s="369"/>
      <c r="E1765" s="363"/>
      <c r="F1765" s="374"/>
      <c r="G1765" s="363"/>
      <c r="H1765" s="363"/>
      <c r="I1765" s="363"/>
      <c r="J1765" s="363"/>
      <c r="K1765" s="363"/>
      <c r="L1765" s="363"/>
      <c r="M1765" s="367"/>
    </row>
    <row r="1766" customFormat="false" ht="12.75" hidden="false" customHeight="true" outlineLevel="0" collapsed="false">
      <c r="B1766" s="361"/>
      <c r="C1766" s="369"/>
      <c r="D1766" s="369"/>
      <c r="E1766" s="363"/>
      <c r="F1766" s="374"/>
      <c r="G1766" s="363"/>
      <c r="H1766" s="363"/>
      <c r="I1766" s="363"/>
      <c r="J1766" s="363"/>
      <c r="K1766" s="363"/>
      <c r="L1766" s="363"/>
      <c r="M1766" s="367"/>
    </row>
    <row r="1767" customFormat="false" ht="12.75" hidden="false" customHeight="true" outlineLevel="0" collapsed="false">
      <c r="B1767" s="361"/>
      <c r="C1767" s="369"/>
      <c r="D1767" s="369"/>
      <c r="E1767" s="363"/>
      <c r="F1767" s="374"/>
      <c r="G1767" s="363"/>
      <c r="H1767" s="363"/>
      <c r="I1767" s="363"/>
      <c r="J1767" s="363"/>
      <c r="K1767" s="363"/>
      <c r="L1767" s="363"/>
      <c r="M1767" s="367"/>
    </row>
    <row r="1768" customFormat="false" ht="12.75" hidden="false" customHeight="true" outlineLevel="0" collapsed="false">
      <c r="B1768" s="361"/>
      <c r="C1768" s="369"/>
      <c r="D1768" s="369"/>
      <c r="E1768" s="363"/>
      <c r="F1768" s="374"/>
      <c r="G1768" s="363"/>
      <c r="H1768" s="363"/>
      <c r="I1768" s="363"/>
      <c r="J1768" s="363"/>
      <c r="K1768" s="363"/>
      <c r="L1768" s="363"/>
      <c r="M1768" s="367"/>
    </row>
    <row r="1769" customFormat="false" ht="12.75" hidden="false" customHeight="true" outlineLevel="0" collapsed="false">
      <c r="B1769" s="361"/>
      <c r="C1769" s="369"/>
      <c r="D1769" s="369"/>
      <c r="E1769" s="363"/>
      <c r="F1769" s="374"/>
      <c r="G1769" s="363"/>
      <c r="H1769" s="363"/>
      <c r="I1769" s="363"/>
      <c r="J1769" s="363"/>
      <c r="K1769" s="363"/>
      <c r="L1769" s="363"/>
      <c r="M1769" s="367"/>
    </row>
    <row r="1770" customFormat="false" ht="12.75" hidden="false" customHeight="true" outlineLevel="0" collapsed="false">
      <c r="B1770" s="361"/>
      <c r="C1770" s="369"/>
      <c r="D1770" s="369"/>
      <c r="E1770" s="363"/>
      <c r="F1770" s="374"/>
      <c r="G1770" s="363"/>
      <c r="H1770" s="363"/>
      <c r="I1770" s="363"/>
      <c r="J1770" s="363"/>
      <c r="K1770" s="363"/>
      <c r="L1770" s="363"/>
      <c r="M1770" s="367"/>
    </row>
    <row r="1771" customFormat="false" ht="12.75" hidden="false" customHeight="true" outlineLevel="0" collapsed="false">
      <c r="B1771" s="361"/>
      <c r="C1771" s="362"/>
      <c r="D1771" s="362"/>
      <c r="E1771" s="363"/>
      <c r="F1771" s="374"/>
      <c r="G1771" s="363"/>
      <c r="H1771" s="363"/>
      <c r="I1771" s="363"/>
      <c r="J1771" s="363"/>
      <c r="K1771" s="363"/>
      <c r="L1771" s="363"/>
      <c r="M1771" s="367"/>
    </row>
    <row r="1772" customFormat="false" ht="12.75" hidden="false" customHeight="true" outlineLevel="0" collapsed="false">
      <c r="B1772" s="361"/>
      <c r="C1772" s="369"/>
      <c r="D1772" s="369"/>
      <c r="E1772" s="363"/>
      <c r="F1772" s="374"/>
      <c r="G1772" s="363"/>
      <c r="H1772" s="363"/>
      <c r="I1772" s="363"/>
      <c r="J1772" s="363"/>
      <c r="K1772" s="363"/>
      <c r="L1772" s="363"/>
      <c r="M1772" s="367"/>
    </row>
    <row r="1773" customFormat="false" ht="12.75" hidden="false" customHeight="true" outlineLevel="0" collapsed="false">
      <c r="B1773" s="361"/>
      <c r="C1773" s="369"/>
      <c r="D1773" s="369"/>
      <c r="E1773" s="363"/>
      <c r="F1773" s="374"/>
      <c r="G1773" s="363"/>
      <c r="H1773" s="363"/>
      <c r="I1773" s="363"/>
      <c r="J1773" s="363"/>
      <c r="K1773" s="363"/>
      <c r="L1773" s="363"/>
      <c r="M1773" s="367"/>
    </row>
    <row r="1774" customFormat="false" ht="12.75" hidden="false" customHeight="true" outlineLevel="0" collapsed="false">
      <c r="B1774" s="361"/>
      <c r="C1774" s="369"/>
      <c r="D1774" s="369"/>
      <c r="E1774" s="363"/>
      <c r="F1774" s="374"/>
      <c r="G1774" s="363"/>
      <c r="H1774" s="363"/>
      <c r="I1774" s="363"/>
      <c r="J1774" s="363"/>
      <c r="K1774" s="363"/>
      <c r="L1774" s="363"/>
      <c r="M1774" s="367"/>
    </row>
    <row r="1775" customFormat="false" ht="12.75" hidden="false" customHeight="true" outlineLevel="0" collapsed="false">
      <c r="B1775" s="361"/>
      <c r="C1775" s="369"/>
      <c r="D1775" s="369"/>
      <c r="E1775" s="363"/>
      <c r="F1775" s="374"/>
      <c r="G1775" s="363"/>
      <c r="H1775" s="363"/>
      <c r="I1775" s="363"/>
      <c r="J1775" s="363"/>
      <c r="K1775" s="363"/>
      <c r="L1775" s="363"/>
      <c r="M1775" s="367"/>
    </row>
    <row r="1776" customFormat="false" ht="12.75" hidden="false" customHeight="true" outlineLevel="0" collapsed="false">
      <c r="B1776" s="361"/>
      <c r="C1776" s="369"/>
      <c r="D1776" s="369"/>
      <c r="E1776" s="363"/>
      <c r="F1776" s="374"/>
      <c r="G1776" s="363"/>
      <c r="H1776" s="363"/>
      <c r="I1776" s="363"/>
      <c r="J1776" s="363"/>
      <c r="K1776" s="363"/>
      <c r="L1776" s="363"/>
      <c r="M1776" s="367"/>
    </row>
    <row r="1777" customFormat="false" ht="12.75" hidden="false" customHeight="true" outlineLevel="0" collapsed="false">
      <c r="B1777" s="361"/>
      <c r="C1777" s="369"/>
      <c r="D1777" s="369"/>
      <c r="E1777" s="363"/>
      <c r="F1777" s="374"/>
      <c r="G1777" s="363"/>
      <c r="H1777" s="363"/>
      <c r="I1777" s="363"/>
      <c r="J1777" s="363"/>
      <c r="K1777" s="363"/>
      <c r="L1777" s="363"/>
      <c r="M1777" s="367"/>
    </row>
    <row r="1778" customFormat="false" ht="12.75" hidden="false" customHeight="true" outlineLevel="0" collapsed="false">
      <c r="B1778" s="361"/>
      <c r="C1778" s="369"/>
      <c r="D1778" s="369"/>
      <c r="E1778" s="363"/>
      <c r="F1778" s="374"/>
      <c r="G1778" s="363"/>
      <c r="H1778" s="363"/>
      <c r="I1778" s="363"/>
      <c r="J1778" s="363"/>
      <c r="K1778" s="363"/>
      <c r="L1778" s="363"/>
      <c r="M1778" s="367"/>
    </row>
    <row r="1779" customFormat="false" ht="12.75" hidden="false" customHeight="true" outlineLevel="0" collapsed="false">
      <c r="B1779" s="361"/>
      <c r="C1779" s="369"/>
      <c r="D1779" s="369"/>
      <c r="E1779" s="363"/>
      <c r="F1779" s="374"/>
      <c r="G1779" s="363"/>
      <c r="H1779" s="363"/>
      <c r="I1779" s="363"/>
      <c r="J1779" s="363"/>
      <c r="K1779" s="363"/>
      <c r="L1779" s="363"/>
      <c r="M1779" s="367"/>
    </row>
    <row r="1780" customFormat="false" ht="12.75" hidden="false" customHeight="true" outlineLevel="0" collapsed="false">
      <c r="B1780" s="361"/>
      <c r="C1780" s="369"/>
      <c r="D1780" s="369"/>
      <c r="E1780" s="363"/>
      <c r="F1780" s="374"/>
      <c r="G1780" s="363"/>
      <c r="H1780" s="363"/>
      <c r="I1780" s="363"/>
      <c r="J1780" s="363"/>
      <c r="K1780" s="363"/>
      <c r="L1780" s="363"/>
      <c r="M1780" s="367"/>
    </row>
    <row r="1781" customFormat="false" ht="12.75" hidden="false" customHeight="true" outlineLevel="0" collapsed="false">
      <c r="B1781" s="361"/>
      <c r="C1781" s="369"/>
      <c r="D1781" s="369"/>
      <c r="E1781" s="363"/>
      <c r="F1781" s="374"/>
      <c r="G1781" s="363"/>
      <c r="H1781" s="363"/>
      <c r="I1781" s="363"/>
      <c r="J1781" s="363"/>
      <c r="K1781" s="363"/>
      <c r="L1781" s="363"/>
      <c r="M1781" s="367"/>
    </row>
    <row r="1782" customFormat="false" ht="12.75" hidden="false" customHeight="true" outlineLevel="0" collapsed="false">
      <c r="B1782" s="361"/>
      <c r="C1782" s="369"/>
      <c r="D1782" s="369"/>
      <c r="E1782" s="363"/>
      <c r="F1782" s="374"/>
      <c r="G1782" s="363"/>
      <c r="H1782" s="363"/>
      <c r="I1782" s="363"/>
      <c r="J1782" s="363"/>
      <c r="K1782" s="363"/>
      <c r="L1782" s="363"/>
      <c r="M1782" s="367"/>
    </row>
    <row r="1783" customFormat="false" ht="12.75" hidden="false" customHeight="true" outlineLevel="0" collapsed="false">
      <c r="B1783" s="361"/>
      <c r="C1783" s="369"/>
      <c r="D1783" s="369"/>
      <c r="E1783" s="363"/>
      <c r="F1783" s="374"/>
      <c r="G1783" s="363"/>
      <c r="H1783" s="363"/>
      <c r="I1783" s="363"/>
      <c r="J1783" s="363"/>
      <c r="K1783" s="363"/>
      <c r="L1783" s="363"/>
      <c r="M1783" s="367"/>
    </row>
    <row r="1784" customFormat="false" ht="12.75" hidden="false" customHeight="true" outlineLevel="0" collapsed="false">
      <c r="B1784" s="361"/>
      <c r="C1784" s="369"/>
      <c r="D1784" s="369"/>
      <c r="E1784" s="363"/>
      <c r="F1784" s="374"/>
      <c r="G1784" s="363"/>
      <c r="H1784" s="363"/>
      <c r="I1784" s="363"/>
      <c r="J1784" s="363"/>
      <c r="K1784" s="363"/>
      <c r="L1784" s="363"/>
      <c r="M1784" s="367"/>
    </row>
    <row r="1785" customFormat="false" ht="12.75" hidden="false" customHeight="true" outlineLevel="0" collapsed="false">
      <c r="B1785" s="361"/>
      <c r="C1785" s="369"/>
      <c r="D1785" s="369"/>
      <c r="E1785" s="363"/>
      <c r="F1785" s="374"/>
      <c r="G1785" s="363"/>
      <c r="H1785" s="363"/>
      <c r="I1785" s="363"/>
      <c r="J1785" s="363"/>
      <c r="K1785" s="363"/>
      <c r="L1785" s="363"/>
      <c r="M1785" s="367"/>
    </row>
    <row r="1786" customFormat="false" ht="12.75" hidden="false" customHeight="true" outlineLevel="0" collapsed="false">
      <c r="B1786" s="361"/>
      <c r="C1786" s="369"/>
      <c r="D1786" s="369"/>
      <c r="E1786" s="363"/>
      <c r="F1786" s="374"/>
      <c r="G1786" s="363"/>
      <c r="H1786" s="363"/>
      <c r="I1786" s="363"/>
      <c r="J1786" s="363"/>
      <c r="K1786" s="363"/>
      <c r="L1786" s="363"/>
      <c r="M1786" s="367"/>
    </row>
    <row r="1787" customFormat="false" ht="12.75" hidden="false" customHeight="true" outlineLevel="0" collapsed="false">
      <c r="B1787" s="361"/>
      <c r="C1787" s="369"/>
      <c r="D1787" s="369"/>
      <c r="E1787" s="363"/>
      <c r="F1787" s="374"/>
      <c r="G1787" s="363"/>
      <c r="H1787" s="363"/>
      <c r="I1787" s="363"/>
      <c r="J1787" s="363"/>
      <c r="K1787" s="363"/>
      <c r="L1787" s="363"/>
      <c r="M1787" s="367"/>
    </row>
    <row r="1788" customFormat="false" ht="12.75" hidden="false" customHeight="true" outlineLevel="0" collapsed="false">
      <c r="B1788" s="361"/>
      <c r="C1788" s="369"/>
      <c r="D1788" s="369"/>
      <c r="E1788" s="363"/>
      <c r="F1788" s="374"/>
      <c r="G1788" s="363"/>
      <c r="H1788" s="363"/>
      <c r="I1788" s="363"/>
      <c r="J1788" s="363"/>
      <c r="K1788" s="363"/>
      <c r="L1788" s="363"/>
      <c r="M1788" s="367"/>
    </row>
    <row r="1789" customFormat="false" ht="12.75" hidden="false" customHeight="true" outlineLevel="0" collapsed="false">
      <c r="B1789" s="361"/>
      <c r="C1789" s="369"/>
      <c r="D1789" s="369"/>
      <c r="E1789" s="363"/>
      <c r="F1789" s="374"/>
      <c r="G1789" s="363"/>
      <c r="H1789" s="363"/>
      <c r="I1789" s="363"/>
      <c r="J1789" s="363"/>
      <c r="K1789" s="363"/>
      <c r="L1789" s="363"/>
      <c r="M1789" s="367"/>
    </row>
    <row r="1790" customFormat="false" ht="12.75" hidden="false" customHeight="true" outlineLevel="0" collapsed="false">
      <c r="B1790" s="361"/>
      <c r="C1790" s="369"/>
      <c r="D1790" s="369"/>
      <c r="E1790" s="363"/>
      <c r="F1790" s="374"/>
      <c r="G1790" s="363"/>
      <c r="H1790" s="363"/>
      <c r="I1790" s="363"/>
      <c r="J1790" s="363"/>
      <c r="K1790" s="363"/>
      <c r="L1790" s="363"/>
      <c r="M1790" s="367"/>
    </row>
    <row r="1791" customFormat="false" ht="12.75" hidden="false" customHeight="true" outlineLevel="0" collapsed="false">
      <c r="B1791" s="361"/>
      <c r="C1791" s="369"/>
      <c r="D1791" s="369"/>
      <c r="E1791" s="363"/>
      <c r="F1791" s="374"/>
      <c r="G1791" s="363"/>
      <c r="H1791" s="363"/>
      <c r="I1791" s="363"/>
      <c r="J1791" s="363"/>
      <c r="K1791" s="363"/>
      <c r="L1791" s="363"/>
      <c r="M1791" s="367"/>
    </row>
    <row r="1792" customFormat="false" ht="12.75" hidden="false" customHeight="true" outlineLevel="0" collapsed="false">
      <c r="B1792" s="361"/>
      <c r="C1792" s="369"/>
      <c r="D1792" s="369"/>
      <c r="E1792" s="363"/>
      <c r="F1792" s="374"/>
      <c r="G1792" s="363"/>
      <c r="H1792" s="363"/>
      <c r="I1792" s="363"/>
      <c r="J1792" s="363"/>
      <c r="K1792" s="363"/>
      <c r="L1792" s="363"/>
      <c r="M1792" s="367"/>
    </row>
    <row r="1793" customFormat="false" ht="12.75" hidden="false" customHeight="true" outlineLevel="0" collapsed="false">
      <c r="B1793" s="361"/>
      <c r="C1793" s="369"/>
      <c r="D1793" s="369"/>
      <c r="E1793" s="363"/>
      <c r="F1793" s="374"/>
      <c r="G1793" s="363"/>
      <c r="H1793" s="363"/>
      <c r="I1793" s="363"/>
      <c r="J1793" s="363"/>
      <c r="K1793" s="363"/>
      <c r="L1793" s="363"/>
      <c r="M1793" s="367"/>
    </row>
    <row r="1794" customFormat="false" ht="12.75" hidden="false" customHeight="true" outlineLevel="0" collapsed="false">
      <c r="B1794" s="361"/>
      <c r="C1794" s="369"/>
      <c r="D1794" s="369"/>
      <c r="E1794" s="363"/>
      <c r="F1794" s="374"/>
      <c r="G1794" s="363"/>
      <c r="H1794" s="363"/>
      <c r="I1794" s="363"/>
      <c r="J1794" s="363"/>
      <c r="K1794" s="363"/>
      <c r="L1794" s="363"/>
      <c r="M1794" s="367"/>
    </row>
    <row r="1795" customFormat="false" ht="12.75" hidden="false" customHeight="true" outlineLevel="0" collapsed="false">
      <c r="B1795" s="361"/>
      <c r="C1795" s="369"/>
      <c r="D1795" s="369"/>
      <c r="E1795" s="363"/>
      <c r="F1795" s="374"/>
      <c r="G1795" s="363"/>
      <c r="H1795" s="363"/>
      <c r="I1795" s="363"/>
      <c r="J1795" s="363"/>
      <c r="K1795" s="363"/>
      <c r="L1795" s="363"/>
      <c r="M1795" s="367"/>
    </row>
    <row r="1796" customFormat="false" ht="12.75" hidden="false" customHeight="true" outlineLevel="0" collapsed="false">
      <c r="B1796" s="361"/>
      <c r="C1796" s="369"/>
      <c r="D1796" s="369"/>
      <c r="E1796" s="363"/>
      <c r="F1796" s="374"/>
      <c r="G1796" s="363"/>
      <c r="H1796" s="363"/>
      <c r="I1796" s="363"/>
      <c r="J1796" s="363"/>
      <c r="K1796" s="363"/>
      <c r="L1796" s="363"/>
      <c r="M1796" s="367"/>
    </row>
    <row r="1797" customFormat="false" ht="12.75" hidden="false" customHeight="true" outlineLevel="0" collapsed="false">
      <c r="B1797" s="361"/>
      <c r="C1797" s="369"/>
      <c r="D1797" s="369"/>
      <c r="E1797" s="363"/>
      <c r="F1797" s="374"/>
      <c r="G1797" s="363"/>
      <c r="H1797" s="363"/>
      <c r="I1797" s="363"/>
      <c r="J1797" s="363"/>
      <c r="K1797" s="363"/>
      <c r="L1797" s="363"/>
      <c r="M1797" s="367"/>
    </row>
    <row r="1798" customFormat="false" ht="12.75" hidden="false" customHeight="true" outlineLevel="0" collapsed="false">
      <c r="B1798" s="361"/>
      <c r="C1798" s="369"/>
      <c r="D1798" s="369"/>
      <c r="E1798" s="363"/>
      <c r="F1798" s="374"/>
      <c r="G1798" s="363"/>
      <c r="H1798" s="363"/>
      <c r="I1798" s="363"/>
      <c r="J1798" s="363"/>
      <c r="K1798" s="363"/>
      <c r="L1798" s="363"/>
      <c r="M1798" s="367"/>
    </row>
    <row r="1799" customFormat="false" ht="12.75" hidden="false" customHeight="true" outlineLevel="0" collapsed="false">
      <c r="B1799" s="361"/>
      <c r="C1799" s="369"/>
      <c r="D1799" s="369"/>
      <c r="E1799" s="363"/>
      <c r="F1799" s="374"/>
      <c r="G1799" s="363"/>
      <c r="H1799" s="363"/>
      <c r="I1799" s="363"/>
      <c r="J1799" s="363"/>
      <c r="K1799" s="363"/>
      <c r="L1799" s="363"/>
      <c r="M1799" s="367"/>
    </row>
    <row r="1800" customFormat="false" ht="12.75" hidden="false" customHeight="true" outlineLevel="0" collapsed="false">
      <c r="B1800" s="361"/>
      <c r="C1800" s="369"/>
      <c r="D1800" s="369"/>
      <c r="E1800" s="363"/>
      <c r="F1800" s="374"/>
      <c r="G1800" s="363"/>
      <c r="H1800" s="363"/>
      <c r="I1800" s="363"/>
      <c r="J1800" s="363"/>
      <c r="K1800" s="363"/>
      <c r="L1800" s="363"/>
      <c r="M1800" s="367"/>
    </row>
    <row r="1801" customFormat="false" ht="12.75" hidden="false" customHeight="true" outlineLevel="0" collapsed="false">
      <c r="B1801" s="368"/>
      <c r="C1801" s="369"/>
      <c r="D1801" s="369"/>
      <c r="E1801" s="370"/>
      <c r="F1801" s="375"/>
      <c r="G1801" s="370"/>
      <c r="H1801" s="370"/>
      <c r="I1801" s="370"/>
      <c r="J1801" s="370"/>
      <c r="K1801" s="370"/>
      <c r="L1801" s="370"/>
      <c r="M1801" s="384"/>
    </row>
    <row r="1802" customFormat="false" ht="12.75" hidden="false" customHeight="true" outlineLevel="0" collapsed="false">
      <c r="B1802" s="361"/>
      <c r="C1802" s="369"/>
      <c r="D1802" s="369"/>
      <c r="E1802" s="363"/>
      <c r="F1802" s="374"/>
      <c r="G1802" s="363"/>
      <c r="H1802" s="370"/>
      <c r="I1802" s="363"/>
      <c r="J1802" s="363"/>
      <c r="K1802" s="363"/>
      <c r="L1802" s="363"/>
      <c r="M1802" s="367"/>
    </row>
    <row r="1803" customFormat="false" ht="12.75" hidden="false" customHeight="true" outlineLevel="0" collapsed="false">
      <c r="B1803" s="361"/>
      <c r="C1803" s="369"/>
      <c r="D1803" s="369"/>
      <c r="E1803" s="363"/>
      <c r="F1803" s="374"/>
      <c r="G1803" s="363"/>
      <c r="H1803" s="363"/>
      <c r="I1803" s="363"/>
      <c r="J1803" s="363"/>
      <c r="K1803" s="363"/>
      <c r="L1803" s="363"/>
      <c r="M1803" s="367"/>
    </row>
    <row r="1804" customFormat="false" ht="12.75" hidden="false" customHeight="true" outlineLevel="0" collapsed="false">
      <c r="B1804" s="361"/>
      <c r="C1804" s="369"/>
      <c r="D1804" s="369"/>
      <c r="E1804" s="363"/>
      <c r="F1804" s="374"/>
      <c r="G1804" s="363"/>
      <c r="H1804" s="363"/>
      <c r="I1804" s="363"/>
      <c r="J1804" s="363"/>
      <c r="K1804" s="363"/>
      <c r="L1804" s="363"/>
      <c r="M1804" s="367"/>
    </row>
    <row r="1805" customFormat="false" ht="12.75" hidden="false" customHeight="true" outlineLevel="0" collapsed="false">
      <c r="B1805" s="361"/>
      <c r="C1805" s="369"/>
      <c r="D1805" s="369"/>
      <c r="E1805" s="363"/>
      <c r="F1805" s="374"/>
      <c r="G1805" s="363"/>
      <c r="H1805" s="363"/>
      <c r="I1805" s="363"/>
      <c r="J1805" s="363"/>
      <c r="K1805" s="363"/>
      <c r="L1805" s="363"/>
      <c r="M1805" s="367"/>
    </row>
    <row r="1806" customFormat="false" ht="12.75" hidden="false" customHeight="true" outlineLevel="0" collapsed="false">
      <c r="B1806" s="361"/>
      <c r="C1806" s="369"/>
      <c r="D1806" s="369"/>
      <c r="E1806" s="363"/>
      <c r="F1806" s="374"/>
      <c r="G1806" s="363"/>
      <c r="H1806" s="363"/>
      <c r="I1806" s="363"/>
      <c r="J1806" s="363"/>
      <c r="K1806" s="363"/>
      <c r="L1806" s="363"/>
      <c r="M1806" s="367"/>
    </row>
    <row r="1807" customFormat="false" ht="12.75" hidden="false" customHeight="true" outlineLevel="0" collapsed="false">
      <c r="B1807" s="361"/>
      <c r="C1807" s="369"/>
      <c r="D1807" s="369"/>
      <c r="E1807" s="363"/>
      <c r="F1807" s="374"/>
      <c r="G1807" s="363"/>
      <c r="H1807" s="363"/>
      <c r="I1807" s="363"/>
      <c r="J1807" s="363"/>
      <c r="K1807" s="363"/>
      <c r="L1807" s="363"/>
      <c r="M1807" s="367"/>
    </row>
    <row r="1808" customFormat="false" ht="12.75" hidden="false" customHeight="true" outlineLevel="0" collapsed="false">
      <c r="B1808" s="361"/>
      <c r="C1808" s="369"/>
      <c r="D1808" s="369"/>
      <c r="E1808" s="363"/>
      <c r="F1808" s="374"/>
      <c r="G1808" s="363"/>
      <c r="H1808" s="363"/>
      <c r="I1808" s="363"/>
      <c r="J1808" s="363"/>
      <c r="K1808" s="363"/>
      <c r="L1808" s="363"/>
      <c r="M1808" s="367"/>
    </row>
    <row r="1809" customFormat="false" ht="12.75" hidden="false" customHeight="true" outlineLevel="0" collapsed="false">
      <c r="B1809" s="361"/>
      <c r="C1809" s="369"/>
      <c r="D1809" s="369"/>
      <c r="E1809" s="363"/>
      <c r="F1809" s="374"/>
      <c r="G1809" s="363"/>
      <c r="H1809" s="363"/>
      <c r="I1809" s="363"/>
      <c r="J1809" s="363"/>
      <c r="K1809" s="363"/>
      <c r="L1809" s="363"/>
      <c r="M1809" s="367"/>
    </row>
    <row r="1810" customFormat="false" ht="12.75" hidden="false" customHeight="true" outlineLevel="0" collapsed="false">
      <c r="B1810" s="361"/>
      <c r="C1810" s="369"/>
      <c r="D1810" s="369"/>
      <c r="E1810" s="363"/>
      <c r="F1810" s="374"/>
      <c r="G1810" s="363"/>
      <c r="H1810" s="363"/>
      <c r="I1810" s="363"/>
      <c r="J1810" s="363"/>
      <c r="K1810" s="363"/>
      <c r="L1810" s="363"/>
      <c r="M1810" s="367"/>
    </row>
    <row r="1811" customFormat="false" ht="12.75" hidden="false" customHeight="true" outlineLevel="0" collapsed="false">
      <c r="B1811" s="361"/>
      <c r="C1811" s="369"/>
      <c r="D1811" s="369"/>
      <c r="E1811" s="363"/>
      <c r="F1811" s="374"/>
      <c r="G1811" s="363"/>
      <c r="H1811" s="363"/>
      <c r="I1811" s="363"/>
      <c r="J1811" s="363"/>
      <c r="K1811" s="363"/>
      <c r="L1811" s="363"/>
      <c r="M1811" s="367"/>
    </row>
    <row r="1812" customFormat="false" ht="12.75" hidden="false" customHeight="true" outlineLevel="0" collapsed="false">
      <c r="B1812" s="361"/>
      <c r="C1812" s="369"/>
      <c r="D1812" s="369"/>
      <c r="E1812" s="363"/>
      <c r="F1812" s="374"/>
      <c r="G1812" s="363"/>
      <c r="H1812" s="363"/>
      <c r="I1812" s="363"/>
      <c r="J1812" s="363"/>
      <c r="K1812" s="363"/>
      <c r="L1812" s="363"/>
      <c r="M1812" s="367"/>
    </row>
    <row r="1813" customFormat="false" ht="12.75" hidden="false" customHeight="true" outlineLevel="0" collapsed="false">
      <c r="B1813" s="361"/>
      <c r="C1813" s="369"/>
      <c r="D1813" s="369"/>
      <c r="E1813" s="363"/>
      <c r="F1813" s="374"/>
      <c r="G1813" s="363"/>
      <c r="H1813" s="363"/>
      <c r="I1813" s="363"/>
      <c r="J1813" s="363"/>
      <c r="K1813" s="363"/>
      <c r="L1813" s="363"/>
      <c r="M1813" s="367"/>
    </row>
    <row r="1814" customFormat="false" ht="12.75" hidden="false" customHeight="true" outlineLevel="0" collapsed="false">
      <c r="B1814" s="361"/>
      <c r="C1814" s="369"/>
      <c r="D1814" s="369"/>
      <c r="E1814" s="363"/>
      <c r="F1814" s="374"/>
      <c r="G1814" s="363"/>
      <c r="H1814" s="363"/>
      <c r="I1814" s="363"/>
      <c r="J1814" s="363"/>
      <c r="K1814" s="363"/>
      <c r="L1814" s="363"/>
      <c r="M1814" s="367"/>
    </row>
    <row r="1815" customFormat="false" ht="12.75" hidden="false" customHeight="true" outlineLevel="0" collapsed="false">
      <c r="B1815" s="361"/>
      <c r="C1815" s="369"/>
      <c r="D1815" s="369"/>
      <c r="E1815" s="363"/>
      <c r="F1815" s="374"/>
      <c r="G1815" s="363"/>
      <c r="H1815" s="363"/>
      <c r="I1815" s="363"/>
      <c r="J1815" s="363"/>
      <c r="K1815" s="363"/>
      <c r="L1815" s="363"/>
      <c r="M1815" s="367"/>
    </row>
    <row r="1816" customFormat="false" ht="12.75" hidden="false" customHeight="true" outlineLevel="0" collapsed="false">
      <c r="B1816" s="361"/>
      <c r="C1816" s="369"/>
      <c r="D1816" s="369"/>
      <c r="E1816" s="363"/>
      <c r="F1816" s="374"/>
      <c r="G1816" s="363"/>
      <c r="H1816" s="363"/>
      <c r="I1816" s="363"/>
      <c r="J1816" s="363"/>
      <c r="K1816" s="363"/>
      <c r="L1816" s="363"/>
      <c r="M1816" s="367"/>
    </row>
    <row r="1817" customFormat="false" ht="12.75" hidden="false" customHeight="true" outlineLevel="0" collapsed="false">
      <c r="B1817" s="361"/>
      <c r="C1817" s="369"/>
      <c r="D1817" s="369"/>
      <c r="E1817" s="363"/>
      <c r="F1817" s="374"/>
      <c r="G1817" s="363"/>
      <c r="H1817" s="363"/>
      <c r="I1817" s="363"/>
      <c r="J1817" s="363"/>
      <c r="K1817" s="363"/>
      <c r="L1817" s="363"/>
      <c r="M1817" s="367"/>
    </row>
    <row r="1818" customFormat="false" ht="12.75" hidden="false" customHeight="true" outlineLevel="0" collapsed="false">
      <c r="B1818" s="361"/>
      <c r="C1818" s="369"/>
      <c r="D1818" s="369"/>
      <c r="E1818" s="363"/>
      <c r="F1818" s="374"/>
      <c r="G1818" s="363"/>
      <c r="H1818" s="363"/>
      <c r="I1818" s="363"/>
      <c r="J1818" s="363"/>
      <c r="K1818" s="363"/>
      <c r="L1818" s="363"/>
      <c r="M1818" s="367"/>
    </row>
    <row r="1819" customFormat="false" ht="12.75" hidden="false" customHeight="true" outlineLevel="0" collapsed="false">
      <c r="B1819" s="361"/>
      <c r="C1819" s="369"/>
      <c r="D1819" s="369"/>
      <c r="E1819" s="363"/>
      <c r="F1819" s="374"/>
      <c r="G1819" s="363"/>
      <c r="H1819" s="363"/>
      <c r="I1819" s="363"/>
      <c r="J1819" s="363"/>
      <c r="K1819" s="363"/>
      <c r="L1819" s="363"/>
      <c r="M1819" s="367"/>
    </row>
    <row r="1820" customFormat="false" ht="12.75" hidden="false" customHeight="true" outlineLevel="0" collapsed="false">
      <c r="B1820" s="368"/>
      <c r="C1820" s="369"/>
      <c r="D1820" s="369"/>
      <c r="E1820" s="370"/>
      <c r="F1820" s="375"/>
      <c r="G1820" s="370"/>
      <c r="H1820" s="370"/>
      <c r="I1820" s="370"/>
      <c r="J1820" s="370"/>
      <c r="K1820" s="370"/>
      <c r="L1820" s="370"/>
      <c r="M1820" s="384"/>
    </row>
    <row r="1821" customFormat="false" ht="12.75" hidden="false" customHeight="true" outlineLevel="0" collapsed="false">
      <c r="B1821" s="361"/>
      <c r="C1821" s="369"/>
      <c r="D1821" s="369"/>
      <c r="E1821" s="363"/>
      <c r="F1821" s="374"/>
      <c r="G1821" s="363"/>
      <c r="H1821" s="363"/>
      <c r="I1821" s="363"/>
      <c r="J1821" s="363"/>
      <c r="K1821" s="363"/>
      <c r="L1821" s="363"/>
      <c r="M1821" s="367"/>
    </row>
    <row r="1822" customFormat="false" ht="12.75" hidden="false" customHeight="true" outlineLevel="0" collapsed="false">
      <c r="B1822" s="361"/>
      <c r="C1822" s="369"/>
      <c r="D1822" s="369"/>
      <c r="E1822" s="363"/>
      <c r="F1822" s="374"/>
      <c r="G1822" s="363"/>
      <c r="H1822" s="363"/>
      <c r="I1822" s="363"/>
      <c r="J1822" s="363"/>
      <c r="K1822" s="363"/>
      <c r="L1822" s="363"/>
      <c r="M1822" s="367"/>
    </row>
    <row r="1823" customFormat="false" ht="12.75" hidden="false" customHeight="true" outlineLevel="0" collapsed="false">
      <c r="B1823" s="361"/>
      <c r="C1823" s="369"/>
      <c r="D1823" s="369"/>
      <c r="E1823" s="363"/>
      <c r="F1823" s="374"/>
      <c r="G1823" s="363"/>
      <c r="H1823" s="363"/>
      <c r="I1823" s="363"/>
      <c r="J1823" s="363"/>
      <c r="K1823" s="363"/>
      <c r="L1823" s="363"/>
      <c r="M1823" s="367"/>
    </row>
    <row r="1824" customFormat="false" ht="12.75" hidden="false" customHeight="true" outlineLevel="0" collapsed="false">
      <c r="B1824" s="361"/>
      <c r="C1824" s="369"/>
      <c r="D1824" s="369"/>
      <c r="E1824" s="363"/>
      <c r="F1824" s="374"/>
      <c r="G1824" s="363"/>
      <c r="H1824" s="363"/>
      <c r="I1824" s="363"/>
      <c r="J1824" s="363"/>
      <c r="K1824" s="363"/>
      <c r="L1824" s="363"/>
      <c r="M1824" s="367"/>
    </row>
    <row r="1825" customFormat="false" ht="12.75" hidden="false" customHeight="true" outlineLevel="0" collapsed="false">
      <c r="B1825" s="361"/>
      <c r="C1825" s="369"/>
      <c r="D1825" s="369"/>
      <c r="E1825" s="363"/>
      <c r="F1825" s="374"/>
      <c r="G1825" s="363"/>
      <c r="H1825" s="363"/>
      <c r="I1825" s="363"/>
      <c r="J1825" s="363"/>
      <c r="K1825" s="363"/>
      <c r="L1825" s="363"/>
      <c r="M1825" s="367"/>
    </row>
    <row r="1826" customFormat="false" ht="12.75" hidden="false" customHeight="true" outlineLevel="0" collapsed="false">
      <c r="B1826" s="361"/>
      <c r="C1826" s="369"/>
      <c r="D1826" s="369"/>
      <c r="E1826" s="363"/>
      <c r="F1826" s="374"/>
      <c r="G1826" s="363"/>
      <c r="H1826" s="363"/>
      <c r="I1826" s="363"/>
      <c r="J1826" s="363"/>
      <c r="K1826" s="363"/>
      <c r="L1826" s="363"/>
      <c r="M1826" s="367"/>
    </row>
    <row r="1827" customFormat="false" ht="12.75" hidden="false" customHeight="true" outlineLevel="0" collapsed="false">
      <c r="B1827" s="361"/>
      <c r="C1827" s="369"/>
      <c r="D1827" s="369"/>
      <c r="E1827" s="363"/>
      <c r="F1827" s="374"/>
      <c r="G1827" s="363"/>
      <c r="H1827" s="363"/>
      <c r="I1827" s="363"/>
      <c r="J1827" s="363"/>
      <c r="K1827" s="363"/>
      <c r="L1827" s="363"/>
      <c r="M1827" s="367"/>
    </row>
    <row r="1828" customFormat="false" ht="12.75" hidden="false" customHeight="true" outlineLevel="0" collapsed="false">
      <c r="B1828" s="361"/>
      <c r="C1828" s="369"/>
      <c r="D1828" s="369"/>
      <c r="E1828" s="363"/>
      <c r="F1828" s="374"/>
      <c r="G1828" s="363"/>
      <c r="H1828" s="363"/>
      <c r="I1828" s="363"/>
      <c r="J1828" s="363"/>
      <c r="K1828" s="363"/>
      <c r="L1828" s="363"/>
      <c r="M1828" s="367"/>
    </row>
    <row r="1829" customFormat="false" ht="12.75" hidden="false" customHeight="true" outlineLevel="0" collapsed="false">
      <c r="B1829" s="361"/>
      <c r="C1829" s="369"/>
      <c r="D1829" s="369"/>
      <c r="E1829" s="363"/>
      <c r="F1829" s="374"/>
      <c r="G1829" s="363"/>
      <c r="H1829" s="363"/>
      <c r="I1829" s="363"/>
      <c r="J1829" s="363"/>
      <c r="K1829" s="363"/>
      <c r="L1829" s="363"/>
      <c r="M1829" s="367"/>
    </row>
    <row r="1830" customFormat="false" ht="12.75" hidden="false" customHeight="true" outlineLevel="0" collapsed="false">
      <c r="B1830" s="361"/>
      <c r="C1830" s="369"/>
      <c r="D1830" s="369"/>
      <c r="E1830" s="363"/>
      <c r="F1830" s="374"/>
      <c r="G1830" s="363"/>
      <c r="H1830" s="363"/>
      <c r="I1830" s="363"/>
      <c r="J1830" s="363"/>
      <c r="K1830" s="363"/>
      <c r="L1830" s="363"/>
      <c r="M1830" s="367"/>
    </row>
    <row r="1831" customFormat="false" ht="12.75" hidden="false" customHeight="true" outlineLevel="0" collapsed="false">
      <c r="B1831" s="361"/>
      <c r="C1831" s="369"/>
      <c r="D1831" s="369"/>
      <c r="E1831" s="363"/>
      <c r="F1831" s="374"/>
      <c r="G1831" s="363"/>
      <c r="H1831" s="363"/>
      <c r="I1831" s="363"/>
      <c r="J1831" s="363"/>
      <c r="K1831" s="363"/>
      <c r="L1831" s="363"/>
      <c r="M1831" s="367"/>
    </row>
    <row r="1832" customFormat="false" ht="12.75" hidden="false" customHeight="true" outlineLevel="0" collapsed="false">
      <c r="B1832" s="361"/>
      <c r="C1832" s="369"/>
      <c r="D1832" s="369"/>
      <c r="E1832" s="363"/>
      <c r="F1832" s="374"/>
      <c r="G1832" s="363"/>
      <c r="H1832" s="363"/>
      <c r="I1832" s="363"/>
      <c r="J1832" s="363"/>
      <c r="K1832" s="363"/>
      <c r="L1832" s="363"/>
      <c r="M1832" s="367"/>
    </row>
    <row r="1833" customFormat="false" ht="12.75" hidden="false" customHeight="true" outlineLevel="0" collapsed="false">
      <c r="B1833" s="361"/>
      <c r="C1833" s="369"/>
      <c r="D1833" s="369"/>
      <c r="E1833" s="363"/>
      <c r="F1833" s="374"/>
      <c r="G1833" s="363"/>
      <c r="H1833" s="363"/>
      <c r="I1833" s="363"/>
      <c r="J1833" s="363"/>
      <c r="K1833" s="363"/>
      <c r="L1833" s="363"/>
      <c r="M1833" s="367"/>
    </row>
    <row r="1834" customFormat="false" ht="12.75" hidden="false" customHeight="true" outlineLevel="0" collapsed="false">
      <c r="B1834" s="361"/>
      <c r="C1834" s="369"/>
      <c r="D1834" s="369"/>
      <c r="E1834" s="363"/>
      <c r="F1834" s="374"/>
      <c r="G1834" s="363"/>
      <c r="H1834" s="363"/>
      <c r="I1834" s="363"/>
      <c r="J1834" s="363"/>
      <c r="K1834" s="363"/>
      <c r="L1834" s="363"/>
      <c r="M1834" s="367"/>
    </row>
    <row r="1835" customFormat="false" ht="12.75" hidden="false" customHeight="true" outlineLevel="0" collapsed="false">
      <c r="B1835" s="361"/>
      <c r="C1835" s="369"/>
      <c r="D1835" s="369"/>
      <c r="E1835" s="363"/>
      <c r="F1835" s="374"/>
      <c r="G1835" s="363"/>
      <c r="H1835" s="363"/>
      <c r="I1835" s="363"/>
      <c r="J1835" s="363"/>
      <c r="K1835" s="363"/>
      <c r="L1835" s="363"/>
      <c r="M1835" s="367"/>
    </row>
    <row r="1836" customFormat="false" ht="12.75" hidden="false" customHeight="true" outlineLevel="0" collapsed="false">
      <c r="B1836" s="361"/>
      <c r="C1836" s="369"/>
      <c r="D1836" s="369"/>
      <c r="E1836" s="363"/>
      <c r="F1836" s="374"/>
      <c r="G1836" s="363"/>
      <c r="H1836" s="363"/>
      <c r="I1836" s="363"/>
      <c r="J1836" s="363"/>
      <c r="K1836" s="363"/>
      <c r="L1836" s="363"/>
      <c r="M1836" s="367"/>
    </row>
    <row r="1837" customFormat="false" ht="12.75" hidden="false" customHeight="true" outlineLevel="0" collapsed="false">
      <c r="B1837" s="361"/>
      <c r="C1837" s="369"/>
      <c r="D1837" s="369"/>
      <c r="E1837" s="363"/>
      <c r="F1837" s="374"/>
      <c r="G1837" s="363"/>
      <c r="H1837" s="363"/>
      <c r="I1837" s="363"/>
      <c r="J1837" s="363"/>
      <c r="K1837" s="363"/>
      <c r="L1837" s="363"/>
      <c r="M1837" s="367"/>
    </row>
    <row r="1838" customFormat="false" ht="12.75" hidden="false" customHeight="true" outlineLevel="0" collapsed="false">
      <c r="B1838" s="361"/>
      <c r="C1838" s="369"/>
      <c r="D1838" s="369"/>
      <c r="E1838" s="363"/>
      <c r="F1838" s="374"/>
      <c r="G1838" s="363"/>
      <c r="H1838" s="363"/>
      <c r="I1838" s="363"/>
      <c r="J1838" s="363"/>
      <c r="K1838" s="363"/>
      <c r="L1838" s="363"/>
      <c r="M1838" s="367"/>
    </row>
    <row r="1839" customFormat="false" ht="12.75" hidden="false" customHeight="true" outlineLevel="0" collapsed="false">
      <c r="B1839" s="361"/>
      <c r="C1839" s="369"/>
      <c r="D1839" s="369"/>
      <c r="E1839" s="363"/>
      <c r="F1839" s="374"/>
      <c r="G1839" s="363"/>
      <c r="H1839" s="363"/>
      <c r="I1839" s="363"/>
      <c r="J1839" s="363"/>
      <c r="K1839" s="363"/>
      <c r="L1839" s="363"/>
      <c r="M1839" s="367"/>
    </row>
    <row r="1840" customFormat="false" ht="12.75" hidden="false" customHeight="true" outlineLevel="0" collapsed="false">
      <c r="B1840" s="361"/>
      <c r="C1840" s="369"/>
      <c r="D1840" s="369"/>
      <c r="E1840" s="363"/>
      <c r="F1840" s="374"/>
      <c r="G1840" s="363"/>
      <c r="H1840" s="363"/>
      <c r="I1840" s="363"/>
      <c r="J1840" s="363"/>
      <c r="K1840" s="363"/>
      <c r="L1840" s="363"/>
      <c r="M1840" s="367"/>
    </row>
    <row r="1841" customFormat="false" ht="12.75" hidden="false" customHeight="true" outlineLevel="0" collapsed="false">
      <c r="B1841" s="361"/>
      <c r="C1841" s="369"/>
      <c r="D1841" s="369"/>
      <c r="E1841" s="363"/>
      <c r="F1841" s="374"/>
      <c r="G1841" s="363"/>
      <c r="H1841" s="363"/>
      <c r="I1841" s="363"/>
      <c r="J1841" s="363"/>
      <c r="K1841" s="363"/>
      <c r="L1841" s="363"/>
      <c r="M1841" s="367"/>
    </row>
    <row r="1842" customFormat="false" ht="12.75" hidden="false" customHeight="true" outlineLevel="0" collapsed="false">
      <c r="B1842" s="361"/>
      <c r="C1842" s="369"/>
      <c r="D1842" s="369"/>
      <c r="E1842" s="363"/>
      <c r="F1842" s="374"/>
      <c r="G1842" s="363"/>
      <c r="H1842" s="363"/>
      <c r="I1842" s="363"/>
      <c r="J1842" s="363"/>
      <c r="K1842" s="363"/>
      <c r="L1842" s="363"/>
      <c r="M1842" s="367"/>
    </row>
    <row r="1843" customFormat="false" ht="12.75" hidden="false" customHeight="true" outlineLevel="0" collapsed="false">
      <c r="B1843" s="361"/>
      <c r="C1843" s="369"/>
      <c r="D1843" s="369"/>
      <c r="E1843" s="363"/>
      <c r="F1843" s="374"/>
      <c r="G1843" s="363"/>
      <c r="H1843" s="363"/>
      <c r="I1843" s="363"/>
      <c r="J1843" s="363"/>
      <c r="K1843" s="363"/>
      <c r="L1843" s="363"/>
      <c r="M1843" s="367"/>
    </row>
    <row r="1844" customFormat="false" ht="12.75" hidden="false" customHeight="true" outlineLevel="0" collapsed="false">
      <c r="B1844" s="361"/>
      <c r="C1844" s="369"/>
      <c r="D1844" s="369"/>
      <c r="E1844" s="370"/>
      <c r="F1844" s="375"/>
      <c r="G1844" s="370"/>
      <c r="H1844" s="363"/>
      <c r="I1844" s="370"/>
      <c r="J1844" s="370"/>
      <c r="K1844" s="370"/>
      <c r="L1844" s="370"/>
      <c r="M1844" s="367"/>
    </row>
    <row r="1845" customFormat="false" ht="12.75" hidden="false" customHeight="true" outlineLevel="0" collapsed="false">
      <c r="B1845" s="361"/>
      <c r="C1845" s="369"/>
      <c r="D1845" s="369"/>
      <c r="E1845" s="363"/>
      <c r="F1845" s="374"/>
      <c r="G1845" s="363"/>
      <c r="H1845" s="363"/>
      <c r="I1845" s="363"/>
      <c r="J1845" s="363"/>
      <c r="K1845" s="363"/>
      <c r="L1845" s="363"/>
      <c r="M1845" s="367"/>
    </row>
    <row r="1846" customFormat="false" ht="12.75" hidden="false" customHeight="true" outlineLevel="0" collapsed="false">
      <c r="B1846" s="361"/>
      <c r="C1846" s="369"/>
      <c r="D1846" s="369"/>
      <c r="E1846" s="363"/>
      <c r="F1846" s="374"/>
      <c r="G1846" s="363"/>
      <c r="H1846" s="363"/>
      <c r="I1846" s="363"/>
      <c r="J1846" s="363"/>
      <c r="K1846" s="363"/>
      <c r="L1846" s="363"/>
      <c r="M1846" s="367"/>
    </row>
    <row r="1847" customFormat="false" ht="12.75" hidden="false" customHeight="true" outlineLevel="0" collapsed="false">
      <c r="B1847" s="361"/>
      <c r="C1847" s="369"/>
      <c r="D1847" s="369"/>
      <c r="E1847" s="363"/>
      <c r="F1847" s="374"/>
      <c r="G1847" s="363"/>
      <c r="H1847" s="363"/>
      <c r="I1847" s="363"/>
      <c r="J1847" s="363"/>
      <c r="K1847" s="363"/>
      <c r="L1847" s="363"/>
      <c r="M1847" s="367"/>
    </row>
    <row r="1848" customFormat="false" ht="12.75" hidden="false" customHeight="true" outlineLevel="0" collapsed="false">
      <c r="B1848" s="368"/>
      <c r="C1848" s="369"/>
      <c r="D1848" s="369"/>
      <c r="E1848" s="363"/>
      <c r="F1848" s="374"/>
      <c r="G1848" s="363"/>
      <c r="H1848" s="363"/>
      <c r="I1848" s="363"/>
      <c r="J1848" s="363"/>
      <c r="K1848" s="363"/>
      <c r="L1848" s="363"/>
      <c r="M1848" s="384"/>
    </row>
    <row r="1849" customFormat="false" ht="12.75" hidden="false" customHeight="true" outlineLevel="0" collapsed="false">
      <c r="B1849" s="361"/>
      <c r="C1849" s="369"/>
      <c r="D1849" s="369"/>
      <c r="E1849" s="363"/>
      <c r="F1849" s="374"/>
      <c r="G1849" s="363"/>
      <c r="H1849" s="363"/>
      <c r="I1849" s="363"/>
      <c r="J1849" s="363"/>
      <c r="K1849" s="363"/>
      <c r="L1849" s="363"/>
      <c r="M1849" s="367"/>
    </row>
    <row r="1850" customFormat="false" ht="12.75" hidden="false" customHeight="true" outlineLevel="0" collapsed="false">
      <c r="B1850" s="361"/>
      <c r="C1850" s="369"/>
      <c r="D1850" s="369"/>
      <c r="E1850" s="363"/>
      <c r="F1850" s="374"/>
      <c r="G1850" s="363"/>
      <c r="H1850" s="363"/>
      <c r="I1850" s="363"/>
      <c r="J1850" s="363"/>
      <c r="K1850" s="363"/>
      <c r="L1850" s="363"/>
      <c r="M1850" s="367"/>
    </row>
    <row r="1851" customFormat="false" ht="12.75" hidden="false" customHeight="true" outlineLevel="0" collapsed="false">
      <c r="B1851" s="361"/>
      <c r="C1851" s="369"/>
      <c r="D1851" s="369"/>
      <c r="E1851" s="363"/>
      <c r="F1851" s="374"/>
      <c r="G1851" s="363"/>
      <c r="H1851" s="363"/>
      <c r="I1851" s="363"/>
      <c r="J1851" s="363"/>
      <c r="K1851" s="363"/>
      <c r="L1851" s="363"/>
      <c r="M1851" s="367"/>
    </row>
    <row r="1852" customFormat="false" ht="12.75" hidden="false" customHeight="true" outlineLevel="0" collapsed="false">
      <c r="B1852" s="361"/>
      <c r="C1852" s="369"/>
      <c r="D1852" s="369"/>
      <c r="E1852" s="363"/>
      <c r="F1852" s="374"/>
      <c r="G1852" s="363"/>
      <c r="H1852" s="363"/>
      <c r="I1852" s="363"/>
      <c r="J1852" s="363"/>
      <c r="K1852" s="363"/>
      <c r="L1852" s="363"/>
      <c r="M1852" s="367"/>
    </row>
    <row r="1853" customFormat="false" ht="12.75" hidden="false" customHeight="true" outlineLevel="0" collapsed="false">
      <c r="B1853" s="361"/>
      <c r="C1853" s="369"/>
      <c r="D1853" s="369"/>
      <c r="E1853" s="363"/>
      <c r="F1853" s="374"/>
      <c r="G1853" s="363"/>
      <c r="H1853" s="363"/>
      <c r="I1853" s="363"/>
      <c r="J1853" s="363"/>
      <c r="K1853" s="363"/>
      <c r="L1853" s="363"/>
      <c r="M1853" s="367"/>
    </row>
    <row r="1854" customFormat="false" ht="12.75" hidden="false" customHeight="true" outlineLevel="0" collapsed="false">
      <c r="B1854" s="361"/>
      <c r="C1854" s="369"/>
      <c r="D1854" s="369"/>
      <c r="E1854" s="363"/>
      <c r="F1854" s="374"/>
      <c r="G1854" s="363"/>
      <c r="H1854" s="363"/>
      <c r="I1854" s="363"/>
      <c r="J1854" s="363"/>
      <c r="K1854" s="363"/>
      <c r="L1854" s="363"/>
      <c r="M1854" s="367"/>
    </row>
    <row r="1855" customFormat="false" ht="12.75" hidden="false" customHeight="true" outlineLevel="0" collapsed="false">
      <c r="B1855" s="361"/>
      <c r="C1855" s="369"/>
      <c r="D1855" s="369"/>
      <c r="E1855" s="363"/>
      <c r="F1855" s="374"/>
      <c r="G1855" s="363"/>
      <c r="H1855" s="363"/>
      <c r="I1855" s="363"/>
      <c r="J1855" s="363"/>
      <c r="K1855" s="363"/>
      <c r="L1855" s="363"/>
      <c r="M1855" s="367"/>
    </row>
    <row r="1856" customFormat="false" ht="12.75" hidden="false" customHeight="true" outlineLevel="0" collapsed="false">
      <c r="B1856" s="361"/>
      <c r="C1856" s="369"/>
      <c r="D1856" s="369"/>
      <c r="E1856" s="363"/>
      <c r="F1856" s="374"/>
      <c r="G1856" s="363"/>
      <c r="H1856" s="363"/>
      <c r="I1856" s="363"/>
      <c r="J1856" s="363"/>
      <c r="K1856" s="363"/>
      <c r="L1856" s="363"/>
      <c r="M1856" s="367"/>
    </row>
    <row r="1857" customFormat="false" ht="12.75" hidden="false" customHeight="true" outlineLevel="0" collapsed="false">
      <c r="B1857" s="361"/>
      <c r="C1857" s="369"/>
      <c r="D1857" s="369"/>
      <c r="E1857" s="363"/>
      <c r="F1857" s="374"/>
      <c r="G1857" s="363"/>
      <c r="H1857" s="363"/>
      <c r="I1857" s="363"/>
      <c r="J1857" s="363"/>
      <c r="K1857" s="363"/>
      <c r="L1857" s="363"/>
      <c r="M1857" s="367"/>
    </row>
    <row r="1858" customFormat="false" ht="12.75" hidden="false" customHeight="true" outlineLevel="0" collapsed="false">
      <c r="B1858" s="361"/>
      <c r="C1858" s="369"/>
      <c r="D1858" s="369"/>
      <c r="E1858" s="363"/>
      <c r="F1858" s="374"/>
      <c r="G1858" s="363"/>
      <c r="H1858" s="363"/>
      <c r="I1858" s="363"/>
      <c r="J1858" s="363"/>
      <c r="K1858" s="363"/>
      <c r="L1858" s="363"/>
      <c r="M1858" s="367"/>
    </row>
    <row r="1859" customFormat="false" ht="12.75" hidden="false" customHeight="true" outlineLevel="0" collapsed="false">
      <c r="B1859" s="361"/>
      <c r="C1859" s="362"/>
      <c r="D1859" s="362"/>
      <c r="E1859" s="363"/>
      <c r="F1859" s="372"/>
      <c r="G1859" s="363"/>
      <c r="H1859" s="363"/>
      <c r="I1859" s="363"/>
      <c r="J1859" s="363"/>
      <c r="K1859" s="363"/>
      <c r="L1859" s="363"/>
      <c r="M1859" s="367"/>
    </row>
    <row r="1860" customFormat="false" ht="12.75" hidden="false" customHeight="true" outlineLevel="0" collapsed="false">
      <c r="B1860" s="361"/>
      <c r="C1860" s="362"/>
      <c r="D1860" s="362"/>
      <c r="E1860" s="363"/>
      <c r="F1860" s="372"/>
      <c r="G1860" s="363"/>
      <c r="H1860" s="363"/>
      <c r="I1860" s="363"/>
      <c r="J1860" s="363"/>
      <c r="K1860" s="363"/>
      <c r="L1860" s="363"/>
      <c r="M1860" s="367"/>
    </row>
    <row r="1861" customFormat="false" ht="12.75" hidden="false" customHeight="true" outlineLevel="0" collapsed="false">
      <c r="B1861" s="368"/>
      <c r="C1861" s="369"/>
      <c r="D1861" s="369"/>
      <c r="E1861" s="370"/>
      <c r="F1861" s="373"/>
      <c r="G1861" s="370"/>
      <c r="H1861" s="363"/>
      <c r="I1861" s="370"/>
      <c r="J1861" s="370"/>
      <c r="K1861" s="370"/>
      <c r="L1861" s="370"/>
      <c r="M1861" s="384"/>
    </row>
    <row r="1862" customFormat="false" ht="12.75" hidden="false" customHeight="true" outlineLevel="0" collapsed="false">
      <c r="B1862" s="361"/>
      <c r="C1862" s="369"/>
      <c r="D1862" s="369"/>
      <c r="E1862" s="363"/>
      <c r="F1862" s="374"/>
      <c r="G1862" s="363"/>
      <c r="H1862" s="363"/>
      <c r="I1862" s="363"/>
      <c r="J1862" s="363"/>
      <c r="K1862" s="363"/>
      <c r="L1862" s="363"/>
      <c r="M1862" s="367"/>
    </row>
    <row r="1863" customFormat="false" ht="12.75" hidden="false" customHeight="true" outlineLevel="0" collapsed="false">
      <c r="B1863" s="361"/>
      <c r="C1863" s="369"/>
      <c r="D1863" s="369"/>
      <c r="E1863" s="363"/>
      <c r="F1863" s="374"/>
      <c r="G1863" s="363"/>
      <c r="H1863" s="363"/>
      <c r="I1863" s="363"/>
      <c r="J1863" s="363"/>
      <c r="K1863" s="363"/>
      <c r="L1863" s="363"/>
      <c r="M1863" s="367"/>
    </row>
    <row r="1864" customFormat="false" ht="12.75" hidden="false" customHeight="true" outlineLevel="0" collapsed="false">
      <c r="B1864" s="361"/>
      <c r="C1864" s="369"/>
      <c r="D1864" s="369"/>
      <c r="E1864" s="363"/>
      <c r="F1864" s="374"/>
      <c r="G1864" s="363"/>
      <c r="H1864" s="363"/>
      <c r="I1864" s="363"/>
      <c r="J1864" s="363"/>
      <c r="K1864" s="363"/>
      <c r="L1864" s="363"/>
      <c r="M1864" s="367"/>
    </row>
    <row r="1865" customFormat="false" ht="12.75" hidden="false" customHeight="true" outlineLevel="0" collapsed="false">
      <c r="B1865" s="361"/>
      <c r="C1865" s="369"/>
      <c r="D1865" s="369"/>
      <c r="E1865" s="363"/>
      <c r="F1865" s="374"/>
      <c r="G1865" s="363"/>
      <c r="H1865" s="363"/>
      <c r="I1865" s="363"/>
      <c r="J1865" s="363"/>
      <c r="K1865" s="363"/>
      <c r="L1865" s="363"/>
      <c r="M1865" s="367"/>
    </row>
    <row r="1866" customFormat="false" ht="12.75" hidden="false" customHeight="true" outlineLevel="0" collapsed="false">
      <c r="B1866" s="361"/>
      <c r="C1866" s="369"/>
      <c r="D1866" s="369"/>
      <c r="E1866" s="363"/>
      <c r="F1866" s="374"/>
      <c r="G1866" s="363"/>
      <c r="H1866" s="363"/>
      <c r="I1866" s="363"/>
      <c r="J1866" s="363"/>
      <c r="K1866" s="363"/>
      <c r="L1866" s="363"/>
      <c r="M1866" s="367"/>
    </row>
    <row r="1867" customFormat="false" ht="12.75" hidden="false" customHeight="true" outlineLevel="0" collapsed="false">
      <c r="B1867" s="361"/>
      <c r="C1867" s="369"/>
      <c r="D1867" s="369"/>
      <c r="E1867" s="363"/>
      <c r="F1867" s="374"/>
      <c r="G1867" s="363"/>
      <c r="H1867" s="363"/>
      <c r="I1867" s="363"/>
      <c r="J1867" s="363"/>
      <c r="K1867" s="363"/>
      <c r="L1867" s="363"/>
      <c r="M1867" s="367"/>
    </row>
    <row r="1868" customFormat="false" ht="12.75" hidden="false" customHeight="true" outlineLevel="0" collapsed="false">
      <c r="B1868" s="361"/>
      <c r="C1868" s="369"/>
      <c r="D1868" s="369"/>
      <c r="E1868" s="363"/>
      <c r="F1868" s="374"/>
      <c r="G1868" s="363"/>
      <c r="H1868" s="363"/>
      <c r="I1868" s="363"/>
      <c r="J1868" s="363"/>
      <c r="K1868" s="363"/>
      <c r="L1868" s="363"/>
      <c r="M1868" s="367"/>
    </row>
    <row r="1869" customFormat="false" ht="12.75" hidden="false" customHeight="true" outlineLevel="0" collapsed="false">
      <c r="B1869" s="361"/>
      <c r="C1869" s="369"/>
      <c r="D1869" s="369"/>
      <c r="E1869" s="363"/>
      <c r="F1869" s="374"/>
      <c r="G1869" s="363"/>
      <c r="H1869" s="363"/>
      <c r="I1869" s="363"/>
      <c r="J1869" s="363"/>
      <c r="K1869" s="363"/>
      <c r="L1869" s="363"/>
      <c r="M1869" s="367"/>
    </row>
    <row r="1870" customFormat="false" ht="12.75" hidden="false" customHeight="true" outlineLevel="0" collapsed="false">
      <c r="B1870" s="361"/>
      <c r="C1870" s="369"/>
      <c r="D1870" s="369"/>
      <c r="E1870" s="363"/>
      <c r="F1870" s="374"/>
      <c r="G1870" s="363"/>
      <c r="H1870" s="363"/>
      <c r="I1870" s="363"/>
      <c r="J1870" s="363"/>
      <c r="K1870" s="363"/>
      <c r="L1870" s="363"/>
      <c r="M1870" s="367"/>
    </row>
    <row r="1871" customFormat="false" ht="12.75" hidden="false" customHeight="true" outlineLevel="0" collapsed="false">
      <c r="B1871" s="361"/>
      <c r="C1871" s="369"/>
      <c r="D1871" s="369"/>
      <c r="E1871" s="363"/>
      <c r="F1871" s="374"/>
      <c r="G1871" s="363"/>
      <c r="H1871" s="363"/>
      <c r="I1871" s="363"/>
      <c r="J1871" s="363"/>
      <c r="K1871" s="363"/>
      <c r="L1871" s="363"/>
      <c r="M1871" s="367"/>
    </row>
    <row r="1872" customFormat="false" ht="12.75" hidden="false" customHeight="true" outlineLevel="0" collapsed="false">
      <c r="B1872" s="361"/>
      <c r="C1872" s="369"/>
      <c r="D1872" s="369"/>
      <c r="E1872" s="363"/>
      <c r="F1872" s="374"/>
      <c r="G1872" s="363"/>
      <c r="H1872" s="363"/>
      <c r="I1872" s="363"/>
      <c r="J1872" s="363"/>
      <c r="K1872" s="363"/>
      <c r="L1872" s="363"/>
      <c r="M1872" s="367"/>
    </row>
    <row r="1873" customFormat="false" ht="12.75" hidden="false" customHeight="true" outlineLevel="0" collapsed="false">
      <c r="B1873" s="361"/>
      <c r="C1873" s="369"/>
      <c r="D1873" s="369"/>
      <c r="E1873" s="363"/>
      <c r="F1873" s="374"/>
      <c r="G1873" s="363"/>
      <c r="H1873" s="363"/>
      <c r="I1873" s="363"/>
      <c r="J1873" s="363"/>
      <c r="K1873" s="363"/>
      <c r="L1873" s="363"/>
      <c r="M1873" s="367"/>
    </row>
    <row r="1874" customFormat="false" ht="12.75" hidden="false" customHeight="true" outlineLevel="0" collapsed="false">
      <c r="B1874" s="361"/>
      <c r="C1874" s="369"/>
      <c r="D1874" s="369"/>
      <c r="E1874" s="363"/>
      <c r="F1874" s="374"/>
      <c r="G1874" s="363"/>
      <c r="H1874" s="363"/>
      <c r="I1874" s="363"/>
      <c r="J1874" s="363"/>
      <c r="K1874" s="363"/>
      <c r="L1874" s="363"/>
      <c r="M1874" s="367"/>
    </row>
    <row r="1875" customFormat="false" ht="12.75" hidden="false" customHeight="true" outlineLevel="0" collapsed="false">
      <c r="B1875" s="361"/>
      <c r="C1875" s="369"/>
      <c r="D1875" s="369"/>
      <c r="E1875" s="363"/>
      <c r="F1875" s="374"/>
      <c r="G1875" s="363"/>
      <c r="H1875" s="363"/>
      <c r="I1875" s="363"/>
      <c r="J1875" s="363"/>
      <c r="K1875" s="363"/>
      <c r="L1875" s="363"/>
      <c r="M1875" s="367"/>
    </row>
    <row r="1876" customFormat="false" ht="12.75" hidden="false" customHeight="true" outlineLevel="0" collapsed="false">
      <c r="B1876" s="361"/>
      <c r="C1876" s="369"/>
      <c r="D1876" s="369"/>
      <c r="E1876" s="363"/>
      <c r="F1876" s="374"/>
      <c r="G1876" s="363"/>
      <c r="H1876" s="363"/>
      <c r="I1876" s="363"/>
      <c r="J1876" s="363"/>
      <c r="K1876" s="363"/>
      <c r="L1876" s="363"/>
      <c r="M1876" s="367"/>
    </row>
    <row r="1877" customFormat="false" ht="12.75" hidden="false" customHeight="true" outlineLevel="0" collapsed="false">
      <c r="B1877" s="361"/>
      <c r="C1877" s="369"/>
      <c r="D1877" s="369"/>
      <c r="E1877" s="363"/>
      <c r="F1877" s="374"/>
      <c r="G1877" s="363"/>
      <c r="H1877" s="363"/>
      <c r="I1877" s="363"/>
      <c r="J1877" s="363"/>
      <c r="K1877" s="363"/>
      <c r="L1877" s="363"/>
      <c r="M1877" s="367"/>
    </row>
    <row r="1878" customFormat="false" ht="12.75" hidden="false" customHeight="true" outlineLevel="0" collapsed="false">
      <c r="B1878" s="361"/>
      <c r="C1878" s="369"/>
      <c r="D1878" s="369"/>
      <c r="E1878" s="363"/>
      <c r="F1878" s="374"/>
      <c r="G1878" s="363"/>
      <c r="H1878" s="363"/>
      <c r="I1878" s="363"/>
      <c r="J1878" s="363"/>
      <c r="K1878" s="363"/>
      <c r="L1878" s="363"/>
      <c r="M1878" s="367"/>
    </row>
    <row r="1879" customFormat="false" ht="12.75" hidden="false" customHeight="true" outlineLevel="0" collapsed="false">
      <c r="B1879" s="361"/>
      <c r="C1879" s="369"/>
      <c r="D1879" s="369"/>
      <c r="E1879" s="363"/>
      <c r="F1879" s="374"/>
      <c r="G1879" s="363"/>
      <c r="H1879" s="363"/>
      <c r="I1879" s="363"/>
      <c r="J1879" s="363"/>
      <c r="K1879" s="363"/>
      <c r="L1879" s="363"/>
      <c r="M1879" s="367"/>
    </row>
    <row r="1880" customFormat="false" ht="12.75" hidden="false" customHeight="true" outlineLevel="0" collapsed="false">
      <c r="B1880" s="361"/>
      <c r="C1880" s="369"/>
      <c r="D1880" s="369"/>
      <c r="E1880" s="363"/>
      <c r="F1880" s="374"/>
      <c r="G1880" s="363"/>
      <c r="H1880" s="363"/>
      <c r="I1880" s="363"/>
      <c r="J1880" s="363"/>
      <c r="K1880" s="363"/>
      <c r="L1880" s="363"/>
      <c r="M1880" s="367"/>
    </row>
    <row r="1881" customFormat="false" ht="12.75" hidden="false" customHeight="true" outlineLevel="0" collapsed="false">
      <c r="B1881" s="361"/>
      <c r="C1881" s="369"/>
      <c r="D1881" s="369"/>
      <c r="E1881" s="363"/>
      <c r="F1881" s="374"/>
      <c r="G1881" s="363"/>
      <c r="H1881" s="363"/>
      <c r="I1881" s="363"/>
      <c r="J1881" s="363"/>
      <c r="K1881" s="363"/>
      <c r="L1881" s="363"/>
      <c r="M1881" s="367"/>
    </row>
    <row r="1882" customFormat="false" ht="12.75" hidden="false" customHeight="true" outlineLevel="0" collapsed="false">
      <c r="B1882" s="361"/>
      <c r="C1882" s="369"/>
      <c r="D1882" s="369"/>
      <c r="E1882" s="363"/>
      <c r="F1882" s="374"/>
      <c r="G1882" s="363"/>
      <c r="H1882" s="363"/>
      <c r="I1882" s="363"/>
      <c r="J1882" s="363"/>
      <c r="K1882" s="363"/>
      <c r="L1882" s="363"/>
      <c r="M1882" s="367"/>
    </row>
    <row r="1883" customFormat="false" ht="12.75" hidden="false" customHeight="true" outlineLevel="0" collapsed="false">
      <c r="B1883" s="361"/>
      <c r="C1883" s="369"/>
      <c r="D1883" s="369"/>
      <c r="E1883" s="363"/>
      <c r="F1883" s="374"/>
      <c r="G1883" s="363"/>
      <c r="H1883" s="363"/>
      <c r="I1883" s="363"/>
      <c r="J1883" s="363"/>
      <c r="K1883" s="363"/>
      <c r="L1883" s="363"/>
      <c r="M1883" s="367"/>
    </row>
    <row r="1884" customFormat="false" ht="12.75" hidden="false" customHeight="true" outlineLevel="0" collapsed="false">
      <c r="B1884" s="361"/>
      <c r="C1884" s="369"/>
      <c r="D1884" s="369"/>
      <c r="E1884" s="363"/>
      <c r="F1884" s="374"/>
      <c r="G1884" s="363"/>
      <c r="H1884" s="363"/>
      <c r="I1884" s="363"/>
      <c r="J1884" s="363"/>
      <c r="K1884" s="363"/>
      <c r="L1884" s="363"/>
      <c r="M1884" s="367"/>
    </row>
    <row r="1885" customFormat="false" ht="12.75" hidden="false" customHeight="true" outlineLevel="0" collapsed="false">
      <c r="B1885" s="361"/>
      <c r="C1885" s="369"/>
      <c r="D1885" s="369"/>
      <c r="E1885" s="363"/>
      <c r="F1885" s="374"/>
      <c r="G1885" s="363"/>
      <c r="H1885" s="363"/>
      <c r="I1885" s="363"/>
      <c r="J1885" s="363"/>
      <c r="K1885" s="363"/>
      <c r="L1885" s="363"/>
      <c r="M1885" s="367"/>
    </row>
    <row r="1886" customFormat="false" ht="12.75" hidden="false" customHeight="true" outlineLevel="0" collapsed="false">
      <c r="B1886" s="361"/>
      <c r="C1886" s="369"/>
      <c r="D1886" s="369"/>
      <c r="E1886" s="363"/>
      <c r="F1886" s="374"/>
      <c r="G1886" s="363"/>
      <c r="H1886" s="363"/>
      <c r="I1886" s="363"/>
      <c r="J1886" s="363"/>
      <c r="K1886" s="363"/>
      <c r="L1886" s="363"/>
      <c r="M1886" s="367"/>
    </row>
    <row r="1887" customFormat="false" ht="12.75" hidden="false" customHeight="true" outlineLevel="0" collapsed="false">
      <c r="B1887" s="361"/>
      <c r="C1887" s="369"/>
      <c r="D1887" s="369"/>
      <c r="E1887" s="363"/>
      <c r="F1887" s="374"/>
      <c r="G1887" s="363"/>
      <c r="H1887" s="363"/>
      <c r="I1887" s="363"/>
      <c r="J1887" s="363"/>
      <c r="K1887" s="363"/>
      <c r="L1887" s="363"/>
      <c r="M1887" s="367"/>
    </row>
    <row r="1888" customFormat="false" ht="12.75" hidden="false" customHeight="true" outlineLevel="0" collapsed="false">
      <c r="B1888" s="361"/>
      <c r="C1888" s="369"/>
      <c r="D1888" s="369"/>
      <c r="E1888" s="363"/>
      <c r="F1888" s="374"/>
      <c r="G1888" s="363"/>
      <c r="H1888" s="363"/>
      <c r="I1888" s="363"/>
      <c r="J1888" s="363"/>
      <c r="K1888" s="363"/>
      <c r="L1888" s="363"/>
      <c r="M1888" s="367"/>
    </row>
    <row r="1889" customFormat="false" ht="12.75" hidden="false" customHeight="true" outlineLevel="0" collapsed="false">
      <c r="B1889" s="361"/>
      <c r="C1889" s="369"/>
      <c r="D1889" s="369"/>
      <c r="E1889" s="363"/>
      <c r="F1889" s="374"/>
      <c r="G1889" s="363"/>
      <c r="H1889" s="363"/>
      <c r="I1889" s="363"/>
      <c r="J1889" s="363"/>
      <c r="K1889" s="363"/>
      <c r="L1889" s="363"/>
      <c r="M1889" s="367"/>
    </row>
    <row r="1890" customFormat="false" ht="12.75" hidden="false" customHeight="true" outlineLevel="0" collapsed="false">
      <c r="B1890" s="361"/>
      <c r="C1890" s="369"/>
      <c r="D1890" s="369"/>
      <c r="E1890" s="363"/>
      <c r="F1890" s="374"/>
      <c r="G1890" s="363"/>
      <c r="H1890" s="363"/>
      <c r="I1890" s="363"/>
      <c r="J1890" s="363"/>
      <c r="K1890" s="363"/>
      <c r="L1890" s="363"/>
      <c r="M1890" s="367"/>
    </row>
    <row r="1891" customFormat="false" ht="12.75" hidden="false" customHeight="true" outlineLevel="0" collapsed="false">
      <c r="B1891" s="361"/>
      <c r="C1891" s="369"/>
      <c r="D1891" s="369"/>
      <c r="E1891" s="363"/>
      <c r="F1891" s="374"/>
      <c r="G1891" s="363"/>
      <c r="H1891" s="363"/>
      <c r="I1891" s="363"/>
      <c r="J1891" s="363"/>
      <c r="K1891" s="363"/>
      <c r="L1891" s="363"/>
      <c r="M1891" s="367"/>
    </row>
    <row r="1892" customFormat="false" ht="12.75" hidden="false" customHeight="true" outlineLevel="0" collapsed="false">
      <c r="B1892" s="361"/>
      <c r="C1892" s="369"/>
      <c r="D1892" s="369"/>
      <c r="E1892" s="363"/>
      <c r="F1892" s="374"/>
      <c r="G1892" s="363"/>
      <c r="H1892" s="363"/>
      <c r="I1892" s="363"/>
      <c r="J1892" s="363"/>
      <c r="K1892" s="363"/>
      <c r="L1892" s="363"/>
      <c r="M1892" s="367"/>
    </row>
    <row r="1893" customFormat="false" ht="12.75" hidden="false" customHeight="true" outlineLevel="0" collapsed="false">
      <c r="B1893" s="361"/>
      <c r="C1893" s="369"/>
      <c r="D1893" s="369"/>
      <c r="E1893" s="363"/>
      <c r="F1893" s="374"/>
      <c r="G1893" s="363"/>
      <c r="H1893" s="363"/>
      <c r="I1893" s="363"/>
      <c r="J1893" s="363"/>
      <c r="K1893" s="363"/>
      <c r="L1893" s="363"/>
      <c r="M1893" s="367"/>
    </row>
    <row r="1894" customFormat="false" ht="12.75" hidden="false" customHeight="true" outlineLevel="0" collapsed="false">
      <c r="B1894" s="361"/>
      <c r="C1894" s="369"/>
      <c r="D1894" s="369"/>
      <c r="E1894" s="363"/>
      <c r="F1894" s="374"/>
      <c r="G1894" s="363"/>
      <c r="H1894" s="363"/>
      <c r="I1894" s="363"/>
      <c r="J1894" s="363"/>
      <c r="K1894" s="363"/>
      <c r="L1894" s="363"/>
      <c r="M1894" s="367"/>
    </row>
    <row r="1895" customFormat="false" ht="12.75" hidden="false" customHeight="true" outlineLevel="0" collapsed="false">
      <c r="B1895" s="361"/>
      <c r="C1895" s="369"/>
      <c r="D1895" s="369"/>
      <c r="E1895" s="363"/>
      <c r="F1895" s="374"/>
      <c r="G1895" s="363"/>
      <c r="H1895" s="363"/>
      <c r="I1895" s="363"/>
      <c r="J1895" s="363"/>
      <c r="K1895" s="363"/>
      <c r="L1895" s="363"/>
      <c r="M1895" s="367"/>
    </row>
    <row r="1896" customFormat="false" ht="12.75" hidden="false" customHeight="true" outlineLevel="0" collapsed="false">
      <c r="B1896" s="361"/>
      <c r="C1896" s="369"/>
      <c r="D1896" s="369"/>
      <c r="E1896" s="363"/>
      <c r="F1896" s="374"/>
      <c r="G1896" s="363"/>
      <c r="H1896" s="363"/>
      <c r="I1896" s="363"/>
      <c r="J1896" s="363"/>
      <c r="K1896" s="363"/>
      <c r="L1896" s="363"/>
      <c r="M1896" s="367"/>
    </row>
    <row r="1897" customFormat="false" ht="12.75" hidden="false" customHeight="true" outlineLevel="0" collapsed="false">
      <c r="B1897" s="361"/>
      <c r="C1897" s="369"/>
      <c r="D1897" s="369"/>
      <c r="E1897" s="363"/>
      <c r="F1897" s="374"/>
      <c r="G1897" s="363"/>
      <c r="H1897" s="363"/>
      <c r="I1897" s="363"/>
      <c r="J1897" s="363"/>
      <c r="K1897" s="363"/>
      <c r="L1897" s="363"/>
      <c r="M1897" s="367"/>
    </row>
    <row r="1898" customFormat="false" ht="12.75" hidden="false" customHeight="true" outlineLevel="0" collapsed="false">
      <c r="B1898" s="361"/>
      <c r="C1898" s="369"/>
      <c r="D1898" s="369"/>
      <c r="E1898" s="363"/>
      <c r="F1898" s="374"/>
      <c r="G1898" s="363"/>
      <c r="H1898" s="363"/>
      <c r="I1898" s="363"/>
      <c r="J1898" s="363"/>
      <c r="K1898" s="363"/>
      <c r="L1898" s="363"/>
      <c r="M1898" s="367"/>
    </row>
    <row r="1899" customFormat="false" ht="12.75" hidden="false" customHeight="true" outlineLevel="0" collapsed="false">
      <c r="B1899" s="361"/>
      <c r="C1899" s="369"/>
      <c r="D1899" s="369"/>
      <c r="E1899" s="363"/>
      <c r="F1899" s="374"/>
      <c r="G1899" s="363"/>
      <c r="H1899" s="363"/>
      <c r="I1899" s="363"/>
      <c r="J1899" s="363"/>
      <c r="K1899" s="363"/>
      <c r="L1899" s="363"/>
      <c r="M1899" s="367"/>
    </row>
    <row r="1900" customFormat="false" ht="12.75" hidden="false" customHeight="true" outlineLevel="0" collapsed="false">
      <c r="B1900" s="361"/>
      <c r="C1900" s="369"/>
      <c r="D1900" s="369"/>
      <c r="E1900" s="363"/>
      <c r="F1900" s="374"/>
      <c r="G1900" s="363"/>
      <c r="H1900" s="363"/>
      <c r="I1900" s="363"/>
      <c r="J1900" s="363"/>
      <c r="K1900" s="363"/>
      <c r="L1900" s="363"/>
      <c r="M1900" s="367"/>
    </row>
    <row r="1901" customFormat="false" ht="12.75" hidden="false" customHeight="true" outlineLevel="0" collapsed="false">
      <c r="B1901" s="368"/>
      <c r="C1901" s="369"/>
      <c r="D1901" s="369"/>
      <c r="E1901" s="370"/>
      <c r="F1901" s="375"/>
      <c r="G1901" s="370"/>
      <c r="H1901" s="370"/>
      <c r="I1901" s="370"/>
      <c r="J1901" s="370"/>
      <c r="K1901" s="370"/>
      <c r="L1901" s="370"/>
      <c r="M1901" s="384"/>
    </row>
    <row r="1902" customFormat="false" ht="12.75" hidden="false" customHeight="true" outlineLevel="0" collapsed="false">
      <c r="B1902" s="361"/>
      <c r="C1902" s="369"/>
      <c r="D1902" s="369"/>
      <c r="E1902" s="363"/>
      <c r="F1902" s="374"/>
      <c r="G1902" s="363"/>
      <c r="H1902" s="363"/>
      <c r="I1902" s="363"/>
      <c r="J1902" s="363"/>
      <c r="K1902" s="363"/>
      <c r="L1902" s="363"/>
      <c r="M1902" s="367"/>
    </row>
    <row r="1903" customFormat="false" ht="12.75" hidden="false" customHeight="true" outlineLevel="0" collapsed="false">
      <c r="B1903" s="361"/>
      <c r="C1903" s="369"/>
      <c r="D1903" s="369"/>
      <c r="E1903" s="363"/>
      <c r="F1903" s="374"/>
      <c r="G1903" s="363"/>
      <c r="H1903" s="363"/>
      <c r="I1903" s="363"/>
      <c r="J1903" s="363"/>
      <c r="K1903" s="363"/>
      <c r="L1903" s="365"/>
      <c r="M1903" s="367"/>
    </row>
    <row r="1904" customFormat="false" ht="12.75" hidden="false" customHeight="true" outlineLevel="0" collapsed="false">
      <c r="B1904" s="361"/>
      <c r="C1904" s="369"/>
      <c r="D1904" s="369"/>
      <c r="E1904" s="363"/>
      <c r="F1904" s="374"/>
      <c r="G1904" s="363"/>
      <c r="H1904" s="363"/>
      <c r="I1904" s="363"/>
      <c r="J1904" s="363"/>
      <c r="K1904" s="363"/>
      <c r="L1904" s="363"/>
      <c r="M1904" s="367"/>
    </row>
    <row r="1905" customFormat="false" ht="12.75" hidden="false" customHeight="true" outlineLevel="0" collapsed="false">
      <c r="B1905" s="361"/>
      <c r="C1905" s="369"/>
      <c r="D1905" s="369"/>
      <c r="E1905" s="363"/>
      <c r="F1905" s="374"/>
      <c r="G1905" s="363"/>
      <c r="H1905" s="363"/>
      <c r="I1905" s="363"/>
      <c r="J1905" s="363"/>
      <c r="K1905" s="363"/>
      <c r="L1905" s="363"/>
      <c r="M1905" s="367"/>
    </row>
    <row r="1906" customFormat="false" ht="12.75" hidden="false" customHeight="true" outlineLevel="0" collapsed="false">
      <c r="B1906" s="361"/>
      <c r="C1906" s="369"/>
      <c r="D1906" s="369"/>
      <c r="E1906" s="363"/>
      <c r="F1906" s="374"/>
      <c r="G1906" s="363"/>
      <c r="H1906" s="363"/>
      <c r="I1906" s="363"/>
      <c r="J1906" s="363"/>
      <c r="K1906" s="363"/>
      <c r="L1906" s="363"/>
      <c r="M1906" s="367"/>
    </row>
    <row r="1907" customFormat="false" ht="12.75" hidden="false" customHeight="true" outlineLevel="0" collapsed="false">
      <c r="B1907" s="361"/>
      <c r="C1907" s="369"/>
      <c r="D1907" s="369"/>
      <c r="E1907" s="363"/>
      <c r="F1907" s="374"/>
      <c r="G1907" s="363"/>
      <c r="H1907" s="363"/>
      <c r="I1907" s="363"/>
      <c r="J1907" s="363"/>
      <c r="K1907" s="363"/>
      <c r="L1907" s="363"/>
      <c r="M1907" s="367"/>
    </row>
    <row r="1908" customFormat="false" ht="12.75" hidden="false" customHeight="true" outlineLevel="0" collapsed="false">
      <c r="B1908" s="361"/>
      <c r="C1908" s="369"/>
      <c r="D1908" s="369"/>
      <c r="E1908" s="363"/>
      <c r="F1908" s="374"/>
      <c r="G1908" s="363"/>
      <c r="H1908" s="363"/>
      <c r="I1908" s="363"/>
      <c r="J1908" s="363"/>
      <c r="K1908" s="363"/>
      <c r="L1908" s="363"/>
      <c r="M1908" s="367"/>
    </row>
    <row r="1909" customFormat="false" ht="12.75" hidden="false" customHeight="true" outlineLevel="0" collapsed="false">
      <c r="B1909" s="361"/>
      <c r="C1909" s="369"/>
      <c r="D1909" s="369"/>
      <c r="E1909" s="363"/>
      <c r="F1909" s="374"/>
      <c r="G1909" s="363"/>
      <c r="H1909" s="363"/>
      <c r="I1909" s="363"/>
      <c r="J1909" s="363"/>
      <c r="K1909" s="363"/>
      <c r="L1909" s="363"/>
      <c r="M1909" s="367"/>
    </row>
    <row r="1910" customFormat="false" ht="12.75" hidden="false" customHeight="true" outlineLevel="0" collapsed="false">
      <c r="B1910" s="361"/>
      <c r="C1910" s="369"/>
      <c r="D1910" s="369"/>
      <c r="E1910" s="363"/>
      <c r="F1910" s="374"/>
      <c r="G1910" s="363"/>
      <c r="H1910" s="363"/>
      <c r="I1910" s="363"/>
      <c r="J1910" s="363"/>
      <c r="K1910" s="363"/>
      <c r="L1910" s="363"/>
      <c r="M1910" s="367"/>
    </row>
    <row r="1911" customFormat="false" ht="12.75" hidden="false" customHeight="true" outlineLevel="0" collapsed="false">
      <c r="B1911" s="361"/>
      <c r="C1911" s="369"/>
      <c r="D1911" s="369"/>
      <c r="E1911" s="363"/>
      <c r="F1911" s="374"/>
      <c r="G1911" s="363"/>
      <c r="H1911" s="363"/>
      <c r="I1911" s="363"/>
      <c r="J1911" s="363"/>
      <c r="K1911" s="363"/>
      <c r="L1911" s="363"/>
      <c r="M1911" s="367"/>
    </row>
    <row r="1912" customFormat="false" ht="12.75" hidden="false" customHeight="true" outlineLevel="0" collapsed="false">
      <c r="B1912" s="361"/>
      <c r="C1912" s="369"/>
      <c r="D1912" s="369"/>
      <c r="E1912" s="363"/>
      <c r="F1912" s="374"/>
      <c r="G1912" s="363"/>
      <c r="H1912" s="363"/>
      <c r="I1912" s="363"/>
      <c r="J1912" s="363"/>
      <c r="K1912" s="363"/>
      <c r="L1912" s="363"/>
      <c r="M1912" s="367"/>
    </row>
    <row r="1913" customFormat="false" ht="12.75" hidden="false" customHeight="true" outlineLevel="0" collapsed="false">
      <c r="B1913" s="361"/>
      <c r="C1913" s="369"/>
      <c r="D1913" s="369"/>
      <c r="E1913" s="363"/>
      <c r="F1913" s="374"/>
      <c r="G1913" s="363"/>
      <c r="H1913" s="363"/>
      <c r="I1913" s="363"/>
      <c r="J1913" s="363"/>
      <c r="K1913" s="363"/>
      <c r="L1913" s="363"/>
      <c r="M1913" s="367"/>
    </row>
    <row r="1914" customFormat="false" ht="12.75" hidden="false" customHeight="true" outlineLevel="0" collapsed="false">
      <c r="B1914" s="361"/>
      <c r="C1914" s="369"/>
      <c r="D1914" s="369"/>
      <c r="E1914" s="363"/>
      <c r="F1914" s="374"/>
      <c r="G1914" s="363"/>
      <c r="H1914" s="363"/>
      <c r="I1914" s="363"/>
      <c r="J1914" s="363"/>
      <c r="K1914" s="363"/>
      <c r="L1914" s="363"/>
      <c r="M1914" s="367"/>
    </row>
    <row r="1915" customFormat="false" ht="12.75" hidden="false" customHeight="true" outlineLevel="0" collapsed="false">
      <c r="B1915" s="361"/>
      <c r="C1915" s="369"/>
      <c r="D1915" s="369"/>
      <c r="E1915" s="363"/>
      <c r="F1915" s="374"/>
      <c r="G1915" s="363"/>
      <c r="H1915" s="363"/>
      <c r="I1915" s="363"/>
      <c r="J1915" s="363"/>
      <c r="K1915" s="363"/>
      <c r="L1915" s="363"/>
      <c r="M1915" s="367"/>
    </row>
    <row r="1916" customFormat="false" ht="12.75" hidden="false" customHeight="true" outlineLevel="0" collapsed="false">
      <c r="B1916" s="361"/>
      <c r="C1916" s="369"/>
      <c r="D1916" s="369"/>
      <c r="E1916" s="363"/>
      <c r="F1916" s="374"/>
      <c r="G1916" s="363"/>
      <c r="H1916" s="363"/>
      <c r="I1916" s="363"/>
      <c r="J1916" s="363"/>
      <c r="K1916" s="363"/>
      <c r="L1916" s="363"/>
      <c r="M1916" s="367"/>
    </row>
    <row r="1917" customFormat="false" ht="12.75" hidden="false" customHeight="true" outlineLevel="0" collapsed="false">
      <c r="B1917" s="361"/>
      <c r="C1917" s="369"/>
      <c r="D1917" s="369"/>
      <c r="E1917" s="363"/>
      <c r="F1917" s="374"/>
      <c r="G1917" s="363"/>
      <c r="H1917" s="363"/>
      <c r="I1917" s="363"/>
      <c r="J1917" s="363"/>
      <c r="K1917" s="363"/>
      <c r="L1917" s="363"/>
      <c r="M1917" s="367"/>
    </row>
    <row r="1918" customFormat="false" ht="12.75" hidden="false" customHeight="true" outlineLevel="0" collapsed="false">
      <c r="B1918" s="361"/>
      <c r="C1918" s="369"/>
      <c r="D1918" s="369"/>
      <c r="E1918" s="363"/>
      <c r="F1918" s="374"/>
      <c r="G1918" s="363"/>
      <c r="H1918" s="363"/>
      <c r="I1918" s="363"/>
      <c r="J1918" s="363"/>
      <c r="K1918" s="363"/>
      <c r="L1918" s="363"/>
      <c r="M1918" s="367"/>
    </row>
    <row r="1919" customFormat="false" ht="12.75" hidden="false" customHeight="true" outlineLevel="0" collapsed="false">
      <c r="B1919" s="361"/>
      <c r="C1919" s="369"/>
      <c r="D1919" s="369"/>
      <c r="E1919" s="363"/>
      <c r="F1919" s="374"/>
      <c r="G1919" s="363"/>
      <c r="H1919" s="363"/>
      <c r="I1919" s="363"/>
      <c r="J1919" s="363"/>
      <c r="K1919" s="363"/>
      <c r="L1919" s="363"/>
      <c r="M1919" s="367"/>
    </row>
    <row r="1920" customFormat="false" ht="12.75" hidden="false" customHeight="true" outlineLevel="0" collapsed="false">
      <c r="B1920" s="361"/>
      <c r="C1920" s="369"/>
      <c r="D1920" s="369"/>
      <c r="E1920" s="363"/>
      <c r="F1920" s="374"/>
      <c r="G1920" s="363"/>
      <c r="H1920" s="363"/>
      <c r="I1920" s="363"/>
      <c r="J1920" s="363"/>
      <c r="K1920" s="363"/>
      <c r="L1920" s="363"/>
      <c r="M1920" s="367"/>
    </row>
    <row r="1921" customFormat="false" ht="12.75" hidden="false" customHeight="true" outlineLevel="0" collapsed="false">
      <c r="B1921" s="361"/>
      <c r="C1921" s="369"/>
      <c r="D1921" s="369"/>
      <c r="E1921" s="363"/>
      <c r="F1921" s="374"/>
      <c r="G1921" s="363"/>
      <c r="H1921" s="363"/>
      <c r="I1921" s="363"/>
      <c r="J1921" s="363"/>
      <c r="K1921" s="363"/>
      <c r="L1921" s="363"/>
      <c r="M1921" s="367"/>
    </row>
    <row r="1922" customFormat="false" ht="12.75" hidden="false" customHeight="true" outlineLevel="0" collapsed="false">
      <c r="B1922" s="361"/>
      <c r="C1922" s="369"/>
      <c r="D1922" s="369"/>
      <c r="E1922" s="363"/>
      <c r="F1922" s="374"/>
      <c r="G1922" s="363"/>
      <c r="H1922" s="363"/>
      <c r="I1922" s="363"/>
      <c r="J1922" s="363"/>
      <c r="K1922" s="363"/>
      <c r="L1922" s="363"/>
      <c r="M1922" s="367"/>
    </row>
    <row r="1923" customFormat="false" ht="12.75" hidden="false" customHeight="true" outlineLevel="0" collapsed="false">
      <c r="B1923" s="361"/>
      <c r="C1923" s="369"/>
      <c r="D1923" s="369"/>
      <c r="E1923" s="363"/>
      <c r="F1923" s="374"/>
      <c r="G1923" s="363"/>
      <c r="H1923" s="363"/>
      <c r="I1923" s="363"/>
      <c r="J1923" s="363"/>
      <c r="K1923" s="363"/>
      <c r="L1923" s="363"/>
      <c r="M1923" s="367"/>
    </row>
    <row r="1924" customFormat="false" ht="12.75" hidden="false" customHeight="true" outlineLevel="0" collapsed="false">
      <c r="B1924" s="361"/>
      <c r="C1924" s="369"/>
      <c r="D1924" s="369"/>
      <c r="E1924" s="363"/>
      <c r="F1924" s="374"/>
      <c r="G1924" s="363"/>
      <c r="H1924" s="363"/>
      <c r="I1924" s="363"/>
      <c r="J1924" s="363"/>
      <c r="K1924" s="363"/>
      <c r="L1924" s="363"/>
      <c r="M1924" s="367"/>
    </row>
    <row r="1925" customFormat="false" ht="12.75" hidden="false" customHeight="true" outlineLevel="0" collapsed="false">
      <c r="B1925" s="361"/>
      <c r="C1925" s="369"/>
      <c r="D1925" s="369"/>
      <c r="E1925" s="363"/>
      <c r="F1925" s="374"/>
      <c r="G1925" s="363"/>
      <c r="H1925" s="363"/>
      <c r="I1925" s="363"/>
      <c r="J1925" s="363"/>
      <c r="K1925" s="363"/>
      <c r="L1925" s="363"/>
      <c r="M1925" s="367"/>
    </row>
    <row r="1926" customFormat="false" ht="12.75" hidden="false" customHeight="true" outlineLevel="0" collapsed="false">
      <c r="B1926" s="361"/>
      <c r="C1926" s="369"/>
      <c r="D1926" s="369"/>
      <c r="E1926" s="363"/>
      <c r="F1926" s="374"/>
      <c r="G1926" s="363"/>
      <c r="H1926" s="363"/>
      <c r="I1926" s="363"/>
      <c r="J1926" s="363"/>
      <c r="K1926" s="363"/>
      <c r="L1926" s="363"/>
      <c r="M1926" s="367"/>
    </row>
    <row r="1927" customFormat="false" ht="12.75" hidden="false" customHeight="true" outlineLevel="0" collapsed="false">
      <c r="B1927" s="361"/>
      <c r="C1927" s="369"/>
      <c r="D1927" s="369"/>
      <c r="E1927" s="363"/>
      <c r="F1927" s="374"/>
      <c r="G1927" s="363"/>
      <c r="H1927" s="363"/>
      <c r="I1927" s="363"/>
      <c r="J1927" s="363"/>
      <c r="K1927" s="363"/>
      <c r="L1927" s="363"/>
      <c r="M1927" s="367"/>
    </row>
    <row r="1928" customFormat="false" ht="12.75" hidden="false" customHeight="true" outlineLevel="0" collapsed="false">
      <c r="B1928" s="361"/>
      <c r="C1928" s="369"/>
      <c r="D1928" s="369"/>
      <c r="E1928" s="363"/>
      <c r="F1928" s="374"/>
      <c r="G1928" s="363"/>
      <c r="H1928" s="363"/>
      <c r="I1928" s="363"/>
      <c r="J1928" s="363"/>
      <c r="K1928" s="363"/>
      <c r="L1928" s="363"/>
      <c r="M1928" s="367"/>
    </row>
    <row r="1929" customFormat="false" ht="12.75" hidden="false" customHeight="true" outlineLevel="0" collapsed="false">
      <c r="B1929" s="361"/>
      <c r="C1929" s="369"/>
      <c r="D1929" s="369"/>
      <c r="E1929" s="363"/>
      <c r="F1929" s="374"/>
      <c r="G1929" s="363"/>
      <c r="H1929" s="363"/>
      <c r="I1929" s="363"/>
      <c r="J1929" s="363"/>
      <c r="K1929" s="363"/>
      <c r="L1929" s="363"/>
      <c r="M1929" s="367"/>
    </row>
    <row r="1930" customFormat="false" ht="12.75" hidden="false" customHeight="true" outlineLevel="0" collapsed="false">
      <c r="B1930" s="361"/>
      <c r="C1930" s="369"/>
      <c r="D1930" s="369"/>
      <c r="E1930" s="363"/>
      <c r="F1930" s="374"/>
      <c r="G1930" s="363"/>
      <c r="H1930" s="363"/>
      <c r="I1930" s="363"/>
      <c r="J1930" s="363"/>
      <c r="K1930" s="363"/>
      <c r="L1930" s="363"/>
      <c r="M1930" s="367"/>
    </row>
    <row r="1931" customFormat="false" ht="12.75" hidden="false" customHeight="true" outlineLevel="0" collapsed="false">
      <c r="B1931" s="361"/>
      <c r="C1931" s="369"/>
      <c r="D1931" s="369"/>
      <c r="E1931" s="363"/>
      <c r="F1931" s="374"/>
      <c r="G1931" s="363"/>
      <c r="H1931" s="363"/>
      <c r="I1931" s="363"/>
      <c r="J1931" s="363"/>
      <c r="K1931" s="363"/>
      <c r="L1931" s="363"/>
      <c r="M1931" s="367"/>
    </row>
    <row r="1932" customFormat="false" ht="12.75" hidden="false" customHeight="true" outlineLevel="0" collapsed="false">
      <c r="B1932" s="361"/>
      <c r="C1932" s="369"/>
      <c r="D1932" s="369"/>
      <c r="E1932" s="363"/>
      <c r="F1932" s="374"/>
      <c r="G1932" s="363"/>
      <c r="H1932" s="363"/>
      <c r="I1932" s="363"/>
      <c r="J1932" s="363"/>
      <c r="K1932" s="363"/>
      <c r="L1932" s="363"/>
      <c r="M1932" s="367"/>
    </row>
    <row r="1933" customFormat="false" ht="12.75" hidden="false" customHeight="true" outlineLevel="0" collapsed="false">
      <c r="B1933" s="361"/>
      <c r="C1933" s="369"/>
      <c r="D1933" s="369"/>
      <c r="E1933" s="363"/>
      <c r="F1933" s="374"/>
      <c r="G1933" s="363"/>
      <c r="H1933" s="363"/>
      <c r="I1933" s="363"/>
      <c r="J1933" s="363"/>
      <c r="K1933" s="363"/>
      <c r="L1933" s="363"/>
      <c r="M1933" s="367"/>
    </row>
    <row r="1934" customFormat="false" ht="12.75" hidden="false" customHeight="true" outlineLevel="0" collapsed="false">
      <c r="B1934" s="361"/>
      <c r="C1934" s="369"/>
      <c r="D1934" s="369"/>
      <c r="E1934" s="363"/>
      <c r="F1934" s="374"/>
      <c r="G1934" s="363"/>
      <c r="H1934" s="363"/>
      <c r="I1934" s="363"/>
      <c r="J1934" s="363"/>
      <c r="K1934" s="363"/>
      <c r="L1934" s="363"/>
      <c r="M1934" s="367"/>
    </row>
    <row r="1935" customFormat="false" ht="12.75" hidden="false" customHeight="true" outlineLevel="0" collapsed="false">
      <c r="B1935" s="361"/>
      <c r="C1935" s="369"/>
      <c r="D1935" s="369"/>
      <c r="E1935" s="363"/>
      <c r="F1935" s="374"/>
      <c r="G1935" s="363"/>
      <c r="H1935" s="363"/>
      <c r="I1935" s="363"/>
      <c r="J1935" s="363"/>
      <c r="K1935" s="363"/>
      <c r="L1935" s="363"/>
      <c r="M1935" s="367"/>
    </row>
    <row r="1936" customFormat="false" ht="12.75" hidden="false" customHeight="true" outlineLevel="0" collapsed="false">
      <c r="B1936" s="361"/>
      <c r="C1936" s="369"/>
      <c r="D1936" s="369"/>
      <c r="E1936" s="363"/>
      <c r="F1936" s="374"/>
      <c r="G1936" s="363"/>
      <c r="H1936" s="363"/>
      <c r="I1936" s="363"/>
      <c r="J1936" s="363"/>
      <c r="K1936" s="363"/>
      <c r="L1936" s="363"/>
      <c r="M1936" s="367"/>
    </row>
    <row r="1937" customFormat="false" ht="12.75" hidden="false" customHeight="true" outlineLevel="0" collapsed="false">
      <c r="B1937" s="361"/>
      <c r="C1937" s="369"/>
      <c r="D1937" s="369"/>
      <c r="E1937" s="363"/>
      <c r="F1937" s="374"/>
      <c r="G1937" s="363"/>
      <c r="H1937" s="363"/>
      <c r="I1937" s="363"/>
      <c r="J1937" s="363"/>
      <c r="K1937" s="363"/>
      <c r="L1937" s="363"/>
      <c r="M1937" s="367"/>
    </row>
    <row r="1938" customFormat="false" ht="12.75" hidden="false" customHeight="true" outlineLevel="0" collapsed="false">
      <c r="B1938" s="361"/>
      <c r="C1938" s="369"/>
      <c r="D1938" s="369"/>
      <c r="E1938" s="363"/>
      <c r="F1938" s="374"/>
      <c r="G1938" s="363"/>
      <c r="H1938" s="363"/>
      <c r="I1938" s="363"/>
      <c r="J1938" s="363"/>
      <c r="K1938" s="363"/>
      <c r="L1938" s="363"/>
      <c r="M1938" s="367"/>
    </row>
    <row r="1939" customFormat="false" ht="12.75" hidden="false" customHeight="true" outlineLevel="0" collapsed="false">
      <c r="B1939" s="361"/>
      <c r="C1939" s="369"/>
      <c r="D1939" s="369"/>
      <c r="E1939" s="363"/>
      <c r="F1939" s="374"/>
      <c r="G1939" s="363"/>
      <c r="H1939" s="363"/>
      <c r="I1939" s="363"/>
      <c r="J1939" s="363"/>
      <c r="K1939" s="363"/>
      <c r="L1939" s="363"/>
      <c r="M1939" s="367"/>
    </row>
    <row r="1940" customFormat="false" ht="12.75" hidden="false" customHeight="true" outlineLevel="0" collapsed="false">
      <c r="B1940" s="361"/>
      <c r="C1940" s="369"/>
      <c r="D1940" s="369"/>
      <c r="E1940" s="363"/>
      <c r="F1940" s="374"/>
      <c r="G1940" s="363"/>
      <c r="H1940" s="363"/>
      <c r="I1940" s="363"/>
      <c r="J1940" s="363"/>
      <c r="K1940" s="363"/>
      <c r="L1940" s="363"/>
      <c r="M1940" s="367"/>
    </row>
    <row r="1941" customFormat="false" ht="12.75" hidden="false" customHeight="true" outlineLevel="0" collapsed="false">
      <c r="B1941" s="361"/>
      <c r="C1941" s="369"/>
      <c r="D1941" s="369"/>
      <c r="E1941" s="363"/>
      <c r="F1941" s="374"/>
      <c r="G1941" s="363"/>
      <c r="H1941" s="363"/>
      <c r="I1941" s="363"/>
      <c r="J1941" s="363"/>
      <c r="K1941" s="363"/>
      <c r="L1941" s="363"/>
      <c r="M1941" s="367"/>
    </row>
    <row r="1942" customFormat="false" ht="12.75" hidden="false" customHeight="true" outlineLevel="0" collapsed="false">
      <c r="B1942" s="361"/>
      <c r="C1942" s="369"/>
      <c r="D1942" s="369"/>
      <c r="E1942" s="363"/>
      <c r="F1942" s="374"/>
      <c r="G1942" s="363"/>
      <c r="H1942" s="363"/>
      <c r="I1942" s="363"/>
      <c r="J1942" s="363"/>
      <c r="K1942" s="363"/>
      <c r="L1942" s="363"/>
      <c r="M1942" s="367"/>
    </row>
    <row r="1943" customFormat="false" ht="12.75" hidden="false" customHeight="true" outlineLevel="0" collapsed="false">
      <c r="B1943" s="361"/>
      <c r="C1943" s="369"/>
      <c r="D1943" s="369"/>
      <c r="E1943" s="363"/>
      <c r="F1943" s="374"/>
      <c r="G1943" s="363"/>
      <c r="H1943" s="363"/>
      <c r="I1943" s="363"/>
      <c r="J1943" s="363"/>
      <c r="K1943" s="363"/>
      <c r="L1943" s="363"/>
      <c r="M1943" s="367"/>
    </row>
    <row r="1944" customFormat="false" ht="12.75" hidden="false" customHeight="true" outlineLevel="0" collapsed="false">
      <c r="B1944" s="368"/>
      <c r="C1944" s="369"/>
      <c r="D1944" s="369"/>
      <c r="E1944" s="370"/>
      <c r="F1944" s="375"/>
      <c r="G1944" s="370"/>
      <c r="H1944" s="370"/>
      <c r="I1944" s="370"/>
      <c r="J1944" s="370"/>
      <c r="K1944" s="370"/>
      <c r="L1944" s="370"/>
      <c r="M1944" s="384"/>
    </row>
    <row r="1945" customFormat="false" ht="12.75" hidden="false" customHeight="true" outlineLevel="0" collapsed="false">
      <c r="B1945" s="361"/>
      <c r="C1945" s="369"/>
      <c r="D1945" s="369"/>
      <c r="E1945" s="363"/>
      <c r="F1945" s="374"/>
      <c r="G1945" s="363"/>
      <c r="H1945" s="363"/>
      <c r="I1945" s="363"/>
      <c r="J1945" s="363"/>
      <c r="K1945" s="363"/>
      <c r="L1945" s="363"/>
      <c r="M1945" s="367"/>
    </row>
    <row r="1946" customFormat="false" ht="12.75" hidden="false" customHeight="true" outlineLevel="0" collapsed="false">
      <c r="B1946" s="361"/>
      <c r="C1946" s="369"/>
      <c r="D1946" s="369"/>
      <c r="E1946" s="363"/>
      <c r="F1946" s="374"/>
      <c r="G1946" s="363"/>
      <c r="H1946" s="363"/>
      <c r="I1946" s="363"/>
      <c r="J1946" s="363"/>
      <c r="K1946" s="363"/>
      <c r="L1946" s="363"/>
      <c r="M1946" s="367"/>
    </row>
    <row r="1947" customFormat="false" ht="12.75" hidden="false" customHeight="true" outlineLevel="0" collapsed="false">
      <c r="B1947" s="361"/>
      <c r="C1947" s="369"/>
      <c r="D1947" s="369"/>
      <c r="E1947" s="363"/>
      <c r="F1947" s="374"/>
      <c r="G1947" s="363"/>
      <c r="H1947" s="363"/>
      <c r="I1947" s="363"/>
      <c r="J1947" s="363"/>
      <c r="K1947" s="363"/>
      <c r="L1947" s="363"/>
      <c r="M1947" s="367"/>
    </row>
    <row r="1948" customFormat="false" ht="12.75" hidden="false" customHeight="true" outlineLevel="0" collapsed="false">
      <c r="B1948" s="361"/>
      <c r="C1948" s="369"/>
      <c r="D1948" s="369"/>
      <c r="E1948" s="363"/>
      <c r="F1948" s="374"/>
      <c r="G1948" s="363"/>
      <c r="H1948" s="363"/>
      <c r="I1948" s="363"/>
      <c r="J1948" s="363"/>
      <c r="K1948" s="363"/>
      <c r="L1948" s="363"/>
      <c r="M1948" s="367"/>
    </row>
    <row r="1949" customFormat="false" ht="12.75" hidden="false" customHeight="true" outlineLevel="0" collapsed="false">
      <c r="B1949" s="361"/>
      <c r="C1949" s="369"/>
      <c r="D1949" s="369"/>
      <c r="E1949" s="363"/>
      <c r="F1949" s="374"/>
      <c r="G1949" s="363"/>
      <c r="H1949" s="363"/>
      <c r="I1949" s="363"/>
      <c r="J1949" s="363"/>
      <c r="K1949" s="363"/>
      <c r="L1949" s="363"/>
      <c r="M1949" s="367"/>
    </row>
    <row r="1950" customFormat="false" ht="12.75" hidden="false" customHeight="true" outlineLevel="0" collapsed="false">
      <c r="B1950" s="361"/>
      <c r="C1950" s="369"/>
      <c r="D1950" s="369"/>
      <c r="E1950" s="363"/>
      <c r="F1950" s="374"/>
      <c r="G1950" s="363"/>
      <c r="H1950" s="363"/>
      <c r="I1950" s="363"/>
      <c r="J1950" s="363"/>
      <c r="K1950" s="363"/>
      <c r="L1950" s="363"/>
      <c r="M1950" s="367"/>
    </row>
    <row r="1951" customFormat="false" ht="12.75" hidden="false" customHeight="true" outlineLevel="0" collapsed="false">
      <c r="B1951" s="361"/>
      <c r="C1951" s="369"/>
      <c r="D1951" s="369"/>
      <c r="E1951" s="363"/>
      <c r="F1951" s="374"/>
      <c r="G1951" s="363"/>
      <c r="H1951" s="363"/>
      <c r="I1951" s="363"/>
      <c r="J1951" s="363"/>
      <c r="K1951" s="363"/>
      <c r="L1951" s="363"/>
      <c r="M1951" s="367"/>
    </row>
    <row r="1952" customFormat="false" ht="12.75" hidden="false" customHeight="true" outlineLevel="0" collapsed="false">
      <c r="B1952" s="361"/>
      <c r="C1952" s="369"/>
      <c r="D1952" s="369"/>
      <c r="E1952" s="363"/>
      <c r="F1952" s="374"/>
      <c r="G1952" s="363"/>
      <c r="H1952" s="363"/>
      <c r="I1952" s="363"/>
      <c r="J1952" s="363"/>
      <c r="K1952" s="363"/>
      <c r="L1952" s="363"/>
      <c r="M1952" s="367"/>
    </row>
    <row r="1953" customFormat="false" ht="12.75" hidden="false" customHeight="true" outlineLevel="0" collapsed="false">
      <c r="B1953" s="361"/>
      <c r="C1953" s="369"/>
      <c r="D1953" s="369"/>
      <c r="E1953" s="363"/>
      <c r="F1953" s="374"/>
      <c r="G1953" s="363"/>
      <c r="H1953" s="363"/>
      <c r="I1953" s="363"/>
      <c r="J1953" s="363"/>
      <c r="K1953" s="363"/>
      <c r="L1953" s="363"/>
      <c r="M1953" s="367"/>
    </row>
    <row r="1954" customFormat="false" ht="12.75" hidden="false" customHeight="true" outlineLevel="0" collapsed="false">
      <c r="B1954" s="361"/>
      <c r="C1954" s="369"/>
      <c r="D1954" s="369"/>
      <c r="E1954" s="363"/>
      <c r="F1954" s="374"/>
      <c r="G1954" s="363"/>
      <c r="H1954" s="363"/>
      <c r="I1954" s="363"/>
      <c r="J1954" s="363"/>
      <c r="K1954" s="363"/>
      <c r="L1954" s="363"/>
      <c r="M1954" s="367"/>
    </row>
    <row r="1955" customFormat="false" ht="12.75" hidden="false" customHeight="true" outlineLevel="0" collapsed="false">
      <c r="B1955" s="361"/>
      <c r="C1955" s="369"/>
      <c r="D1955" s="369"/>
      <c r="E1955" s="363"/>
      <c r="F1955" s="374"/>
      <c r="G1955" s="363"/>
      <c r="H1955" s="363"/>
      <c r="I1955" s="363"/>
      <c r="J1955" s="363"/>
      <c r="K1955" s="363"/>
      <c r="L1955" s="363"/>
      <c r="M1955" s="367"/>
    </row>
    <row r="1956" customFormat="false" ht="12.75" hidden="false" customHeight="true" outlineLevel="0" collapsed="false">
      <c r="B1956" s="361"/>
      <c r="C1956" s="369"/>
      <c r="D1956" s="369"/>
      <c r="E1956" s="363"/>
      <c r="F1956" s="374"/>
      <c r="G1956" s="363"/>
      <c r="H1956" s="363"/>
      <c r="I1956" s="363"/>
      <c r="J1956" s="363"/>
      <c r="K1956" s="363"/>
      <c r="L1956" s="363"/>
      <c r="M1956" s="367"/>
    </row>
    <row r="1957" customFormat="false" ht="12.75" hidden="false" customHeight="true" outlineLevel="0" collapsed="false">
      <c r="B1957" s="361"/>
      <c r="C1957" s="369"/>
      <c r="D1957" s="369"/>
      <c r="E1957" s="363"/>
      <c r="F1957" s="374"/>
      <c r="G1957" s="363"/>
      <c r="H1957" s="363"/>
      <c r="I1957" s="363"/>
      <c r="J1957" s="363"/>
      <c r="K1957" s="363"/>
      <c r="L1957" s="363"/>
      <c r="M1957" s="367"/>
    </row>
    <row r="1958" customFormat="false" ht="12.75" hidden="false" customHeight="true" outlineLevel="0" collapsed="false">
      <c r="B1958" s="361"/>
      <c r="C1958" s="369"/>
      <c r="D1958" s="369"/>
      <c r="E1958" s="363"/>
      <c r="F1958" s="374"/>
      <c r="G1958" s="363"/>
      <c r="H1958" s="363"/>
      <c r="I1958" s="363"/>
      <c r="J1958" s="363"/>
      <c r="K1958" s="363"/>
      <c r="L1958" s="363"/>
      <c r="M1958" s="367"/>
    </row>
    <row r="1959" customFormat="false" ht="12.75" hidden="false" customHeight="true" outlineLevel="0" collapsed="false">
      <c r="B1959" s="361"/>
      <c r="C1959" s="369"/>
      <c r="D1959" s="369"/>
      <c r="E1959" s="363"/>
      <c r="F1959" s="374"/>
      <c r="G1959" s="363"/>
      <c r="H1959" s="363"/>
      <c r="I1959" s="363"/>
      <c r="J1959" s="363"/>
      <c r="K1959" s="363"/>
      <c r="L1959" s="363"/>
      <c r="M1959" s="367"/>
    </row>
    <row r="1960" customFormat="false" ht="12.75" hidden="false" customHeight="true" outlineLevel="0" collapsed="false">
      <c r="B1960" s="361"/>
      <c r="C1960" s="369"/>
      <c r="D1960" s="369"/>
      <c r="E1960" s="363"/>
      <c r="F1960" s="374"/>
      <c r="G1960" s="363"/>
      <c r="H1960" s="363"/>
      <c r="I1960" s="363"/>
      <c r="J1960" s="363"/>
      <c r="K1960" s="363"/>
      <c r="L1960" s="363"/>
      <c r="M1960" s="367"/>
    </row>
    <row r="1961" customFormat="false" ht="12.75" hidden="false" customHeight="true" outlineLevel="0" collapsed="false">
      <c r="B1961" s="361"/>
      <c r="C1961" s="369"/>
      <c r="D1961" s="369"/>
      <c r="E1961" s="363"/>
      <c r="F1961" s="374"/>
      <c r="G1961" s="363"/>
      <c r="H1961" s="363"/>
      <c r="I1961" s="363"/>
      <c r="J1961" s="363"/>
      <c r="K1961" s="363"/>
      <c r="L1961" s="363"/>
      <c r="M1961" s="367"/>
    </row>
    <row r="1962" customFormat="false" ht="12.75" hidden="false" customHeight="true" outlineLevel="0" collapsed="false">
      <c r="B1962" s="361"/>
      <c r="C1962" s="369"/>
      <c r="D1962" s="369"/>
      <c r="E1962" s="363"/>
      <c r="F1962" s="374"/>
      <c r="G1962" s="363"/>
      <c r="H1962" s="363"/>
      <c r="I1962" s="363"/>
      <c r="J1962" s="363"/>
      <c r="K1962" s="363"/>
      <c r="L1962" s="363"/>
      <c r="M1962" s="367"/>
    </row>
    <row r="1963" customFormat="false" ht="12.75" hidden="false" customHeight="true" outlineLevel="0" collapsed="false">
      <c r="B1963" s="361"/>
      <c r="C1963" s="369"/>
      <c r="D1963" s="369"/>
      <c r="E1963" s="363"/>
      <c r="F1963" s="374"/>
      <c r="G1963" s="363"/>
      <c r="H1963" s="363"/>
      <c r="I1963" s="363"/>
      <c r="J1963" s="363"/>
      <c r="K1963" s="363"/>
      <c r="L1963" s="363"/>
      <c r="M1963" s="367"/>
    </row>
    <row r="1964" customFormat="false" ht="12.75" hidden="false" customHeight="true" outlineLevel="0" collapsed="false">
      <c r="B1964" s="361"/>
      <c r="C1964" s="369"/>
      <c r="D1964" s="369"/>
      <c r="E1964" s="363"/>
      <c r="F1964" s="374"/>
      <c r="G1964" s="363"/>
      <c r="H1964" s="363"/>
      <c r="I1964" s="363"/>
      <c r="J1964" s="363"/>
      <c r="K1964" s="363"/>
      <c r="L1964" s="363"/>
      <c r="M1964" s="367"/>
    </row>
    <row r="1965" customFormat="false" ht="12.75" hidden="false" customHeight="true" outlineLevel="0" collapsed="false">
      <c r="B1965" s="361"/>
      <c r="C1965" s="369"/>
      <c r="D1965" s="369"/>
      <c r="E1965" s="363"/>
      <c r="F1965" s="374"/>
      <c r="G1965" s="363"/>
      <c r="H1965" s="363"/>
      <c r="I1965" s="363"/>
      <c r="J1965" s="363"/>
      <c r="K1965" s="363"/>
      <c r="L1965" s="363"/>
      <c r="M1965" s="367"/>
    </row>
    <row r="1966" customFormat="false" ht="12.75" hidden="false" customHeight="true" outlineLevel="0" collapsed="false">
      <c r="B1966" s="361"/>
      <c r="C1966" s="369"/>
      <c r="D1966" s="369"/>
      <c r="E1966" s="363"/>
      <c r="F1966" s="374"/>
      <c r="G1966" s="363"/>
      <c r="H1966" s="363"/>
      <c r="I1966" s="363"/>
      <c r="J1966" s="363"/>
      <c r="K1966" s="363"/>
      <c r="L1966" s="363"/>
      <c r="M1966" s="367"/>
    </row>
    <row r="1967" customFormat="false" ht="12.75" hidden="false" customHeight="true" outlineLevel="0" collapsed="false">
      <c r="B1967" s="361"/>
      <c r="C1967" s="369"/>
      <c r="D1967" s="369"/>
      <c r="E1967" s="363"/>
      <c r="F1967" s="374"/>
      <c r="G1967" s="363"/>
      <c r="H1967" s="363"/>
      <c r="I1967" s="363"/>
      <c r="J1967" s="363"/>
      <c r="K1967" s="363"/>
      <c r="L1967" s="363"/>
      <c r="M1967" s="367"/>
    </row>
    <row r="1968" customFormat="false" ht="12.75" hidden="false" customHeight="true" outlineLevel="0" collapsed="false">
      <c r="B1968" s="361"/>
      <c r="C1968" s="369"/>
      <c r="D1968" s="369"/>
      <c r="E1968" s="363"/>
      <c r="F1968" s="374"/>
      <c r="G1968" s="363"/>
      <c r="H1968" s="363"/>
      <c r="I1968" s="363"/>
      <c r="J1968" s="363"/>
      <c r="K1968" s="363"/>
      <c r="L1968" s="363"/>
      <c r="M1968" s="367"/>
    </row>
    <row r="1969" customFormat="false" ht="12.75" hidden="false" customHeight="true" outlineLevel="0" collapsed="false">
      <c r="B1969" s="361"/>
      <c r="C1969" s="369"/>
      <c r="D1969" s="369"/>
      <c r="E1969" s="363"/>
      <c r="F1969" s="374"/>
      <c r="G1969" s="363"/>
      <c r="H1969" s="363"/>
      <c r="I1969" s="363"/>
      <c r="J1969" s="363"/>
      <c r="K1969" s="363"/>
      <c r="L1969" s="363"/>
      <c r="M1969" s="367"/>
    </row>
    <row r="1970" customFormat="false" ht="12.75" hidden="false" customHeight="true" outlineLevel="0" collapsed="false">
      <c r="B1970" s="361"/>
      <c r="C1970" s="369"/>
      <c r="D1970" s="369"/>
      <c r="E1970" s="363"/>
      <c r="F1970" s="374"/>
      <c r="G1970" s="363"/>
      <c r="H1970" s="363"/>
      <c r="I1970" s="363"/>
      <c r="J1970" s="363"/>
      <c r="K1970" s="363"/>
      <c r="L1970" s="363"/>
      <c r="M1970" s="367"/>
    </row>
    <row r="1971" customFormat="false" ht="12.75" hidden="false" customHeight="true" outlineLevel="0" collapsed="false">
      <c r="B1971" s="361"/>
      <c r="C1971" s="369"/>
      <c r="D1971" s="369"/>
      <c r="E1971" s="363"/>
      <c r="F1971" s="374"/>
      <c r="G1971" s="363"/>
      <c r="H1971" s="363"/>
      <c r="I1971" s="363"/>
      <c r="J1971" s="363"/>
      <c r="K1971" s="363"/>
      <c r="L1971" s="363"/>
      <c r="M1971" s="367"/>
    </row>
    <row r="1972" customFormat="false" ht="12.75" hidden="false" customHeight="true" outlineLevel="0" collapsed="false">
      <c r="B1972" s="361"/>
      <c r="C1972" s="369"/>
      <c r="D1972" s="369"/>
      <c r="E1972" s="363"/>
      <c r="F1972" s="374"/>
      <c r="G1972" s="363"/>
      <c r="H1972" s="363"/>
      <c r="I1972" s="363"/>
      <c r="J1972" s="363"/>
      <c r="K1972" s="363"/>
      <c r="L1972" s="363"/>
      <c r="M1972" s="367"/>
    </row>
    <row r="1973" customFormat="false" ht="12.75" hidden="false" customHeight="true" outlineLevel="0" collapsed="false">
      <c r="B1973" s="361"/>
      <c r="C1973" s="369"/>
      <c r="D1973" s="369"/>
      <c r="E1973" s="363"/>
      <c r="F1973" s="374"/>
      <c r="G1973" s="363"/>
      <c r="H1973" s="363"/>
      <c r="I1973" s="363"/>
      <c r="J1973" s="363"/>
      <c r="K1973" s="363"/>
      <c r="L1973" s="363"/>
      <c r="M1973" s="367"/>
    </row>
    <row r="1974" customFormat="false" ht="12.75" hidden="false" customHeight="true" outlineLevel="0" collapsed="false">
      <c r="B1974" s="361"/>
      <c r="C1974" s="369"/>
      <c r="D1974" s="369"/>
      <c r="E1974" s="363"/>
      <c r="F1974" s="374"/>
      <c r="G1974" s="363"/>
      <c r="H1974" s="363"/>
      <c r="I1974" s="363"/>
      <c r="J1974" s="363"/>
      <c r="K1974" s="363"/>
      <c r="L1974" s="363"/>
      <c r="M1974" s="367"/>
    </row>
    <row r="1975" customFormat="false" ht="12.75" hidden="false" customHeight="true" outlineLevel="0" collapsed="false">
      <c r="B1975" s="361"/>
      <c r="C1975" s="369"/>
      <c r="D1975" s="369"/>
      <c r="E1975" s="363"/>
      <c r="F1975" s="374"/>
      <c r="G1975" s="363"/>
      <c r="H1975" s="363"/>
      <c r="I1975" s="363"/>
      <c r="J1975" s="363"/>
      <c r="K1975" s="363"/>
      <c r="L1975" s="363"/>
      <c r="M1975" s="367"/>
    </row>
    <row r="1976" customFormat="false" ht="12.75" hidden="false" customHeight="true" outlineLevel="0" collapsed="false">
      <c r="B1976" s="361"/>
      <c r="C1976" s="369"/>
      <c r="D1976" s="369"/>
      <c r="E1976" s="363"/>
      <c r="F1976" s="374"/>
      <c r="G1976" s="363"/>
      <c r="H1976" s="363"/>
      <c r="I1976" s="363"/>
      <c r="J1976" s="363"/>
      <c r="K1976" s="363"/>
      <c r="L1976" s="363"/>
      <c r="M1976" s="367"/>
    </row>
    <row r="1977" customFormat="false" ht="12.75" hidden="false" customHeight="true" outlineLevel="0" collapsed="false">
      <c r="B1977" s="361"/>
      <c r="C1977" s="369"/>
      <c r="D1977" s="369"/>
      <c r="E1977" s="363"/>
      <c r="F1977" s="374"/>
      <c r="G1977" s="363"/>
      <c r="H1977" s="363"/>
      <c r="I1977" s="363"/>
      <c r="J1977" s="363"/>
      <c r="K1977" s="363"/>
      <c r="L1977" s="363"/>
      <c r="M1977" s="367"/>
    </row>
    <row r="1978" customFormat="false" ht="12.75" hidden="false" customHeight="true" outlineLevel="0" collapsed="false">
      <c r="B1978" s="368"/>
      <c r="C1978" s="369"/>
      <c r="D1978" s="369"/>
      <c r="E1978" s="370"/>
      <c r="F1978" s="375"/>
      <c r="G1978" s="370"/>
      <c r="H1978" s="370"/>
      <c r="I1978" s="370"/>
      <c r="J1978" s="370"/>
      <c r="K1978" s="370"/>
      <c r="L1978" s="370"/>
      <c r="M1978" s="384"/>
    </row>
    <row r="1979" customFormat="false" ht="12.75" hidden="false" customHeight="true" outlineLevel="0" collapsed="false">
      <c r="B1979" s="361"/>
      <c r="C1979" s="369"/>
      <c r="D1979" s="369"/>
      <c r="E1979" s="363"/>
      <c r="F1979" s="374"/>
      <c r="G1979" s="363"/>
      <c r="H1979" s="363"/>
      <c r="I1979" s="363"/>
      <c r="J1979" s="363"/>
      <c r="K1979" s="363"/>
      <c r="L1979" s="363"/>
      <c r="M1979" s="367"/>
    </row>
    <row r="1980" customFormat="false" ht="12.75" hidden="false" customHeight="true" outlineLevel="0" collapsed="false">
      <c r="B1980" s="361"/>
      <c r="C1980" s="369"/>
      <c r="D1980" s="369"/>
      <c r="E1980" s="363"/>
      <c r="F1980" s="374"/>
      <c r="G1980" s="363"/>
      <c r="H1980" s="363"/>
      <c r="I1980" s="363"/>
      <c r="J1980" s="363"/>
      <c r="K1980" s="363"/>
      <c r="L1980" s="363"/>
      <c r="M1980" s="367"/>
    </row>
    <row r="1981" customFormat="false" ht="12.75" hidden="false" customHeight="true" outlineLevel="0" collapsed="false">
      <c r="B1981" s="361"/>
      <c r="C1981" s="369"/>
      <c r="D1981" s="369"/>
      <c r="E1981" s="363"/>
      <c r="F1981" s="374"/>
      <c r="G1981" s="363"/>
      <c r="H1981" s="363"/>
      <c r="I1981" s="363"/>
      <c r="J1981" s="363"/>
      <c r="K1981" s="363"/>
      <c r="L1981" s="363"/>
      <c r="M1981" s="367"/>
    </row>
    <row r="1982" customFormat="false" ht="12.75" hidden="false" customHeight="true" outlineLevel="0" collapsed="false">
      <c r="B1982" s="361"/>
      <c r="C1982" s="369"/>
      <c r="D1982" s="369"/>
      <c r="E1982" s="363"/>
      <c r="F1982" s="374"/>
      <c r="G1982" s="363"/>
      <c r="H1982" s="363"/>
      <c r="I1982" s="363"/>
      <c r="J1982" s="363"/>
      <c r="K1982" s="363"/>
      <c r="L1982" s="363"/>
      <c r="M1982" s="367"/>
    </row>
    <row r="1983" customFormat="false" ht="12.75" hidden="false" customHeight="true" outlineLevel="0" collapsed="false">
      <c r="B1983" s="361"/>
      <c r="C1983" s="369"/>
      <c r="D1983" s="369"/>
      <c r="E1983" s="363"/>
      <c r="F1983" s="374"/>
      <c r="G1983" s="363"/>
      <c r="H1983" s="363"/>
      <c r="I1983" s="363"/>
      <c r="J1983" s="363"/>
      <c r="K1983" s="363"/>
      <c r="L1983" s="363"/>
      <c r="M1983" s="367"/>
    </row>
    <row r="1984" customFormat="false" ht="12.75" hidden="false" customHeight="true" outlineLevel="0" collapsed="false">
      <c r="B1984" s="361"/>
      <c r="C1984" s="369"/>
      <c r="D1984" s="369"/>
      <c r="E1984" s="363"/>
      <c r="F1984" s="374"/>
      <c r="G1984" s="363"/>
      <c r="H1984" s="363"/>
      <c r="I1984" s="363"/>
      <c r="J1984" s="363"/>
      <c r="K1984" s="363"/>
      <c r="L1984" s="363"/>
      <c r="M1984" s="367"/>
    </row>
    <row r="1985" customFormat="false" ht="12.75" hidden="false" customHeight="true" outlineLevel="0" collapsed="false">
      <c r="B1985" s="361"/>
      <c r="C1985" s="369"/>
      <c r="D1985" s="369"/>
      <c r="E1985" s="363"/>
      <c r="F1985" s="374"/>
      <c r="G1985" s="363"/>
      <c r="H1985" s="363"/>
      <c r="I1985" s="363"/>
      <c r="J1985" s="363"/>
      <c r="K1985" s="363"/>
      <c r="L1985" s="363"/>
      <c r="M1985" s="367"/>
    </row>
    <row r="1986" customFormat="false" ht="12.75" hidden="false" customHeight="true" outlineLevel="0" collapsed="false">
      <c r="B1986" s="361"/>
      <c r="C1986" s="369"/>
      <c r="D1986" s="369"/>
      <c r="E1986" s="363"/>
      <c r="F1986" s="374"/>
      <c r="G1986" s="363"/>
      <c r="H1986" s="363"/>
      <c r="I1986" s="363"/>
      <c r="J1986" s="363"/>
      <c r="K1986" s="363"/>
      <c r="L1986" s="363"/>
      <c r="M1986" s="367"/>
    </row>
    <row r="1987" customFormat="false" ht="12.75" hidden="false" customHeight="true" outlineLevel="0" collapsed="false">
      <c r="B1987" s="361"/>
      <c r="C1987" s="369"/>
      <c r="D1987" s="369"/>
      <c r="E1987" s="363"/>
      <c r="F1987" s="374"/>
      <c r="G1987" s="363"/>
      <c r="H1987" s="363"/>
      <c r="I1987" s="363"/>
      <c r="J1987" s="363"/>
      <c r="K1987" s="363"/>
      <c r="L1987" s="363"/>
      <c r="M1987" s="367"/>
    </row>
    <row r="1988" customFormat="false" ht="12.75" hidden="false" customHeight="true" outlineLevel="0" collapsed="false">
      <c r="B1988" s="361"/>
      <c r="C1988" s="369"/>
      <c r="D1988" s="369"/>
      <c r="E1988" s="363"/>
      <c r="F1988" s="374"/>
      <c r="G1988" s="363"/>
      <c r="H1988" s="363"/>
      <c r="I1988" s="363"/>
      <c r="J1988" s="363"/>
      <c r="K1988" s="363"/>
      <c r="L1988" s="363"/>
      <c r="M1988" s="367"/>
    </row>
    <row r="1989" customFormat="false" ht="12.75" hidden="false" customHeight="true" outlineLevel="0" collapsed="false">
      <c r="B1989" s="361"/>
      <c r="C1989" s="369"/>
      <c r="D1989" s="369"/>
      <c r="E1989" s="363"/>
      <c r="F1989" s="374"/>
      <c r="G1989" s="363"/>
      <c r="H1989" s="363"/>
      <c r="I1989" s="363"/>
      <c r="J1989" s="363"/>
      <c r="K1989" s="363"/>
      <c r="L1989" s="363"/>
      <c r="M1989" s="367"/>
    </row>
    <row r="1990" customFormat="false" ht="12.75" hidden="false" customHeight="true" outlineLevel="0" collapsed="false">
      <c r="B1990" s="361"/>
      <c r="C1990" s="369"/>
      <c r="D1990" s="369"/>
      <c r="E1990" s="363"/>
      <c r="F1990" s="374"/>
      <c r="G1990" s="363"/>
      <c r="H1990" s="363"/>
      <c r="I1990" s="363"/>
      <c r="J1990" s="363"/>
      <c r="K1990" s="363"/>
      <c r="L1990" s="363"/>
      <c r="M1990" s="367"/>
    </row>
    <row r="1991" customFormat="false" ht="12.75" hidden="false" customHeight="true" outlineLevel="0" collapsed="false">
      <c r="B1991" s="361"/>
      <c r="C1991" s="369"/>
      <c r="D1991" s="369"/>
      <c r="E1991" s="363"/>
      <c r="F1991" s="374"/>
      <c r="G1991" s="363"/>
      <c r="H1991" s="363"/>
      <c r="I1991" s="363"/>
      <c r="J1991" s="363"/>
      <c r="K1991" s="363"/>
      <c r="L1991" s="363"/>
      <c r="M1991" s="367"/>
    </row>
    <row r="1992" customFormat="false" ht="12.75" hidden="false" customHeight="true" outlineLevel="0" collapsed="false">
      <c r="B1992" s="361"/>
      <c r="C1992" s="369"/>
      <c r="D1992" s="369"/>
      <c r="E1992" s="363"/>
      <c r="F1992" s="374"/>
      <c r="G1992" s="363"/>
      <c r="H1992" s="363"/>
      <c r="I1992" s="363"/>
      <c r="J1992" s="363"/>
      <c r="K1992" s="363"/>
      <c r="L1992" s="363"/>
      <c r="M1992" s="367"/>
    </row>
    <row r="1993" customFormat="false" ht="12.75" hidden="false" customHeight="true" outlineLevel="0" collapsed="false">
      <c r="B1993" s="361"/>
      <c r="C1993" s="369"/>
      <c r="D1993" s="369"/>
      <c r="E1993" s="363"/>
      <c r="F1993" s="374"/>
      <c r="G1993" s="363"/>
      <c r="H1993" s="363"/>
      <c r="I1993" s="363"/>
      <c r="J1993" s="363"/>
      <c r="K1993" s="363"/>
      <c r="L1993" s="363"/>
      <c r="M1993" s="367"/>
    </row>
    <row r="1994" customFormat="false" ht="12.75" hidden="false" customHeight="true" outlineLevel="0" collapsed="false">
      <c r="B1994" s="361"/>
      <c r="C1994" s="369"/>
      <c r="D1994" s="369"/>
      <c r="E1994" s="363"/>
      <c r="F1994" s="374"/>
      <c r="G1994" s="363"/>
      <c r="H1994" s="363"/>
      <c r="I1994" s="363"/>
      <c r="J1994" s="363"/>
      <c r="K1994" s="363"/>
      <c r="L1994" s="363"/>
      <c r="M1994" s="367"/>
    </row>
    <row r="1995" customFormat="false" ht="12.75" hidden="false" customHeight="true" outlineLevel="0" collapsed="false">
      <c r="B1995" s="361"/>
      <c r="C1995" s="369"/>
      <c r="D1995" s="369"/>
      <c r="E1995" s="363"/>
      <c r="F1995" s="374"/>
      <c r="G1995" s="363"/>
      <c r="H1995" s="363"/>
      <c r="I1995" s="363"/>
      <c r="J1995" s="363"/>
      <c r="K1995" s="363"/>
      <c r="L1995" s="363"/>
      <c r="M1995" s="367"/>
    </row>
    <row r="1996" customFormat="false" ht="12.75" hidden="false" customHeight="true" outlineLevel="0" collapsed="false">
      <c r="B1996" s="361"/>
      <c r="C1996" s="369"/>
      <c r="D1996" s="369"/>
      <c r="E1996" s="363"/>
      <c r="F1996" s="374"/>
      <c r="G1996" s="363"/>
      <c r="H1996" s="363"/>
      <c r="I1996" s="363"/>
      <c r="J1996" s="363"/>
      <c r="K1996" s="363"/>
      <c r="L1996" s="363"/>
      <c r="M1996" s="367"/>
    </row>
    <row r="1997" customFormat="false" ht="12.75" hidden="false" customHeight="true" outlineLevel="0" collapsed="false">
      <c r="B1997" s="361"/>
      <c r="C1997" s="369"/>
      <c r="D1997" s="369"/>
      <c r="E1997" s="363"/>
      <c r="F1997" s="374"/>
      <c r="G1997" s="363"/>
      <c r="H1997" s="363"/>
      <c r="I1997" s="363"/>
      <c r="J1997" s="363"/>
      <c r="K1997" s="363"/>
      <c r="L1997" s="363"/>
      <c r="M1997" s="367"/>
    </row>
    <row r="1998" customFormat="false" ht="12.75" hidden="false" customHeight="true" outlineLevel="0" collapsed="false">
      <c r="B1998" s="368"/>
      <c r="C1998" s="369"/>
      <c r="D1998" s="369"/>
      <c r="E1998" s="370"/>
      <c r="F1998" s="375"/>
      <c r="G1998" s="370"/>
      <c r="H1998" s="370"/>
      <c r="I1998" s="370"/>
      <c r="J1998" s="370"/>
      <c r="K1998" s="370"/>
      <c r="L1998" s="370"/>
      <c r="M1998" s="384"/>
    </row>
    <row r="1999" customFormat="false" ht="12.75" hidden="false" customHeight="true" outlineLevel="0" collapsed="false">
      <c r="B1999" s="361"/>
      <c r="C1999" s="369"/>
      <c r="D1999" s="369"/>
      <c r="E1999" s="363"/>
      <c r="F1999" s="374"/>
      <c r="G1999" s="363"/>
      <c r="H1999" s="363"/>
      <c r="I1999" s="363"/>
      <c r="J1999" s="363"/>
      <c r="K1999" s="363"/>
      <c r="L1999" s="363"/>
      <c r="M1999" s="367"/>
    </row>
    <row r="2000" customFormat="false" ht="12.75" hidden="false" customHeight="true" outlineLevel="0" collapsed="false">
      <c r="B2000" s="361"/>
      <c r="C2000" s="369"/>
      <c r="D2000" s="369"/>
      <c r="E2000" s="363"/>
      <c r="F2000" s="374"/>
      <c r="G2000" s="363"/>
      <c r="H2000" s="363"/>
      <c r="I2000" s="363"/>
      <c r="J2000" s="363"/>
      <c r="K2000" s="363"/>
      <c r="L2000" s="363"/>
      <c r="M2000" s="367"/>
    </row>
    <row r="2001" customFormat="false" ht="12.75" hidden="false" customHeight="true" outlineLevel="0" collapsed="false">
      <c r="B2001" s="361"/>
      <c r="C2001" s="369"/>
      <c r="D2001" s="369"/>
      <c r="E2001" s="363"/>
      <c r="F2001" s="374"/>
      <c r="G2001" s="363"/>
      <c r="H2001" s="363"/>
      <c r="I2001" s="363"/>
      <c r="J2001" s="363"/>
      <c r="K2001" s="363"/>
      <c r="L2001" s="363"/>
      <c r="M2001" s="367"/>
    </row>
    <row r="2002" customFormat="false" ht="12.75" hidden="false" customHeight="true" outlineLevel="0" collapsed="false">
      <c r="B2002" s="361"/>
      <c r="C2002" s="369"/>
      <c r="D2002" s="369"/>
      <c r="E2002" s="363"/>
      <c r="F2002" s="374"/>
      <c r="G2002" s="363"/>
      <c r="H2002" s="363"/>
      <c r="I2002" s="363"/>
      <c r="J2002" s="363"/>
      <c r="K2002" s="363"/>
      <c r="L2002" s="363"/>
      <c r="M2002" s="367"/>
    </row>
    <row r="2003" customFormat="false" ht="12.75" hidden="false" customHeight="true" outlineLevel="0" collapsed="false">
      <c r="B2003" s="361"/>
      <c r="C2003" s="369"/>
      <c r="D2003" s="369"/>
      <c r="E2003" s="363"/>
      <c r="F2003" s="374"/>
      <c r="G2003" s="363"/>
      <c r="H2003" s="363"/>
      <c r="I2003" s="363"/>
      <c r="J2003" s="363"/>
      <c r="K2003" s="363"/>
      <c r="L2003" s="363"/>
      <c r="M2003" s="367"/>
    </row>
    <row r="2004" customFormat="false" ht="12.75" hidden="false" customHeight="true" outlineLevel="0" collapsed="false">
      <c r="B2004" s="361"/>
      <c r="C2004" s="369"/>
      <c r="D2004" s="369"/>
      <c r="E2004" s="363"/>
      <c r="F2004" s="374"/>
      <c r="G2004" s="363"/>
      <c r="H2004" s="363"/>
      <c r="I2004" s="363"/>
      <c r="J2004" s="363"/>
      <c r="K2004" s="363"/>
      <c r="L2004" s="363"/>
      <c r="M2004" s="367"/>
    </row>
    <row r="2005" customFormat="false" ht="12.75" hidden="false" customHeight="true" outlineLevel="0" collapsed="false">
      <c r="B2005" s="361"/>
      <c r="C2005" s="369"/>
      <c r="D2005" s="369"/>
      <c r="E2005" s="363"/>
      <c r="F2005" s="374"/>
      <c r="G2005" s="363"/>
      <c r="H2005" s="363"/>
      <c r="I2005" s="363"/>
      <c r="J2005" s="363"/>
      <c r="K2005" s="363"/>
      <c r="L2005" s="363"/>
      <c r="M2005" s="367"/>
    </row>
    <row r="2006" customFormat="false" ht="12.75" hidden="false" customHeight="true" outlineLevel="0" collapsed="false">
      <c r="B2006" s="361"/>
      <c r="C2006" s="369"/>
      <c r="D2006" s="369"/>
      <c r="E2006" s="363"/>
      <c r="F2006" s="374"/>
      <c r="G2006" s="363"/>
      <c r="H2006" s="363"/>
      <c r="I2006" s="363"/>
      <c r="J2006" s="363"/>
      <c r="K2006" s="363"/>
      <c r="L2006" s="363"/>
      <c r="M2006" s="367"/>
    </row>
    <row r="2007" customFormat="false" ht="12.75" hidden="false" customHeight="true" outlineLevel="0" collapsed="false">
      <c r="B2007" s="361"/>
      <c r="C2007" s="369"/>
      <c r="D2007" s="369"/>
      <c r="E2007" s="363"/>
      <c r="F2007" s="374"/>
      <c r="G2007" s="363"/>
      <c r="H2007" s="363"/>
      <c r="I2007" s="363"/>
      <c r="J2007" s="363"/>
      <c r="K2007" s="363"/>
      <c r="L2007" s="363"/>
      <c r="M2007" s="367"/>
    </row>
    <row r="2008" customFormat="false" ht="12.75" hidden="false" customHeight="true" outlineLevel="0" collapsed="false">
      <c r="B2008" s="361"/>
      <c r="C2008" s="369"/>
      <c r="D2008" s="369"/>
      <c r="E2008" s="363"/>
      <c r="F2008" s="374"/>
      <c r="G2008" s="363"/>
      <c r="H2008" s="363"/>
      <c r="I2008" s="363"/>
      <c r="J2008" s="363"/>
      <c r="K2008" s="363"/>
      <c r="L2008" s="363"/>
      <c r="M2008" s="367"/>
    </row>
    <row r="2009" customFormat="false" ht="12.75" hidden="false" customHeight="true" outlineLevel="0" collapsed="false">
      <c r="B2009" s="361"/>
      <c r="C2009" s="369"/>
      <c r="D2009" s="369"/>
      <c r="E2009" s="363"/>
      <c r="F2009" s="374"/>
      <c r="G2009" s="363"/>
      <c r="H2009" s="363"/>
      <c r="I2009" s="363"/>
      <c r="J2009" s="363"/>
      <c r="K2009" s="363"/>
      <c r="L2009" s="363"/>
      <c r="M2009" s="367"/>
    </row>
    <row r="2010" customFormat="false" ht="12.75" hidden="false" customHeight="true" outlineLevel="0" collapsed="false">
      <c r="B2010" s="361"/>
      <c r="C2010" s="369"/>
      <c r="D2010" s="369"/>
      <c r="E2010" s="363"/>
      <c r="F2010" s="374"/>
      <c r="G2010" s="363"/>
      <c r="H2010" s="363"/>
      <c r="I2010" s="363"/>
      <c r="J2010" s="363"/>
      <c r="K2010" s="363"/>
      <c r="L2010" s="363"/>
      <c r="M2010" s="367"/>
    </row>
    <row r="2011" customFormat="false" ht="12.75" hidden="false" customHeight="true" outlineLevel="0" collapsed="false">
      <c r="B2011" s="361"/>
      <c r="C2011" s="369"/>
      <c r="D2011" s="369"/>
      <c r="E2011" s="363"/>
      <c r="F2011" s="374"/>
      <c r="G2011" s="363"/>
      <c r="H2011" s="363"/>
      <c r="I2011" s="363"/>
      <c r="J2011" s="363"/>
      <c r="K2011" s="363"/>
      <c r="L2011" s="363"/>
      <c r="M2011" s="367"/>
    </row>
    <row r="2012" customFormat="false" ht="12.75" hidden="false" customHeight="true" outlineLevel="0" collapsed="false">
      <c r="B2012" s="361"/>
      <c r="C2012" s="369"/>
      <c r="D2012" s="369"/>
      <c r="E2012" s="363"/>
      <c r="F2012" s="374"/>
      <c r="G2012" s="363"/>
      <c r="H2012" s="363"/>
      <c r="I2012" s="363"/>
      <c r="J2012" s="363"/>
      <c r="K2012" s="363"/>
      <c r="L2012" s="363"/>
      <c r="M2012" s="367"/>
    </row>
    <row r="2013" customFormat="false" ht="12.75" hidden="false" customHeight="true" outlineLevel="0" collapsed="false">
      <c r="B2013" s="361"/>
      <c r="C2013" s="369"/>
      <c r="D2013" s="369"/>
      <c r="E2013" s="363"/>
      <c r="F2013" s="374"/>
      <c r="G2013" s="363"/>
      <c r="H2013" s="363"/>
      <c r="I2013" s="363"/>
      <c r="J2013" s="363"/>
      <c r="K2013" s="363"/>
      <c r="L2013" s="363"/>
      <c r="M2013" s="367"/>
    </row>
    <row r="2014" customFormat="false" ht="12.75" hidden="false" customHeight="true" outlineLevel="0" collapsed="false">
      <c r="B2014" s="361"/>
      <c r="C2014" s="369"/>
      <c r="D2014" s="369"/>
      <c r="E2014" s="363"/>
      <c r="F2014" s="374"/>
      <c r="G2014" s="363"/>
      <c r="H2014" s="363"/>
      <c r="I2014" s="363"/>
      <c r="J2014" s="363"/>
      <c r="K2014" s="363"/>
      <c r="L2014" s="363"/>
      <c r="M2014" s="367"/>
    </row>
    <row r="2015" customFormat="false" ht="12.75" hidden="false" customHeight="true" outlineLevel="0" collapsed="false">
      <c r="B2015" s="361"/>
      <c r="C2015" s="369"/>
      <c r="D2015" s="369"/>
      <c r="E2015" s="363"/>
      <c r="F2015" s="374"/>
      <c r="G2015" s="363"/>
      <c r="H2015" s="363"/>
      <c r="I2015" s="363"/>
      <c r="J2015" s="363"/>
      <c r="K2015" s="363"/>
      <c r="L2015" s="363"/>
      <c r="M2015" s="367"/>
    </row>
    <row r="2016" customFormat="false" ht="12.75" hidden="false" customHeight="true" outlineLevel="0" collapsed="false">
      <c r="B2016" s="361"/>
      <c r="C2016" s="369"/>
      <c r="D2016" s="369"/>
      <c r="E2016" s="363"/>
      <c r="F2016" s="374"/>
      <c r="G2016" s="363"/>
      <c r="H2016" s="363"/>
      <c r="I2016" s="363"/>
      <c r="J2016" s="363"/>
      <c r="K2016" s="363"/>
      <c r="L2016" s="363"/>
      <c r="M2016" s="367"/>
    </row>
    <row r="2017" customFormat="false" ht="12.75" hidden="false" customHeight="true" outlineLevel="0" collapsed="false">
      <c r="B2017" s="361"/>
      <c r="C2017" s="369"/>
      <c r="D2017" s="369"/>
      <c r="E2017" s="363"/>
      <c r="F2017" s="374"/>
      <c r="G2017" s="363"/>
      <c r="H2017" s="363"/>
      <c r="I2017" s="363"/>
      <c r="J2017" s="363"/>
      <c r="K2017" s="363"/>
      <c r="L2017" s="363"/>
      <c r="M2017" s="367"/>
    </row>
    <row r="2018" customFormat="false" ht="12.75" hidden="false" customHeight="true" outlineLevel="0" collapsed="false">
      <c r="B2018" s="361"/>
      <c r="C2018" s="369"/>
      <c r="D2018" s="369"/>
      <c r="E2018" s="363"/>
      <c r="F2018" s="374"/>
      <c r="G2018" s="363"/>
      <c r="H2018" s="363"/>
      <c r="I2018" s="363"/>
      <c r="J2018" s="363"/>
      <c r="K2018" s="363"/>
      <c r="L2018" s="363"/>
      <c r="M2018" s="367"/>
    </row>
    <row r="2019" customFormat="false" ht="12.75" hidden="false" customHeight="true" outlineLevel="0" collapsed="false">
      <c r="B2019" s="361"/>
      <c r="C2019" s="369"/>
      <c r="D2019" s="369"/>
      <c r="E2019" s="363"/>
      <c r="F2019" s="374"/>
      <c r="G2019" s="363"/>
      <c r="H2019" s="363"/>
      <c r="I2019" s="363"/>
      <c r="J2019" s="363"/>
      <c r="K2019" s="363"/>
      <c r="L2019" s="363"/>
      <c r="M2019" s="367"/>
    </row>
    <row r="2020" customFormat="false" ht="12.75" hidden="false" customHeight="true" outlineLevel="0" collapsed="false">
      <c r="B2020" s="361"/>
      <c r="C2020" s="369"/>
      <c r="D2020" s="369"/>
      <c r="E2020" s="363"/>
      <c r="F2020" s="374"/>
      <c r="G2020" s="363"/>
      <c r="H2020" s="363"/>
      <c r="I2020" s="363"/>
      <c r="J2020" s="363"/>
      <c r="K2020" s="363"/>
      <c r="L2020" s="363"/>
      <c r="M2020" s="367"/>
    </row>
    <row r="2021" customFormat="false" ht="12.75" hidden="false" customHeight="true" outlineLevel="0" collapsed="false">
      <c r="B2021" s="361"/>
      <c r="C2021" s="369"/>
      <c r="D2021" s="369"/>
      <c r="E2021" s="363"/>
      <c r="F2021" s="374"/>
      <c r="G2021" s="363"/>
      <c r="H2021" s="363"/>
      <c r="I2021" s="363"/>
      <c r="J2021" s="363"/>
      <c r="K2021" s="363"/>
      <c r="L2021" s="363"/>
      <c r="M2021" s="367"/>
    </row>
    <row r="2022" customFormat="false" ht="12.75" hidden="false" customHeight="true" outlineLevel="0" collapsed="false">
      <c r="B2022" s="368"/>
      <c r="C2022" s="369"/>
      <c r="D2022" s="369"/>
      <c r="E2022" s="370"/>
      <c r="F2022" s="375"/>
      <c r="G2022" s="370"/>
      <c r="H2022" s="370"/>
      <c r="I2022" s="370"/>
      <c r="J2022" s="370"/>
      <c r="K2022" s="370"/>
      <c r="L2022" s="370"/>
      <c r="M2022" s="384"/>
    </row>
    <row r="2023" customFormat="false" ht="12.75" hidden="false" customHeight="true" outlineLevel="0" collapsed="false">
      <c r="B2023" s="361"/>
      <c r="C2023" s="369"/>
      <c r="D2023" s="369"/>
      <c r="E2023" s="363"/>
      <c r="F2023" s="374"/>
      <c r="G2023" s="363"/>
      <c r="H2023" s="363"/>
      <c r="I2023" s="363"/>
      <c r="J2023" s="363"/>
      <c r="K2023" s="363"/>
      <c r="L2023" s="363"/>
      <c r="M2023" s="367"/>
    </row>
    <row r="2024" customFormat="false" ht="12.75" hidden="false" customHeight="true" outlineLevel="0" collapsed="false">
      <c r="B2024" s="361"/>
      <c r="C2024" s="369"/>
      <c r="D2024" s="369"/>
      <c r="E2024" s="363"/>
      <c r="F2024" s="374"/>
      <c r="G2024" s="363"/>
      <c r="H2024" s="363"/>
      <c r="I2024" s="363"/>
      <c r="J2024" s="363"/>
      <c r="K2024" s="363"/>
      <c r="L2024" s="363"/>
      <c r="M2024" s="367"/>
    </row>
    <row r="2025" customFormat="false" ht="12.75" hidden="false" customHeight="true" outlineLevel="0" collapsed="false">
      <c r="B2025" s="361"/>
      <c r="C2025" s="369"/>
      <c r="D2025" s="369"/>
      <c r="E2025" s="363"/>
      <c r="F2025" s="374"/>
      <c r="G2025" s="363"/>
      <c r="H2025" s="363"/>
      <c r="I2025" s="363"/>
      <c r="J2025" s="363"/>
      <c r="K2025" s="363"/>
      <c r="L2025" s="363"/>
      <c r="M2025" s="367"/>
    </row>
    <row r="2026" customFormat="false" ht="12.75" hidden="false" customHeight="true" outlineLevel="0" collapsed="false">
      <c r="B2026" s="361"/>
      <c r="C2026" s="369"/>
      <c r="D2026" s="369"/>
      <c r="E2026" s="363"/>
      <c r="F2026" s="374"/>
      <c r="G2026" s="363"/>
      <c r="H2026" s="363"/>
      <c r="I2026" s="363"/>
      <c r="J2026" s="363"/>
      <c r="K2026" s="363"/>
      <c r="L2026" s="363"/>
      <c r="M2026" s="367"/>
    </row>
    <row r="2027" customFormat="false" ht="12.75" hidden="false" customHeight="true" outlineLevel="0" collapsed="false">
      <c r="B2027" s="361"/>
      <c r="C2027" s="369"/>
      <c r="D2027" s="369"/>
      <c r="E2027" s="363"/>
      <c r="F2027" s="374"/>
      <c r="G2027" s="363"/>
      <c r="H2027" s="363"/>
      <c r="I2027" s="363"/>
      <c r="J2027" s="363"/>
      <c r="K2027" s="363"/>
      <c r="L2027" s="363"/>
      <c r="M2027" s="367"/>
    </row>
    <row r="2028" customFormat="false" ht="12.75" hidden="false" customHeight="true" outlineLevel="0" collapsed="false">
      <c r="B2028" s="361"/>
      <c r="C2028" s="369"/>
      <c r="D2028" s="369"/>
      <c r="E2028" s="363"/>
      <c r="F2028" s="374"/>
      <c r="G2028" s="363"/>
      <c r="H2028" s="363"/>
      <c r="I2028" s="363"/>
      <c r="J2028" s="363"/>
      <c r="K2028" s="363"/>
      <c r="L2028" s="363"/>
      <c r="M2028" s="367"/>
    </row>
    <row r="2029" customFormat="false" ht="12.75" hidden="false" customHeight="true" outlineLevel="0" collapsed="false">
      <c r="B2029" s="361"/>
      <c r="C2029" s="369"/>
      <c r="D2029" s="369"/>
      <c r="E2029" s="363"/>
      <c r="F2029" s="374"/>
      <c r="G2029" s="363"/>
      <c r="H2029" s="363"/>
      <c r="I2029" s="363"/>
      <c r="J2029" s="363"/>
      <c r="K2029" s="363"/>
      <c r="L2029" s="363"/>
      <c r="M2029" s="367"/>
    </row>
    <row r="2030" customFormat="false" ht="12.75" hidden="false" customHeight="true" outlineLevel="0" collapsed="false">
      <c r="B2030" s="361"/>
      <c r="C2030" s="369"/>
      <c r="D2030" s="369"/>
      <c r="E2030" s="363"/>
      <c r="F2030" s="374"/>
      <c r="G2030" s="363"/>
      <c r="H2030" s="363"/>
      <c r="I2030" s="363"/>
      <c r="J2030" s="363"/>
      <c r="K2030" s="363"/>
      <c r="L2030" s="363"/>
      <c r="M2030" s="367"/>
    </row>
    <row r="2031" customFormat="false" ht="12.75" hidden="false" customHeight="true" outlineLevel="0" collapsed="false">
      <c r="B2031" s="361"/>
      <c r="C2031" s="369"/>
      <c r="D2031" s="369"/>
      <c r="E2031" s="363"/>
      <c r="F2031" s="374"/>
      <c r="G2031" s="363"/>
      <c r="H2031" s="363"/>
      <c r="I2031" s="363"/>
      <c r="J2031" s="363"/>
      <c r="K2031" s="363"/>
      <c r="L2031" s="363"/>
      <c r="M2031" s="367"/>
    </row>
    <row r="2032" customFormat="false" ht="12.75" hidden="false" customHeight="true" outlineLevel="0" collapsed="false">
      <c r="B2032" s="361"/>
      <c r="C2032" s="369"/>
      <c r="D2032" s="369"/>
      <c r="E2032" s="363"/>
      <c r="F2032" s="374"/>
      <c r="G2032" s="363"/>
      <c r="H2032" s="363"/>
      <c r="I2032" s="363"/>
      <c r="J2032" s="363"/>
      <c r="K2032" s="363"/>
      <c r="L2032" s="363"/>
      <c r="M2032" s="367"/>
    </row>
    <row r="2033" customFormat="false" ht="12.75" hidden="false" customHeight="true" outlineLevel="0" collapsed="false">
      <c r="B2033" s="361"/>
      <c r="C2033" s="369"/>
      <c r="D2033" s="369"/>
      <c r="E2033" s="363"/>
      <c r="F2033" s="374"/>
      <c r="G2033" s="363"/>
      <c r="H2033" s="363"/>
      <c r="I2033" s="363"/>
      <c r="J2033" s="363"/>
      <c r="K2033" s="363"/>
      <c r="L2033" s="363"/>
      <c r="M2033" s="367"/>
    </row>
    <row r="2034" customFormat="false" ht="12.75" hidden="false" customHeight="true" outlineLevel="0" collapsed="false">
      <c r="B2034" s="361"/>
      <c r="C2034" s="369"/>
      <c r="D2034" s="369"/>
      <c r="E2034" s="363"/>
      <c r="F2034" s="374"/>
      <c r="G2034" s="363"/>
      <c r="H2034" s="363"/>
      <c r="I2034" s="363"/>
      <c r="J2034" s="363"/>
      <c r="K2034" s="363"/>
      <c r="L2034" s="363"/>
      <c r="M2034" s="367"/>
    </row>
    <row r="2035" customFormat="false" ht="12.75" hidden="false" customHeight="true" outlineLevel="0" collapsed="false">
      <c r="B2035" s="361"/>
      <c r="C2035" s="369"/>
      <c r="D2035" s="369"/>
      <c r="E2035" s="363"/>
      <c r="F2035" s="374"/>
      <c r="G2035" s="363"/>
      <c r="H2035" s="363"/>
      <c r="I2035" s="363"/>
      <c r="J2035" s="363"/>
      <c r="K2035" s="363"/>
      <c r="L2035" s="363"/>
      <c r="M2035" s="367"/>
    </row>
    <row r="2036" customFormat="false" ht="12.75" hidden="false" customHeight="true" outlineLevel="0" collapsed="false">
      <c r="B2036" s="361"/>
      <c r="C2036" s="369"/>
      <c r="D2036" s="369"/>
      <c r="E2036" s="363"/>
      <c r="F2036" s="374"/>
      <c r="G2036" s="363"/>
      <c r="H2036" s="363"/>
      <c r="I2036" s="363"/>
      <c r="J2036" s="363"/>
      <c r="K2036" s="363"/>
      <c r="L2036" s="363"/>
      <c r="M2036" s="367"/>
    </row>
    <row r="2037" customFormat="false" ht="12.75" hidden="false" customHeight="true" outlineLevel="0" collapsed="false">
      <c r="B2037" s="361"/>
      <c r="C2037" s="369"/>
      <c r="D2037" s="369"/>
      <c r="E2037" s="363"/>
      <c r="F2037" s="374"/>
      <c r="G2037" s="363"/>
      <c r="H2037" s="363"/>
      <c r="I2037" s="363"/>
      <c r="J2037" s="363"/>
      <c r="K2037" s="363"/>
      <c r="L2037" s="363"/>
      <c r="M2037" s="367"/>
    </row>
    <row r="2038" customFormat="false" ht="12.75" hidden="false" customHeight="true" outlineLevel="0" collapsed="false">
      <c r="B2038" s="361"/>
      <c r="C2038" s="369"/>
      <c r="D2038" s="369"/>
      <c r="E2038" s="363"/>
      <c r="F2038" s="374"/>
      <c r="G2038" s="363"/>
      <c r="H2038" s="363"/>
      <c r="I2038" s="363"/>
      <c r="J2038" s="363"/>
      <c r="K2038" s="363"/>
      <c r="L2038" s="363"/>
      <c r="M2038" s="367"/>
    </row>
    <row r="2039" customFormat="false" ht="12.75" hidden="false" customHeight="true" outlineLevel="0" collapsed="false">
      <c r="B2039" s="361"/>
      <c r="C2039" s="369"/>
      <c r="D2039" s="369"/>
      <c r="E2039" s="363"/>
      <c r="F2039" s="374"/>
      <c r="G2039" s="363"/>
      <c r="H2039" s="363"/>
      <c r="I2039" s="363"/>
      <c r="J2039" s="363"/>
      <c r="K2039" s="363"/>
      <c r="L2039" s="363"/>
      <c r="M2039" s="367"/>
    </row>
    <row r="2040" customFormat="false" ht="12.75" hidden="false" customHeight="true" outlineLevel="0" collapsed="false">
      <c r="B2040" s="361"/>
      <c r="C2040" s="369"/>
      <c r="D2040" s="369"/>
      <c r="E2040" s="363"/>
      <c r="F2040" s="374"/>
      <c r="G2040" s="363"/>
      <c r="H2040" s="363"/>
      <c r="I2040" s="363"/>
      <c r="J2040" s="363"/>
      <c r="K2040" s="363"/>
      <c r="L2040" s="363"/>
      <c r="M2040" s="367"/>
    </row>
    <row r="2041" customFormat="false" ht="12.75" hidden="false" customHeight="true" outlineLevel="0" collapsed="false">
      <c r="B2041" s="361"/>
      <c r="C2041" s="369"/>
      <c r="D2041" s="369"/>
      <c r="E2041" s="363"/>
      <c r="F2041" s="374"/>
      <c r="G2041" s="363"/>
      <c r="H2041" s="363"/>
      <c r="I2041" s="363"/>
      <c r="J2041" s="363"/>
      <c r="K2041" s="363"/>
      <c r="L2041" s="363"/>
      <c r="M2041" s="367"/>
    </row>
    <row r="2042" customFormat="false" ht="12.75" hidden="false" customHeight="true" outlineLevel="0" collapsed="false">
      <c r="B2042" s="361"/>
      <c r="C2042" s="369"/>
      <c r="D2042" s="369"/>
      <c r="E2042" s="363"/>
      <c r="F2042" s="374"/>
      <c r="G2042" s="363"/>
      <c r="H2042" s="363"/>
      <c r="I2042" s="363"/>
      <c r="J2042" s="363"/>
      <c r="K2042" s="363"/>
      <c r="L2042" s="363"/>
      <c r="M2042" s="367"/>
    </row>
    <row r="2043" customFormat="false" ht="12.75" hidden="false" customHeight="true" outlineLevel="0" collapsed="false">
      <c r="B2043" s="361"/>
      <c r="C2043" s="369"/>
      <c r="D2043" s="369"/>
      <c r="E2043" s="363"/>
      <c r="F2043" s="374"/>
      <c r="G2043" s="363"/>
      <c r="H2043" s="363"/>
      <c r="I2043" s="363"/>
      <c r="J2043" s="363"/>
      <c r="K2043" s="363"/>
      <c r="L2043" s="363"/>
      <c r="M2043" s="367"/>
    </row>
    <row r="2044" customFormat="false" ht="12.75" hidden="false" customHeight="true" outlineLevel="0" collapsed="false">
      <c r="B2044" s="361"/>
      <c r="C2044" s="369"/>
      <c r="D2044" s="369"/>
      <c r="E2044" s="363"/>
      <c r="F2044" s="374"/>
      <c r="G2044" s="363"/>
      <c r="H2044" s="363"/>
      <c r="I2044" s="363"/>
      <c r="J2044" s="363"/>
      <c r="K2044" s="363"/>
      <c r="L2044" s="363"/>
      <c r="M2044" s="367"/>
    </row>
    <row r="2045" customFormat="false" ht="12.75" hidden="false" customHeight="true" outlineLevel="0" collapsed="false">
      <c r="B2045" s="361"/>
      <c r="C2045" s="369"/>
      <c r="D2045" s="369"/>
      <c r="E2045" s="363"/>
      <c r="F2045" s="374"/>
      <c r="G2045" s="363"/>
      <c r="H2045" s="363"/>
      <c r="I2045" s="363"/>
      <c r="J2045" s="363"/>
      <c r="K2045" s="363"/>
      <c r="L2045" s="363"/>
      <c r="M2045" s="367"/>
    </row>
    <row r="2046" customFormat="false" ht="12.75" hidden="false" customHeight="true" outlineLevel="0" collapsed="false">
      <c r="B2046" s="361"/>
      <c r="C2046" s="369"/>
      <c r="D2046" s="369"/>
      <c r="E2046" s="363"/>
      <c r="F2046" s="374"/>
      <c r="G2046" s="363"/>
      <c r="H2046" s="363"/>
      <c r="I2046" s="363"/>
      <c r="J2046" s="363"/>
      <c r="K2046" s="363"/>
      <c r="L2046" s="363"/>
      <c r="M2046" s="367"/>
    </row>
    <row r="2047" customFormat="false" ht="12.75" hidden="false" customHeight="true" outlineLevel="0" collapsed="false">
      <c r="B2047" s="361"/>
      <c r="C2047" s="369"/>
      <c r="D2047" s="369"/>
      <c r="E2047" s="363"/>
      <c r="F2047" s="374"/>
      <c r="G2047" s="363"/>
      <c r="H2047" s="363"/>
      <c r="I2047" s="363"/>
      <c r="J2047" s="363"/>
      <c r="K2047" s="363"/>
      <c r="L2047" s="363"/>
      <c r="M2047" s="367"/>
    </row>
    <row r="2048" customFormat="false" ht="12.75" hidden="false" customHeight="true" outlineLevel="0" collapsed="false">
      <c r="B2048" s="361"/>
      <c r="C2048" s="369"/>
      <c r="D2048" s="369"/>
      <c r="E2048" s="363"/>
      <c r="F2048" s="374"/>
      <c r="G2048" s="363"/>
      <c r="H2048" s="363"/>
      <c r="I2048" s="363"/>
      <c r="J2048" s="363"/>
      <c r="K2048" s="363"/>
      <c r="L2048" s="363"/>
      <c r="M2048" s="367"/>
    </row>
    <row r="2049" customFormat="false" ht="12.75" hidden="false" customHeight="true" outlineLevel="0" collapsed="false">
      <c r="B2049" s="361"/>
      <c r="C2049" s="369"/>
      <c r="D2049" s="369"/>
      <c r="E2049" s="363"/>
      <c r="F2049" s="374"/>
      <c r="G2049" s="363"/>
      <c r="H2049" s="363"/>
      <c r="I2049" s="363"/>
      <c r="J2049" s="363"/>
      <c r="K2049" s="363"/>
      <c r="L2049" s="363"/>
      <c r="M2049" s="367"/>
    </row>
    <row r="2050" customFormat="false" ht="12.75" hidden="false" customHeight="true" outlineLevel="0" collapsed="false">
      <c r="B2050" s="361"/>
      <c r="C2050" s="369"/>
      <c r="D2050" s="369"/>
      <c r="E2050" s="363"/>
      <c r="F2050" s="374"/>
      <c r="G2050" s="363"/>
      <c r="H2050" s="363"/>
      <c r="I2050" s="363"/>
      <c r="J2050" s="363"/>
      <c r="K2050" s="363"/>
      <c r="L2050" s="363"/>
      <c r="M2050" s="367"/>
    </row>
    <row r="2051" customFormat="false" ht="12.75" hidden="false" customHeight="true" outlineLevel="0" collapsed="false">
      <c r="B2051" s="361"/>
      <c r="C2051" s="369"/>
      <c r="D2051" s="369"/>
      <c r="E2051" s="363"/>
      <c r="F2051" s="374"/>
      <c r="G2051" s="363"/>
      <c r="H2051" s="363"/>
      <c r="I2051" s="363"/>
      <c r="J2051" s="363"/>
      <c r="K2051" s="363"/>
      <c r="L2051" s="363"/>
      <c r="M2051" s="367"/>
    </row>
    <row r="2052" customFormat="false" ht="12.75" hidden="false" customHeight="true" outlineLevel="0" collapsed="false">
      <c r="B2052" s="361"/>
      <c r="C2052" s="369"/>
      <c r="D2052" s="369"/>
      <c r="E2052" s="363"/>
      <c r="F2052" s="374"/>
      <c r="G2052" s="363"/>
      <c r="H2052" s="363"/>
      <c r="I2052" s="363"/>
      <c r="J2052" s="363"/>
      <c r="K2052" s="363"/>
      <c r="L2052" s="363"/>
      <c r="M2052" s="367"/>
    </row>
    <row r="2053" customFormat="false" ht="12.75" hidden="false" customHeight="true" outlineLevel="0" collapsed="false">
      <c r="B2053" s="361"/>
      <c r="C2053" s="369"/>
      <c r="D2053" s="369"/>
      <c r="E2053" s="363"/>
      <c r="F2053" s="374"/>
      <c r="G2053" s="363"/>
      <c r="H2053" s="363"/>
      <c r="I2053" s="363"/>
      <c r="J2053" s="363"/>
      <c r="K2053" s="363"/>
      <c r="L2053" s="363"/>
      <c r="M2053" s="367"/>
    </row>
    <row r="2054" customFormat="false" ht="12.75" hidden="false" customHeight="true" outlineLevel="0" collapsed="false">
      <c r="B2054" s="361"/>
      <c r="C2054" s="369"/>
      <c r="D2054" s="369"/>
      <c r="E2054" s="363"/>
      <c r="F2054" s="374"/>
      <c r="G2054" s="363"/>
      <c r="H2054" s="363"/>
      <c r="I2054" s="363"/>
      <c r="J2054" s="363"/>
      <c r="K2054" s="363"/>
      <c r="L2054" s="363"/>
      <c r="M2054" s="367"/>
    </row>
    <row r="2055" customFormat="false" ht="12.75" hidden="false" customHeight="true" outlineLevel="0" collapsed="false">
      <c r="B2055" s="361"/>
      <c r="C2055" s="369"/>
      <c r="D2055" s="369"/>
      <c r="E2055" s="363"/>
      <c r="F2055" s="374"/>
      <c r="G2055" s="363"/>
      <c r="H2055" s="363"/>
      <c r="I2055" s="363"/>
      <c r="J2055" s="363"/>
      <c r="K2055" s="363"/>
      <c r="L2055" s="363"/>
      <c r="M2055" s="367"/>
    </row>
    <row r="2056" customFormat="false" ht="12.75" hidden="false" customHeight="true" outlineLevel="0" collapsed="false">
      <c r="B2056" s="361"/>
      <c r="C2056" s="369"/>
      <c r="D2056" s="369"/>
      <c r="E2056" s="363"/>
      <c r="F2056" s="374"/>
      <c r="G2056" s="363"/>
      <c r="H2056" s="363"/>
      <c r="I2056" s="363"/>
      <c r="J2056" s="363"/>
      <c r="K2056" s="363"/>
      <c r="L2056" s="363"/>
      <c r="M2056" s="367"/>
    </row>
    <row r="2057" customFormat="false" ht="13.5" hidden="false" customHeight="true" outlineLevel="0" collapsed="false">
      <c r="B2057" s="361"/>
      <c r="C2057" s="369"/>
      <c r="D2057" s="369"/>
      <c r="E2057" s="363"/>
      <c r="F2057" s="374"/>
      <c r="G2057" s="363"/>
      <c r="H2057" s="363"/>
      <c r="I2057" s="363"/>
      <c r="J2057" s="363"/>
      <c r="K2057" s="363"/>
      <c r="L2057" s="363"/>
      <c r="M2057" s="367"/>
    </row>
    <row r="2058" customFormat="false" ht="12.75" hidden="false" customHeight="true" outlineLevel="0" collapsed="false">
      <c r="B2058" s="361"/>
      <c r="C2058" s="369"/>
      <c r="D2058" s="369"/>
      <c r="E2058" s="363"/>
      <c r="F2058" s="374"/>
      <c r="G2058" s="363"/>
      <c r="H2058" s="370"/>
      <c r="I2058" s="363"/>
      <c r="J2058" s="363"/>
      <c r="K2058" s="363"/>
      <c r="L2058" s="363"/>
      <c r="M2058" s="367"/>
    </row>
    <row r="2059" customFormat="false" ht="12.75" hidden="false" customHeight="true" outlineLevel="0" collapsed="false">
      <c r="B2059" s="368"/>
      <c r="C2059" s="369"/>
      <c r="D2059" s="369"/>
      <c r="E2059" s="370"/>
      <c r="F2059" s="375"/>
      <c r="G2059" s="370"/>
      <c r="H2059" s="370"/>
      <c r="I2059" s="370"/>
      <c r="J2059" s="370"/>
      <c r="K2059" s="370"/>
      <c r="L2059" s="370"/>
      <c r="M2059" s="384"/>
    </row>
    <row r="2060" customFormat="false" ht="12.75" hidden="false" customHeight="true" outlineLevel="0" collapsed="false">
      <c r="B2060" s="361"/>
      <c r="C2060" s="369"/>
      <c r="D2060" s="369"/>
      <c r="E2060" s="363"/>
      <c r="F2060" s="374"/>
      <c r="G2060" s="363"/>
      <c r="H2060" s="363"/>
      <c r="I2060" s="363"/>
      <c r="J2060" s="363"/>
      <c r="K2060" s="363"/>
      <c r="L2060" s="363"/>
      <c r="M2060" s="367"/>
    </row>
    <row r="2061" customFormat="false" ht="12.75" hidden="false" customHeight="true" outlineLevel="0" collapsed="false">
      <c r="B2061" s="361"/>
      <c r="C2061" s="369"/>
      <c r="D2061" s="369"/>
      <c r="E2061" s="363"/>
      <c r="F2061" s="374"/>
      <c r="G2061" s="363"/>
      <c r="H2061" s="363"/>
      <c r="I2061" s="363"/>
      <c r="J2061" s="363"/>
      <c r="K2061" s="363"/>
      <c r="L2061" s="363"/>
      <c r="M2061" s="367"/>
    </row>
    <row r="2062" customFormat="false" ht="12.75" hidden="false" customHeight="true" outlineLevel="0" collapsed="false">
      <c r="B2062" s="361"/>
      <c r="C2062" s="369"/>
      <c r="D2062" s="369"/>
      <c r="E2062" s="363"/>
      <c r="F2062" s="374"/>
      <c r="G2062" s="363"/>
      <c r="H2062" s="363"/>
      <c r="I2062" s="363"/>
      <c r="J2062" s="363"/>
      <c r="K2062" s="363"/>
      <c r="L2062" s="363"/>
      <c r="M2062" s="367"/>
    </row>
    <row r="2063" customFormat="false" ht="12.75" hidden="false" customHeight="true" outlineLevel="0" collapsed="false">
      <c r="B2063" s="361"/>
      <c r="C2063" s="369"/>
      <c r="D2063" s="369"/>
      <c r="E2063" s="363"/>
      <c r="F2063" s="374"/>
      <c r="G2063" s="363"/>
      <c r="H2063" s="363"/>
      <c r="I2063" s="363"/>
      <c r="J2063" s="363"/>
      <c r="K2063" s="363"/>
      <c r="L2063" s="363"/>
      <c r="M2063" s="367"/>
    </row>
    <row r="2064" customFormat="false" ht="12.75" hidden="false" customHeight="true" outlineLevel="0" collapsed="false">
      <c r="B2064" s="361"/>
      <c r="C2064" s="369"/>
      <c r="D2064" s="369"/>
      <c r="E2064" s="363"/>
      <c r="F2064" s="374"/>
      <c r="G2064" s="363"/>
      <c r="H2064" s="363"/>
      <c r="I2064" s="363"/>
      <c r="J2064" s="363"/>
      <c r="K2064" s="363"/>
      <c r="L2064" s="363"/>
      <c r="M2064" s="367"/>
    </row>
    <row r="2065" customFormat="false" ht="12.75" hidden="false" customHeight="true" outlineLevel="0" collapsed="false">
      <c r="B2065" s="361"/>
      <c r="C2065" s="369"/>
      <c r="D2065" s="369"/>
      <c r="E2065" s="363"/>
      <c r="F2065" s="374"/>
      <c r="G2065" s="363"/>
      <c r="H2065" s="363"/>
      <c r="I2065" s="363"/>
      <c r="J2065" s="363"/>
      <c r="K2065" s="363"/>
      <c r="L2065" s="363"/>
      <c r="M2065" s="367"/>
    </row>
    <row r="2066" customFormat="false" ht="12.75" hidden="false" customHeight="true" outlineLevel="0" collapsed="false">
      <c r="B2066" s="361"/>
      <c r="C2066" s="369"/>
      <c r="D2066" s="369"/>
      <c r="E2066" s="363"/>
      <c r="F2066" s="374"/>
      <c r="G2066" s="363"/>
      <c r="H2066" s="363"/>
      <c r="I2066" s="363"/>
      <c r="J2066" s="363"/>
      <c r="K2066" s="363"/>
      <c r="L2066" s="363"/>
      <c r="M2066" s="367"/>
    </row>
    <row r="2067" customFormat="false" ht="12.75" hidden="false" customHeight="true" outlineLevel="0" collapsed="false">
      <c r="B2067" s="361"/>
      <c r="C2067" s="369"/>
      <c r="D2067" s="369"/>
      <c r="E2067" s="363"/>
      <c r="F2067" s="374"/>
      <c r="G2067" s="363"/>
      <c r="H2067" s="363"/>
      <c r="I2067" s="363"/>
      <c r="J2067" s="363"/>
      <c r="K2067" s="363"/>
      <c r="L2067" s="363"/>
      <c r="M2067" s="367"/>
    </row>
    <row r="2068" customFormat="false" ht="12.75" hidden="false" customHeight="true" outlineLevel="0" collapsed="false">
      <c r="B2068" s="361"/>
      <c r="C2068" s="369"/>
      <c r="D2068" s="369"/>
      <c r="E2068" s="363"/>
      <c r="F2068" s="374"/>
      <c r="G2068" s="363"/>
      <c r="H2068" s="363"/>
      <c r="I2068" s="363"/>
      <c r="J2068" s="363"/>
      <c r="K2068" s="363"/>
      <c r="L2068" s="363"/>
      <c r="M2068" s="367"/>
    </row>
    <row r="2069" customFormat="false" ht="12.75" hidden="false" customHeight="true" outlineLevel="0" collapsed="false">
      <c r="B2069" s="361"/>
      <c r="C2069" s="369"/>
      <c r="D2069" s="369"/>
      <c r="E2069" s="363"/>
      <c r="F2069" s="374"/>
      <c r="G2069" s="363"/>
      <c r="H2069" s="363"/>
      <c r="I2069" s="363"/>
      <c r="J2069" s="363"/>
      <c r="K2069" s="363"/>
      <c r="L2069" s="363"/>
      <c r="M2069" s="367"/>
    </row>
    <row r="2070" customFormat="false" ht="12.75" hidden="false" customHeight="true" outlineLevel="0" collapsed="false">
      <c r="B2070" s="361"/>
      <c r="C2070" s="369"/>
      <c r="D2070" s="369"/>
      <c r="E2070" s="363"/>
      <c r="F2070" s="374"/>
      <c r="G2070" s="363"/>
      <c r="H2070" s="363"/>
      <c r="I2070" s="363"/>
      <c r="J2070" s="363"/>
      <c r="K2070" s="363"/>
      <c r="L2070" s="363"/>
      <c r="M2070" s="367"/>
    </row>
    <row r="2071" customFormat="false" ht="12.75" hidden="false" customHeight="true" outlineLevel="0" collapsed="false">
      <c r="B2071" s="361"/>
      <c r="C2071" s="369"/>
      <c r="D2071" s="369"/>
      <c r="E2071" s="363"/>
      <c r="F2071" s="374"/>
      <c r="G2071" s="363"/>
      <c r="H2071" s="363"/>
      <c r="I2071" s="363"/>
      <c r="J2071" s="363"/>
      <c r="K2071" s="363"/>
      <c r="L2071" s="363"/>
      <c r="M2071" s="367"/>
    </row>
    <row r="2072" customFormat="false" ht="12.75" hidden="false" customHeight="true" outlineLevel="0" collapsed="false">
      <c r="B2072" s="361"/>
      <c r="C2072" s="369"/>
      <c r="D2072" s="369"/>
      <c r="E2072" s="363"/>
      <c r="F2072" s="374"/>
      <c r="G2072" s="363"/>
      <c r="H2072" s="363"/>
      <c r="I2072" s="363"/>
      <c r="J2072" s="363"/>
      <c r="K2072" s="363"/>
      <c r="L2072" s="363"/>
      <c r="M2072" s="367"/>
    </row>
    <row r="2073" customFormat="false" ht="12.75" hidden="false" customHeight="true" outlineLevel="0" collapsed="false">
      <c r="B2073" s="361"/>
      <c r="C2073" s="369"/>
      <c r="D2073" s="369"/>
      <c r="E2073" s="363"/>
      <c r="F2073" s="374"/>
      <c r="G2073" s="363"/>
      <c r="H2073" s="363"/>
      <c r="I2073" s="363"/>
      <c r="J2073" s="363"/>
      <c r="K2073" s="363"/>
      <c r="L2073" s="363"/>
      <c r="M2073" s="367"/>
    </row>
    <row r="2074" customFormat="false" ht="12.75" hidden="false" customHeight="true" outlineLevel="0" collapsed="false">
      <c r="B2074" s="361"/>
      <c r="C2074" s="369"/>
      <c r="D2074" s="369"/>
      <c r="E2074" s="363"/>
      <c r="F2074" s="374"/>
      <c r="G2074" s="363"/>
      <c r="H2074" s="363"/>
      <c r="I2074" s="363"/>
      <c r="J2074" s="363"/>
      <c r="K2074" s="363"/>
      <c r="L2074" s="363"/>
      <c r="M2074" s="367"/>
    </row>
    <row r="2075" customFormat="false" ht="12.75" hidden="false" customHeight="true" outlineLevel="0" collapsed="false">
      <c r="B2075" s="361"/>
      <c r="C2075" s="369"/>
      <c r="D2075" s="369"/>
      <c r="E2075" s="363"/>
      <c r="F2075" s="374"/>
      <c r="G2075" s="363"/>
      <c r="H2075" s="363"/>
      <c r="I2075" s="363"/>
      <c r="J2075" s="363"/>
      <c r="K2075" s="363"/>
      <c r="L2075" s="363"/>
      <c r="M2075" s="367"/>
    </row>
    <row r="2076" customFormat="false" ht="12.75" hidden="false" customHeight="true" outlineLevel="0" collapsed="false">
      <c r="B2076" s="361"/>
      <c r="C2076" s="369"/>
      <c r="D2076" s="369"/>
      <c r="E2076" s="363"/>
      <c r="F2076" s="374"/>
      <c r="G2076" s="363"/>
      <c r="H2076" s="363"/>
      <c r="I2076" s="363"/>
      <c r="J2076" s="363"/>
      <c r="K2076" s="363"/>
      <c r="L2076" s="363"/>
      <c r="M2076" s="367"/>
    </row>
    <row r="2077" customFormat="false" ht="12.75" hidden="false" customHeight="true" outlineLevel="0" collapsed="false">
      <c r="B2077" s="361"/>
      <c r="C2077" s="369"/>
      <c r="D2077" s="369"/>
      <c r="E2077" s="363"/>
      <c r="F2077" s="374"/>
      <c r="G2077" s="363"/>
      <c r="H2077" s="363"/>
      <c r="I2077" s="363"/>
      <c r="J2077" s="363"/>
      <c r="K2077" s="363"/>
      <c r="L2077" s="363"/>
      <c r="M2077" s="367"/>
    </row>
    <row r="2078" customFormat="false" ht="12.75" hidden="false" customHeight="true" outlineLevel="0" collapsed="false">
      <c r="B2078" s="361"/>
      <c r="C2078" s="369"/>
      <c r="D2078" s="369"/>
      <c r="E2078" s="363"/>
      <c r="F2078" s="374"/>
      <c r="G2078" s="363"/>
      <c r="H2078" s="363"/>
      <c r="I2078" s="363"/>
      <c r="J2078" s="363"/>
      <c r="K2078" s="363"/>
      <c r="L2078" s="363"/>
      <c r="M2078" s="367"/>
    </row>
    <row r="2079" customFormat="false" ht="12.75" hidden="false" customHeight="true" outlineLevel="0" collapsed="false">
      <c r="B2079" s="361"/>
      <c r="C2079" s="369"/>
      <c r="D2079" s="369"/>
      <c r="E2079" s="363"/>
      <c r="F2079" s="374"/>
      <c r="G2079" s="363"/>
      <c r="H2079" s="363"/>
      <c r="I2079" s="363"/>
      <c r="J2079" s="363"/>
      <c r="K2079" s="363"/>
      <c r="L2079" s="363"/>
      <c r="M2079" s="367"/>
    </row>
    <row r="2080" customFormat="false" ht="12.75" hidden="false" customHeight="true" outlineLevel="0" collapsed="false">
      <c r="B2080" s="361"/>
      <c r="C2080" s="369"/>
      <c r="D2080" s="369"/>
      <c r="E2080" s="363"/>
      <c r="F2080" s="374"/>
      <c r="G2080" s="363"/>
      <c r="H2080" s="363"/>
      <c r="I2080" s="363"/>
      <c r="J2080" s="363"/>
      <c r="K2080" s="363"/>
      <c r="L2080" s="363"/>
      <c r="M2080" s="367"/>
    </row>
    <row r="2081" customFormat="false" ht="12.75" hidden="false" customHeight="true" outlineLevel="0" collapsed="false">
      <c r="B2081" s="361"/>
      <c r="C2081" s="369"/>
      <c r="D2081" s="369"/>
      <c r="E2081" s="363"/>
      <c r="F2081" s="374"/>
      <c r="G2081" s="363"/>
      <c r="H2081" s="363"/>
      <c r="I2081" s="363"/>
      <c r="J2081" s="363"/>
      <c r="K2081" s="363"/>
      <c r="L2081" s="363"/>
      <c r="M2081" s="367"/>
    </row>
    <row r="2082" customFormat="false" ht="12.75" hidden="false" customHeight="true" outlineLevel="0" collapsed="false">
      <c r="B2082" s="361"/>
      <c r="C2082" s="369"/>
      <c r="D2082" s="369"/>
      <c r="E2082" s="363"/>
      <c r="F2082" s="374"/>
      <c r="G2082" s="363"/>
      <c r="H2082" s="363"/>
      <c r="I2082" s="363"/>
      <c r="J2082" s="363"/>
      <c r="K2082" s="363"/>
      <c r="L2082" s="363"/>
      <c r="M2082" s="367"/>
    </row>
    <row r="2083" customFormat="false" ht="12.75" hidden="false" customHeight="true" outlineLevel="0" collapsed="false">
      <c r="B2083" s="361"/>
      <c r="C2083" s="369"/>
      <c r="D2083" s="369"/>
      <c r="E2083" s="363"/>
      <c r="F2083" s="374"/>
      <c r="G2083" s="363"/>
      <c r="H2083" s="363"/>
      <c r="I2083" s="363"/>
      <c r="J2083" s="363"/>
      <c r="K2083" s="363"/>
      <c r="L2083" s="363"/>
      <c r="M2083" s="367"/>
    </row>
    <row r="2084" customFormat="false" ht="12.75" hidden="false" customHeight="true" outlineLevel="0" collapsed="false">
      <c r="B2084" s="368"/>
      <c r="C2084" s="369"/>
      <c r="D2084" s="369"/>
      <c r="E2084" s="370"/>
      <c r="F2084" s="375"/>
      <c r="G2084" s="370"/>
      <c r="H2084" s="363"/>
      <c r="I2084" s="370"/>
      <c r="J2084" s="370"/>
      <c r="K2084" s="370"/>
      <c r="L2084" s="370"/>
      <c r="M2084" s="384"/>
    </row>
    <row r="2085" customFormat="false" ht="12.75" hidden="false" customHeight="true" outlineLevel="0" collapsed="false">
      <c r="B2085" s="361"/>
      <c r="C2085" s="369"/>
      <c r="D2085" s="369"/>
      <c r="E2085" s="363"/>
      <c r="F2085" s="374"/>
      <c r="G2085" s="363"/>
      <c r="H2085" s="363"/>
      <c r="I2085" s="363"/>
      <c r="J2085" s="363"/>
      <c r="K2085" s="363"/>
      <c r="L2085" s="363"/>
      <c r="M2085" s="367"/>
    </row>
    <row r="2086" customFormat="false" ht="12.75" hidden="false" customHeight="true" outlineLevel="0" collapsed="false">
      <c r="B2086" s="361"/>
      <c r="C2086" s="369"/>
      <c r="D2086" s="369"/>
      <c r="E2086" s="363"/>
      <c r="F2086" s="374"/>
      <c r="G2086" s="363"/>
      <c r="H2086" s="363"/>
      <c r="I2086" s="363"/>
      <c r="J2086" s="363"/>
      <c r="K2086" s="363"/>
      <c r="L2086" s="363"/>
      <c r="M2086" s="367"/>
    </row>
    <row r="2087" customFormat="false" ht="12.75" hidden="false" customHeight="true" outlineLevel="0" collapsed="false">
      <c r="B2087" s="361"/>
      <c r="C2087" s="369"/>
      <c r="D2087" s="369"/>
      <c r="E2087" s="363"/>
      <c r="F2087" s="374"/>
      <c r="G2087" s="363"/>
      <c r="H2087" s="363"/>
      <c r="I2087" s="363"/>
      <c r="J2087" s="363"/>
      <c r="K2087" s="363"/>
      <c r="L2087" s="363"/>
      <c r="M2087" s="367"/>
    </row>
    <row r="2088" customFormat="false" ht="12.75" hidden="false" customHeight="true" outlineLevel="0" collapsed="false">
      <c r="B2088" s="361"/>
      <c r="C2088" s="369"/>
      <c r="D2088" s="369"/>
      <c r="E2088" s="363"/>
      <c r="F2088" s="374"/>
      <c r="G2088" s="363"/>
      <c r="H2088" s="363"/>
      <c r="I2088" s="363"/>
      <c r="J2088" s="363"/>
      <c r="K2088" s="363"/>
      <c r="L2088" s="363"/>
      <c r="M2088" s="367"/>
    </row>
    <row r="2089" customFormat="false" ht="12.75" hidden="false" customHeight="true" outlineLevel="0" collapsed="false">
      <c r="B2089" s="361"/>
      <c r="C2089" s="369"/>
      <c r="D2089" s="369"/>
      <c r="E2089" s="363"/>
      <c r="F2089" s="374"/>
      <c r="G2089" s="363"/>
      <c r="H2089" s="363"/>
      <c r="I2089" s="363"/>
      <c r="J2089" s="363"/>
      <c r="K2089" s="363"/>
      <c r="L2089" s="363"/>
      <c r="M2089" s="367"/>
    </row>
    <row r="2090" customFormat="false" ht="12.75" hidden="false" customHeight="true" outlineLevel="0" collapsed="false">
      <c r="B2090" s="361"/>
      <c r="C2090" s="369"/>
      <c r="D2090" s="369"/>
      <c r="E2090" s="363"/>
      <c r="F2090" s="374"/>
      <c r="G2090" s="363"/>
      <c r="H2090" s="363"/>
      <c r="I2090" s="363"/>
      <c r="J2090" s="363"/>
      <c r="K2090" s="363"/>
      <c r="L2090" s="363"/>
      <c r="M2090" s="367"/>
    </row>
    <row r="2091" customFormat="false" ht="12.75" hidden="false" customHeight="true" outlineLevel="0" collapsed="false">
      <c r="B2091" s="361"/>
      <c r="C2091" s="369"/>
      <c r="D2091" s="369"/>
      <c r="E2091" s="363"/>
      <c r="F2091" s="374"/>
      <c r="G2091" s="363"/>
      <c r="H2091" s="363"/>
      <c r="I2091" s="363"/>
      <c r="J2091" s="363"/>
      <c r="K2091" s="363"/>
      <c r="L2091" s="363"/>
      <c r="M2091" s="367"/>
    </row>
    <row r="2092" customFormat="false" ht="12.75" hidden="false" customHeight="true" outlineLevel="0" collapsed="false">
      <c r="B2092" s="361"/>
      <c r="C2092" s="369"/>
      <c r="D2092" s="369"/>
      <c r="E2092" s="363"/>
      <c r="F2092" s="374"/>
      <c r="G2092" s="363"/>
      <c r="H2092" s="363"/>
      <c r="I2092" s="363"/>
      <c r="J2092" s="363"/>
      <c r="K2092" s="363"/>
      <c r="L2092" s="363"/>
      <c r="M2092" s="367"/>
    </row>
    <row r="2093" customFormat="false" ht="12.75" hidden="false" customHeight="true" outlineLevel="0" collapsed="false">
      <c r="B2093" s="361"/>
      <c r="C2093" s="369"/>
      <c r="D2093" s="369"/>
      <c r="E2093" s="363"/>
      <c r="F2093" s="374"/>
      <c r="G2093" s="363"/>
      <c r="H2093" s="363"/>
      <c r="I2093" s="363"/>
      <c r="J2093" s="363"/>
      <c r="K2093" s="363"/>
      <c r="L2093" s="363"/>
      <c r="M2093" s="367"/>
    </row>
    <row r="2094" customFormat="false" ht="12.75" hidden="false" customHeight="true" outlineLevel="0" collapsed="false">
      <c r="B2094" s="361"/>
      <c r="C2094" s="369"/>
      <c r="D2094" s="369"/>
      <c r="E2094" s="363"/>
      <c r="F2094" s="374"/>
      <c r="G2094" s="363"/>
      <c r="H2094" s="363"/>
      <c r="I2094" s="363"/>
      <c r="J2094" s="363"/>
      <c r="K2094" s="363"/>
      <c r="L2094" s="363"/>
      <c r="M2094" s="367"/>
    </row>
    <row r="2095" customFormat="false" ht="12.75" hidden="false" customHeight="true" outlineLevel="0" collapsed="false">
      <c r="B2095" s="361"/>
      <c r="C2095" s="369"/>
      <c r="D2095" s="369"/>
      <c r="E2095" s="363"/>
      <c r="F2095" s="374"/>
      <c r="G2095" s="363"/>
      <c r="H2095" s="363"/>
      <c r="I2095" s="363"/>
      <c r="J2095" s="363"/>
      <c r="K2095" s="363"/>
      <c r="L2095" s="363"/>
      <c r="M2095" s="367"/>
    </row>
    <row r="2096" customFormat="false" ht="12.75" hidden="false" customHeight="true" outlineLevel="0" collapsed="false">
      <c r="B2096" s="361"/>
      <c r="C2096" s="369"/>
      <c r="D2096" s="369"/>
      <c r="E2096" s="363"/>
      <c r="F2096" s="374"/>
      <c r="G2096" s="363"/>
      <c r="H2096" s="363"/>
      <c r="I2096" s="363"/>
      <c r="J2096" s="363"/>
      <c r="K2096" s="363"/>
      <c r="L2096" s="363"/>
      <c r="M2096" s="367"/>
    </row>
    <row r="2097" customFormat="false" ht="12.75" hidden="false" customHeight="true" outlineLevel="0" collapsed="false">
      <c r="B2097" s="361"/>
      <c r="C2097" s="369"/>
      <c r="D2097" s="369"/>
      <c r="E2097" s="363"/>
      <c r="F2097" s="374"/>
      <c r="G2097" s="363"/>
      <c r="H2097" s="363"/>
      <c r="I2097" s="363"/>
      <c r="J2097" s="363"/>
      <c r="K2097" s="363"/>
      <c r="L2097" s="363"/>
      <c r="M2097" s="367"/>
    </row>
    <row r="2098" customFormat="false" ht="12.75" hidden="false" customHeight="true" outlineLevel="0" collapsed="false">
      <c r="B2098" s="368"/>
      <c r="C2098" s="369"/>
      <c r="D2098" s="369"/>
      <c r="E2098" s="370"/>
      <c r="F2098" s="375"/>
      <c r="G2098" s="370"/>
      <c r="H2098" s="370"/>
      <c r="I2098" s="370"/>
      <c r="J2098" s="370"/>
      <c r="K2098" s="370"/>
      <c r="L2098" s="370"/>
      <c r="M2098" s="384"/>
    </row>
    <row r="2099" customFormat="false" ht="12.75" hidden="false" customHeight="true" outlineLevel="0" collapsed="false">
      <c r="B2099" s="361"/>
      <c r="C2099" s="369"/>
      <c r="D2099" s="369"/>
      <c r="E2099" s="363"/>
      <c r="F2099" s="374"/>
      <c r="G2099" s="363"/>
      <c r="H2099" s="363"/>
      <c r="I2099" s="363"/>
      <c r="J2099" s="363"/>
      <c r="K2099" s="363"/>
      <c r="L2099" s="363"/>
      <c r="M2099" s="367"/>
    </row>
    <row r="2100" customFormat="false" ht="12.75" hidden="false" customHeight="true" outlineLevel="0" collapsed="false">
      <c r="B2100" s="361"/>
      <c r="C2100" s="369"/>
      <c r="D2100" s="369"/>
      <c r="E2100" s="363"/>
      <c r="F2100" s="374"/>
      <c r="G2100" s="363"/>
      <c r="H2100" s="363"/>
      <c r="I2100" s="363"/>
      <c r="J2100" s="363"/>
      <c r="K2100" s="363"/>
      <c r="L2100" s="363"/>
      <c r="M2100" s="367"/>
    </row>
    <row r="2101" customFormat="false" ht="12.75" hidden="false" customHeight="true" outlineLevel="0" collapsed="false">
      <c r="B2101" s="361"/>
      <c r="C2101" s="369"/>
      <c r="D2101" s="369"/>
      <c r="E2101" s="363"/>
      <c r="F2101" s="374"/>
      <c r="G2101" s="363"/>
      <c r="H2101" s="363"/>
      <c r="I2101" s="363"/>
      <c r="J2101" s="363"/>
      <c r="K2101" s="363"/>
      <c r="L2101" s="363"/>
      <c r="M2101" s="367"/>
    </row>
    <row r="2102" customFormat="false" ht="12.75" hidden="false" customHeight="true" outlineLevel="0" collapsed="false">
      <c r="B2102" s="361"/>
      <c r="C2102" s="369"/>
      <c r="D2102" s="369"/>
      <c r="E2102" s="363"/>
      <c r="F2102" s="374"/>
      <c r="G2102" s="363"/>
      <c r="H2102" s="363"/>
      <c r="I2102" s="363"/>
      <c r="J2102" s="363"/>
      <c r="K2102" s="363"/>
      <c r="L2102" s="363"/>
      <c r="M2102" s="367"/>
    </row>
    <row r="2103" customFormat="false" ht="12.75" hidden="false" customHeight="true" outlineLevel="0" collapsed="false">
      <c r="B2103" s="361"/>
      <c r="C2103" s="369"/>
      <c r="D2103" s="369"/>
      <c r="E2103" s="363"/>
      <c r="F2103" s="374"/>
      <c r="G2103" s="363"/>
      <c r="H2103" s="363"/>
      <c r="I2103" s="363"/>
      <c r="J2103" s="363"/>
      <c r="K2103" s="363"/>
      <c r="L2103" s="363"/>
      <c r="M2103" s="367"/>
    </row>
    <row r="2104" customFormat="false" ht="12.75" hidden="false" customHeight="true" outlineLevel="0" collapsed="false">
      <c r="B2104" s="361"/>
      <c r="C2104" s="369"/>
      <c r="D2104" s="369"/>
      <c r="E2104" s="363"/>
      <c r="F2104" s="374"/>
      <c r="G2104" s="363"/>
      <c r="H2104" s="363"/>
      <c r="I2104" s="363"/>
      <c r="J2104" s="363"/>
      <c r="K2104" s="363"/>
      <c r="L2104" s="363"/>
      <c r="M2104" s="367"/>
    </row>
    <row r="2105" customFormat="false" ht="12.75" hidden="false" customHeight="true" outlineLevel="0" collapsed="false">
      <c r="B2105" s="361"/>
      <c r="C2105" s="369"/>
      <c r="D2105" s="369"/>
      <c r="E2105" s="363"/>
      <c r="F2105" s="374"/>
      <c r="G2105" s="363"/>
      <c r="H2105" s="363"/>
      <c r="I2105" s="363"/>
      <c r="J2105" s="363"/>
      <c r="K2105" s="363"/>
      <c r="L2105" s="363"/>
      <c r="M2105" s="367"/>
    </row>
    <row r="2106" customFormat="false" ht="12.75" hidden="false" customHeight="true" outlineLevel="0" collapsed="false">
      <c r="B2106" s="361"/>
      <c r="C2106" s="369"/>
      <c r="D2106" s="369"/>
      <c r="E2106" s="363"/>
      <c r="F2106" s="374"/>
      <c r="G2106" s="363"/>
      <c r="H2106" s="363"/>
      <c r="I2106" s="363"/>
      <c r="J2106" s="363"/>
      <c r="K2106" s="363"/>
      <c r="L2106" s="363"/>
      <c r="M2106" s="367"/>
    </row>
    <row r="2107" customFormat="false" ht="12.75" hidden="false" customHeight="true" outlineLevel="0" collapsed="false">
      <c r="B2107" s="361"/>
      <c r="C2107" s="369"/>
      <c r="D2107" s="369"/>
      <c r="E2107" s="363"/>
      <c r="F2107" s="374"/>
      <c r="G2107" s="363"/>
      <c r="H2107" s="363"/>
      <c r="I2107" s="363"/>
      <c r="J2107" s="363"/>
      <c r="K2107" s="363"/>
      <c r="L2107" s="363"/>
      <c r="M2107" s="367"/>
    </row>
    <row r="2108" customFormat="false" ht="12.75" hidden="false" customHeight="true" outlineLevel="0" collapsed="false">
      <c r="B2108" s="361"/>
      <c r="C2108" s="369"/>
      <c r="D2108" s="369"/>
      <c r="E2108" s="363"/>
      <c r="F2108" s="374"/>
      <c r="G2108" s="363"/>
      <c r="H2108" s="363"/>
      <c r="I2108" s="363"/>
      <c r="J2108" s="363"/>
      <c r="K2108" s="363"/>
      <c r="L2108" s="363"/>
      <c r="M2108" s="367"/>
    </row>
    <row r="2109" customFormat="false" ht="12.75" hidden="false" customHeight="true" outlineLevel="0" collapsed="false">
      <c r="B2109" s="361"/>
      <c r="C2109" s="369"/>
      <c r="D2109" s="369"/>
      <c r="E2109" s="363"/>
      <c r="F2109" s="374"/>
      <c r="G2109" s="363"/>
      <c r="H2109" s="363"/>
      <c r="I2109" s="363"/>
      <c r="J2109" s="363"/>
      <c r="K2109" s="363"/>
      <c r="L2109" s="363"/>
      <c r="M2109" s="367"/>
    </row>
    <row r="2110" customFormat="false" ht="12.75" hidden="false" customHeight="true" outlineLevel="0" collapsed="false">
      <c r="B2110" s="361"/>
      <c r="C2110" s="369"/>
      <c r="D2110" s="369"/>
      <c r="E2110" s="363"/>
      <c r="F2110" s="374"/>
      <c r="G2110" s="363"/>
      <c r="H2110" s="363"/>
      <c r="I2110" s="363"/>
      <c r="J2110" s="363"/>
      <c r="K2110" s="363"/>
      <c r="L2110" s="363"/>
      <c r="M2110" s="367"/>
    </row>
    <row r="2111" customFormat="false" ht="12.75" hidden="false" customHeight="true" outlineLevel="0" collapsed="false">
      <c r="B2111" s="361"/>
      <c r="C2111" s="369"/>
      <c r="D2111" s="369"/>
      <c r="E2111" s="363"/>
      <c r="F2111" s="374"/>
      <c r="G2111" s="363"/>
      <c r="H2111" s="363"/>
      <c r="I2111" s="363"/>
      <c r="J2111" s="363"/>
      <c r="K2111" s="363"/>
      <c r="L2111" s="363"/>
      <c r="M2111" s="367"/>
    </row>
    <row r="2112" customFormat="false" ht="12.75" hidden="false" customHeight="true" outlineLevel="0" collapsed="false">
      <c r="B2112" s="361"/>
      <c r="C2112" s="369"/>
      <c r="D2112" s="369"/>
      <c r="E2112" s="363"/>
      <c r="F2112" s="374"/>
      <c r="G2112" s="363"/>
      <c r="H2112" s="363"/>
      <c r="I2112" s="363"/>
      <c r="J2112" s="363"/>
      <c r="K2112" s="363"/>
      <c r="L2112" s="363"/>
      <c r="M2112" s="367"/>
    </row>
    <row r="2113" customFormat="false" ht="12.75" hidden="false" customHeight="true" outlineLevel="0" collapsed="false">
      <c r="B2113" s="361"/>
      <c r="C2113" s="369"/>
      <c r="D2113" s="369"/>
      <c r="E2113" s="363"/>
      <c r="F2113" s="374"/>
      <c r="G2113" s="363"/>
      <c r="H2113" s="363"/>
      <c r="I2113" s="363"/>
      <c r="J2113" s="363"/>
      <c r="K2113" s="363"/>
      <c r="L2113" s="363"/>
      <c r="M2113" s="367"/>
    </row>
    <row r="2114" customFormat="false" ht="12.75" hidden="false" customHeight="true" outlineLevel="0" collapsed="false">
      <c r="B2114" s="361"/>
      <c r="C2114" s="369"/>
      <c r="D2114" s="369"/>
      <c r="E2114" s="363"/>
      <c r="F2114" s="374"/>
      <c r="G2114" s="363"/>
      <c r="H2114" s="363"/>
      <c r="I2114" s="363"/>
      <c r="J2114" s="363"/>
      <c r="K2114" s="363"/>
      <c r="L2114" s="363"/>
      <c r="M2114" s="367"/>
    </row>
    <row r="2115" customFormat="false" ht="12.75" hidden="false" customHeight="true" outlineLevel="0" collapsed="false">
      <c r="B2115" s="361"/>
      <c r="C2115" s="369"/>
      <c r="D2115" s="369"/>
      <c r="E2115" s="363"/>
      <c r="F2115" s="374"/>
      <c r="G2115" s="363"/>
      <c r="H2115" s="363"/>
      <c r="I2115" s="363"/>
      <c r="J2115" s="363"/>
      <c r="K2115" s="363"/>
      <c r="L2115" s="363"/>
      <c r="M2115" s="367"/>
    </row>
    <row r="2116" customFormat="false" ht="12.75" hidden="false" customHeight="true" outlineLevel="0" collapsed="false">
      <c r="B2116" s="361"/>
      <c r="C2116" s="369"/>
      <c r="D2116" s="369"/>
      <c r="E2116" s="363"/>
      <c r="F2116" s="374"/>
      <c r="G2116" s="363"/>
      <c r="H2116" s="363"/>
      <c r="I2116" s="363"/>
      <c r="J2116" s="363"/>
      <c r="K2116" s="363"/>
      <c r="L2116" s="363"/>
      <c r="M2116" s="367"/>
    </row>
    <row r="2117" customFormat="false" ht="12.75" hidden="false" customHeight="true" outlineLevel="0" collapsed="false">
      <c r="B2117" s="361"/>
      <c r="C2117" s="369"/>
      <c r="D2117" s="369"/>
      <c r="E2117" s="363"/>
      <c r="F2117" s="374"/>
      <c r="G2117" s="363"/>
      <c r="H2117" s="363"/>
      <c r="I2117" s="363"/>
      <c r="J2117" s="363"/>
      <c r="K2117" s="363"/>
      <c r="L2117" s="363"/>
      <c r="M2117" s="367"/>
    </row>
    <row r="2118" customFormat="false" ht="12.75" hidden="false" customHeight="true" outlineLevel="0" collapsed="false">
      <c r="B2118" s="361"/>
      <c r="C2118" s="369"/>
      <c r="D2118" s="369"/>
      <c r="E2118" s="363"/>
      <c r="F2118" s="374"/>
      <c r="G2118" s="363"/>
      <c r="H2118" s="363"/>
      <c r="I2118" s="363"/>
      <c r="J2118" s="363"/>
      <c r="K2118" s="363"/>
      <c r="L2118" s="363"/>
      <c r="M2118" s="367"/>
    </row>
    <row r="2119" customFormat="false" ht="12.75" hidden="false" customHeight="true" outlineLevel="0" collapsed="false">
      <c r="B2119" s="361"/>
      <c r="C2119" s="369"/>
      <c r="D2119" s="369"/>
      <c r="E2119" s="363"/>
      <c r="F2119" s="374"/>
      <c r="G2119" s="363"/>
      <c r="H2119" s="363"/>
      <c r="I2119" s="363"/>
      <c r="J2119" s="363"/>
      <c r="K2119" s="363"/>
      <c r="L2119" s="363"/>
      <c r="M2119" s="367"/>
    </row>
    <row r="2120" customFormat="false" ht="12.75" hidden="false" customHeight="true" outlineLevel="0" collapsed="false">
      <c r="B2120" s="361"/>
      <c r="C2120" s="369"/>
      <c r="D2120" s="369"/>
      <c r="E2120" s="363"/>
      <c r="F2120" s="374"/>
      <c r="G2120" s="363"/>
      <c r="H2120" s="363"/>
      <c r="I2120" s="363"/>
      <c r="J2120" s="363"/>
      <c r="K2120" s="363"/>
      <c r="L2120" s="363"/>
      <c r="M2120" s="367"/>
    </row>
    <row r="2121" customFormat="false" ht="12.75" hidden="false" customHeight="true" outlineLevel="0" collapsed="false">
      <c r="B2121" s="361"/>
      <c r="C2121" s="369"/>
      <c r="D2121" s="369"/>
      <c r="E2121" s="363"/>
      <c r="F2121" s="374"/>
      <c r="G2121" s="363"/>
      <c r="H2121" s="363"/>
      <c r="I2121" s="363"/>
      <c r="J2121" s="363"/>
      <c r="K2121" s="363"/>
      <c r="L2121" s="363"/>
      <c r="M2121" s="367"/>
    </row>
    <row r="2122" customFormat="false" ht="12.75" hidden="false" customHeight="true" outlineLevel="0" collapsed="false">
      <c r="B2122" s="361"/>
      <c r="C2122" s="369"/>
      <c r="D2122" s="369"/>
      <c r="E2122" s="363"/>
      <c r="F2122" s="374"/>
      <c r="G2122" s="363"/>
      <c r="H2122" s="363"/>
      <c r="I2122" s="363"/>
      <c r="J2122" s="363"/>
      <c r="K2122" s="363"/>
      <c r="L2122" s="363"/>
      <c r="M2122" s="367"/>
    </row>
    <row r="2123" customFormat="false" ht="12.75" hidden="false" customHeight="true" outlineLevel="0" collapsed="false">
      <c r="B2123" s="361"/>
      <c r="C2123" s="369"/>
      <c r="D2123" s="369"/>
      <c r="E2123" s="363"/>
      <c r="F2123" s="374"/>
      <c r="G2123" s="363"/>
      <c r="H2123" s="363"/>
      <c r="I2123" s="363"/>
      <c r="J2123" s="363"/>
      <c r="K2123" s="363"/>
      <c r="L2123" s="363"/>
      <c r="M2123" s="367"/>
    </row>
    <row r="2124" customFormat="false" ht="12.75" hidden="false" customHeight="true" outlineLevel="0" collapsed="false">
      <c r="B2124" s="361"/>
      <c r="C2124" s="369"/>
      <c r="D2124" s="369"/>
      <c r="E2124" s="363"/>
      <c r="F2124" s="374"/>
      <c r="G2124" s="363"/>
      <c r="H2124" s="363"/>
      <c r="I2124" s="363"/>
      <c r="J2124" s="363"/>
      <c r="K2124" s="363"/>
      <c r="L2124" s="363"/>
      <c r="M2124" s="367"/>
    </row>
    <row r="2125" customFormat="false" ht="12.75" hidden="false" customHeight="true" outlineLevel="0" collapsed="false">
      <c r="B2125" s="361"/>
      <c r="C2125" s="369"/>
      <c r="D2125" s="369"/>
      <c r="E2125" s="363"/>
      <c r="F2125" s="374"/>
      <c r="G2125" s="363"/>
      <c r="H2125" s="363"/>
      <c r="I2125" s="363"/>
      <c r="J2125" s="363"/>
      <c r="K2125" s="363"/>
      <c r="L2125" s="363"/>
      <c r="M2125" s="367"/>
    </row>
    <row r="2126" customFormat="false" ht="12.75" hidden="false" customHeight="true" outlineLevel="0" collapsed="false">
      <c r="B2126" s="361"/>
      <c r="C2126" s="369"/>
      <c r="D2126" s="369"/>
      <c r="E2126" s="363"/>
      <c r="F2126" s="374"/>
      <c r="G2126" s="363"/>
      <c r="H2126" s="363"/>
      <c r="I2126" s="363"/>
      <c r="J2126" s="363"/>
      <c r="K2126" s="363"/>
      <c r="L2126" s="363"/>
      <c r="M2126" s="367"/>
    </row>
    <row r="2127" customFormat="false" ht="12.75" hidden="false" customHeight="true" outlineLevel="0" collapsed="false">
      <c r="B2127" s="361"/>
      <c r="C2127" s="369"/>
      <c r="D2127" s="369"/>
      <c r="E2127" s="363"/>
      <c r="F2127" s="374"/>
      <c r="G2127" s="363"/>
      <c r="H2127" s="363"/>
      <c r="I2127" s="363"/>
      <c r="J2127" s="363"/>
      <c r="K2127" s="363"/>
      <c r="L2127" s="363"/>
      <c r="M2127" s="367"/>
    </row>
    <row r="2128" customFormat="false" ht="12.75" hidden="false" customHeight="true" outlineLevel="0" collapsed="false">
      <c r="B2128" s="368"/>
      <c r="C2128" s="369"/>
      <c r="D2128" s="369"/>
      <c r="E2128" s="370"/>
      <c r="F2128" s="375"/>
      <c r="G2128" s="370"/>
      <c r="H2128" s="363"/>
      <c r="I2128" s="370"/>
      <c r="J2128" s="370"/>
      <c r="K2128" s="370"/>
      <c r="L2128" s="370"/>
      <c r="M2128" s="384"/>
    </row>
    <row r="2129" customFormat="false" ht="12.75" hidden="false" customHeight="true" outlineLevel="0" collapsed="false">
      <c r="B2129" s="361"/>
      <c r="C2129" s="369"/>
      <c r="D2129" s="369"/>
      <c r="E2129" s="363"/>
      <c r="F2129" s="374"/>
      <c r="G2129" s="363"/>
      <c r="H2129" s="363"/>
      <c r="I2129" s="363"/>
      <c r="J2129" s="363"/>
      <c r="K2129" s="363"/>
      <c r="L2129" s="363"/>
      <c r="M2129" s="367"/>
    </row>
    <row r="2130" customFormat="false" ht="12.75" hidden="false" customHeight="true" outlineLevel="0" collapsed="false">
      <c r="B2130" s="361"/>
      <c r="C2130" s="369"/>
      <c r="D2130" s="369"/>
      <c r="E2130" s="363"/>
      <c r="F2130" s="374"/>
      <c r="G2130" s="363"/>
      <c r="H2130" s="363"/>
      <c r="I2130" s="363"/>
      <c r="J2130" s="363"/>
      <c r="K2130" s="363"/>
      <c r="L2130" s="363"/>
      <c r="M2130" s="367"/>
    </row>
    <row r="2131" customFormat="false" ht="12.75" hidden="false" customHeight="true" outlineLevel="0" collapsed="false">
      <c r="B2131" s="361"/>
      <c r="C2131" s="369"/>
      <c r="D2131" s="369"/>
      <c r="E2131" s="363"/>
      <c r="F2131" s="374"/>
      <c r="G2131" s="363"/>
      <c r="H2131" s="363"/>
      <c r="I2131" s="363"/>
      <c r="J2131" s="363"/>
      <c r="K2131" s="363"/>
      <c r="L2131" s="363"/>
      <c r="M2131" s="367"/>
    </row>
    <row r="2132" customFormat="false" ht="12.75" hidden="false" customHeight="true" outlineLevel="0" collapsed="false">
      <c r="B2132" s="361"/>
      <c r="C2132" s="369"/>
      <c r="D2132" s="369"/>
      <c r="E2132" s="363"/>
      <c r="F2132" s="374"/>
      <c r="G2132" s="363"/>
      <c r="H2132" s="363"/>
      <c r="I2132" s="363"/>
      <c r="J2132" s="363"/>
      <c r="K2132" s="363"/>
      <c r="L2132" s="363"/>
      <c r="M2132" s="367"/>
    </row>
    <row r="2133" customFormat="false" ht="12.75" hidden="false" customHeight="true" outlineLevel="0" collapsed="false">
      <c r="B2133" s="361"/>
      <c r="C2133" s="369"/>
      <c r="D2133" s="369"/>
      <c r="E2133" s="363"/>
      <c r="F2133" s="374"/>
      <c r="G2133" s="363"/>
      <c r="H2133" s="363"/>
      <c r="I2133" s="363"/>
      <c r="J2133" s="363"/>
      <c r="K2133" s="363"/>
      <c r="L2133" s="363"/>
      <c r="M2133" s="367"/>
    </row>
    <row r="2134" customFormat="false" ht="12.75" hidden="false" customHeight="true" outlineLevel="0" collapsed="false">
      <c r="B2134" s="368"/>
      <c r="C2134" s="369"/>
      <c r="D2134" s="369"/>
      <c r="E2134" s="370"/>
      <c r="F2134" s="375"/>
      <c r="G2134" s="370"/>
      <c r="H2134" s="370"/>
      <c r="I2134" s="370"/>
      <c r="J2134" s="370"/>
      <c r="K2134" s="370"/>
      <c r="L2134" s="370"/>
      <c r="M2134" s="384"/>
    </row>
    <row r="2135" customFormat="false" ht="12.75" hidden="false" customHeight="true" outlineLevel="0" collapsed="false">
      <c r="B2135" s="361"/>
      <c r="C2135" s="362"/>
      <c r="D2135" s="362"/>
      <c r="E2135" s="363"/>
      <c r="F2135" s="372"/>
      <c r="G2135" s="363"/>
      <c r="H2135" s="363"/>
      <c r="I2135" s="363"/>
      <c r="J2135" s="363"/>
      <c r="K2135" s="363"/>
      <c r="L2135" s="363"/>
      <c r="M2135" s="367"/>
    </row>
    <row r="2136" customFormat="false" ht="12.75" hidden="false" customHeight="true" outlineLevel="0" collapsed="false">
      <c r="B2136" s="361"/>
      <c r="C2136" s="362"/>
      <c r="D2136" s="362"/>
      <c r="E2136" s="363"/>
      <c r="F2136" s="372"/>
      <c r="G2136" s="363"/>
      <c r="H2136" s="363"/>
      <c r="I2136" s="363"/>
      <c r="J2136" s="363"/>
      <c r="K2136" s="363"/>
      <c r="L2136" s="363"/>
      <c r="M2136" s="367"/>
    </row>
    <row r="2137" customFormat="false" ht="12.75" hidden="false" customHeight="true" outlineLevel="0" collapsed="false">
      <c r="B2137" s="361"/>
      <c r="C2137" s="362"/>
      <c r="D2137" s="362"/>
      <c r="E2137" s="363"/>
      <c r="F2137" s="372"/>
      <c r="G2137" s="363"/>
      <c r="H2137" s="363"/>
      <c r="I2137" s="363"/>
      <c r="J2137" s="363"/>
      <c r="K2137" s="363"/>
      <c r="L2137" s="363"/>
      <c r="M2137" s="367"/>
    </row>
    <row r="2138" customFormat="false" ht="12.75" hidden="false" customHeight="true" outlineLevel="0" collapsed="false">
      <c r="B2138" s="361"/>
      <c r="C2138" s="362"/>
      <c r="D2138" s="362"/>
      <c r="E2138" s="363"/>
      <c r="F2138" s="372"/>
      <c r="G2138" s="363"/>
      <c r="H2138" s="363"/>
      <c r="I2138" s="363"/>
      <c r="J2138" s="363"/>
      <c r="K2138" s="363"/>
      <c r="L2138" s="363"/>
      <c r="M2138" s="367"/>
    </row>
    <row r="2139" customFormat="false" ht="12.75" hidden="false" customHeight="true" outlineLevel="0" collapsed="false">
      <c r="B2139" s="361"/>
      <c r="C2139" s="362"/>
      <c r="D2139" s="362"/>
      <c r="E2139" s="363"/>
      <c r="F2139" s="372"/>
      <c r="G2139" s="363"/>
      <c r="H2139" s="363"/>
      <c r="I2139" s="363"/>
      <c r="J2139" s="363"/>
      <c r="K2139" s="363"/>
      <c r="L2139" s="363"/>
      <c r="M2139" s="367"/>
    </row>
    <row r="2140" customFormat="false" ht="12.75" hidden="false" customHeight="true" outlineLevel="0" collapsed="false">
      <c r="B2140" s="361"/>
      <c r="C2140" s="362"/>
      <c r="D2140" s="362"/>
      <c r="E2140" s="363"/>
      <c r="F2140" s="372"/>
      <c r="G2140" s="363"/>
      <c r="H2140" s="363"/>
      <c r="I2140" s="363"/>
      <c r="J2140" s="363"/>
      <c r="K2140" s="363"/>
      <c r="L2140" s="363"/>
      <c r="M2140" s="367"/>
    </row>
    <row r="2141" customFormat="false" ht="12.75" hidden="false" customHeight="true" outlineLevel="0" collapsed="false">
      <c r="B2141" s="361"/>
      <c r="C2141" s="362"/>
      <c r="D2141" s="362"/>
      <c r="E2141" s="363"/>
      <c r="F2141" s="372"/>
      <c r="G2141" s="363"/>
      <c r="H2141" s="363"/>
      <c r="I2141" s="363"/>
      <c r="J2141" s="363"/>
      <c r="K2141" s="363"/>
      <c r="L2141" s="363"/>
      <c r="M2141" s="367"/>
    </row>
    <row r="2142" customFormat="false" ht="12.75" hidden="false" customHeight="true" outlineLevel="0" collapsed="false">
      <c r="B2142" s="361"/>
      <c r="C2142" s="362"/>
      <c r="D2142" s="362"/>
      <c r="E2142" s="363"/>
      <c r="F2142" s="372"/>
      <c r="G2142" s="363"/>
      <c r="H2142" s="363"/>
      <c r="I2142" s="363"/>
      <c r="J2142" s="363"/>
      <c r="K2142" s="363"/>
      <c r="L2142" s="363"/>
      <c r="M2142" s="367"/>
    </row>
    <row r="2143" customFormat="false" ht="12.75" hidden="false" customHeight="true" outlineLevel="0" collapsed="false">
      <c r="B2143" s="361"/>
      <c r="C2143" s="362"/>
      <c r="D2143" s="362"/>
      <c r="E2143" s="363"/>
      <c r="F2143" s="372"/>
      <c r="G2143" s="363"/>
      <c r="H2143" s="363"/>
      <c r="I2143" s="363"/>
      <c r="J2143" s="363"/>
      <c r="K2143" s="363"/>
      <c r="L2143" s="363"/>
      <c r="M2143" s="367"/>
    </row>
    <row r="2144" customFormat="false" ht="12.75" hidden="false" customHeight="true" outlineLevel="0" collapsed="false">
      <c r="B2144" s="361"/>
      <c r="C2144" s="362"/>
      <c r="D2144" s="362"/>
      <c r="E2144" s="363"/>
      <c r="F2144" s="372"/>
      <c r="G2144" s="363"/>
      <c r="H2144" s="363"/>
      <c r="I2144" s="363"/>
      <c r="J2144" s="363"/>
      <c r="K2144" s="363"/>
      <c r="L2144" s="363"/>
      <c r="M2144" s="367"/>
    </row>
    <row r="2145" customFormat="false" ht="12.75" hidden="false" customHeight="true" outlineLevel="0" collapsed="false">
      <c r="B2145" s="361"/>
      <c r="C2145" s="362"/>
      <c r="D2145" s="362"/>
      <c r="E2145" s="363"/>
      <c r="F2145" s="372"/>
      <c r="G2145" s="363"/>
      <c r="H2145" s="363"/>
      <c r="I2145" s="363"/>
      <c r="J2145" s="363"/>
      <c r="K2145" s="363"/>
      <c r="L2145" s="363"/>
      <c r="M2145" s="367"/>
    </row>
    <row r="2146" customFormat="false" ht="12.75" hidden="false" customHeight="true" outlineLevel="0" collapsed="false">
      <c r="B2146" s="361"/>
      <c r="C2146" s="362"/>
      <c r="D2146" s="362"/>
      <c r="E2146" s="363"/>
      <c r="F2146" s="372"/>
      <c r="G2146" s="363"/>
      <c r="H2146" s="363"/>
      <c r="I2146" s="363"/>
      <c r="J2146" s="363"/>
      <c r="K2146" s="363"/>
      <c r="L2146" s="363"/>
      <c r="M2146" s="367"/>
    </row>
    <row r="2147" customFormat="false" ht="12.75" hidden="false" customHeight="true" outlineLevel="0" collapsed="false">
      <c r="B2147" s="361"/>
      <c r="C2147" s="362"/>
      <c r="D2147" s="362"/>
      <c r="E2147" s="363"/>
      <c r="F2147" s="372"/>
      <c r="G2147" s="363"/>
      <c r="H2147" s="363"/>
      <c r="I2147" s="363"/>
      <c r="J2147" s="363"/>
      <c r="K2147" s="363"/>
      <c r="L2147" s="363"/>
      <c r="M2147" s="367"/>
    </row>
    <row r="2148" customFormat="false" ht="12.75" hidden="false" customHeight="true" outlineLevel="0" collapsed="false">
      <c r="B2148" s="361"/>
      <c r="C2148" s="362"/>
      <c r="D2148" s="362"/>
      <c r="E2148" s="363"/>
      <c r="F2148" s="372"/>
      <c r="G2148" s="363"/>
      <c r="H2148" s="363"/>
      <c r="I2148" s="363"/>
      <c r="J2148" s="363"/>
      <c r="K2148" s="363"/>
      <c r="L2148" s="363"/>
      <c r="M2148" s="367"/>
    </row>
    <row r="2149" customFormat="false" ht="12.75" hidden="false" customHeight="true" outlineLevel="0" collapsed="false">
      <c r="B2149" s="361"/>
      <c r="C2149" s="362"/>
      <c r="D2149" s="362"/>
      <c r="E2149" s="363"/>
      <c r="F2149" s="372"/>
      <c r="G2149" s="363"/>
      <c r="H2149" s="363"/>
      <c r="I2149" s="363"/>
      <c r="J2149" s="363"/>
      <c r="K2149" s="363"/>
      <c r="L2149" s="363"/>
      <c r="M2149" s="367"/>
    </row>
    <row r="2150" customFormat="false" ht="12.75" hidden="false" customHeight="true" outlineLevel="0" collapsed="false">
      <c r="B2150" s="361"/>
      <c r="C2150" s="362"/>
      <c r="D2150" s="362"/>
      <c r="E2150" s="363"/>
      <c r="F2150" s="372"/>
      <c r="G2150" s="363"/>
      <c r="H2150" s="363"/>
      <c r="I2150" s="363"/>
      <c r="J2150" s="363"/>
      <c r="K2150" s="363"/>
      <c r="L2150" s="363"/>
      <c r="M2150" s="367"/>
    </row>
    <row r="2151" customFormat="false" ht="12.75" hidden="false" customHeight="true" outlineLevel="0" collapsed="false">
      <c r="B2151" s="361"/>
      <c r="C2151" s="362"/>
      <c r="D2151" s="362"/>
      <c r="E2151" s="363"/>
      <c r="F2151" s="372"/>
      <c r="G2151" s="363"/>
      <c r="H2151" s="363"/>
      <c r="I2151" s="363"/>
      <c r="J2151" s="363"/>
      <c r="K2151" s="363"/>
      <c r="L2151" s="363"/>
      <c r="M2151" s="367"/>
    </row>
    <row r="2152" customFormat="false" ht="12.75" hidden="false" customHeight="true" outlineLevel="0" collapsed="false">
      <c r="B2152" s="361"/>
      <c r="C2152" s="362"/>
      <c r="D2152" s="362"/>
      <c r="E2152" s="363"/>
      <c r="F2152" s="372"/>
      <c r="G2152" s="363"/>
      <c r="H2152" s="363"/>
      <c r="I2152" s="363"/>
      <c r="J2152" s="363"/>
      <c r="K2152" s="363"/>
      <c r="L2152" s="363"/>
      <c r="M2152" s="367"/>
    </row>
    <row r="2153" customFormat="false" ht="12.75" hidden="false" customHeight="true" outlineLevel="0" collapsed="false">
      <c r="B2153" s="361"/>
      <c r="C2153" s="362"/>
      <c r="D2153" s="362"/>
      <c r="E2153" s="363"/>
      <c r="F2153" s="372"/>
      <c r="G2153" s="363"/>
      <c r="H2153" s="363"/>
      <c r="I2153" s="363"/>
      <c r="J2153" s="363"/>
      <c r="K2153" s="363"/>
      <c r="L2153" s="363"/>
      <c r="M2153" s="367"/>
    </row>
    <row r="2154" customFormat="false" ht="12.75" hidden="false" customHeight="true" outlineLevel="0" collapsed="false">
      <c r="B2154" s="361"/>
      <c r="C2154" s="362"/>
      <c r="D2154" s="362"/>
      <c r="E2154" s="363"/>
      <c r="F2154" s="372"/>
      <c r="G2154" s="363"/>
      <c r="H2154" s="363"/>
      <c r="I2154" s="363"/>
      <c r="J2154" s="363"/>
      <c r="K2154" s="363"/>
      <c r="L2154" s="363"/>
      <c r="M2154" s="367"/>
    </row>
    <row r="2155" customFormat="false" ht="12.75" hidden="false" customHeight="true" outlineLevel="0" collapsed="false">
      <c r="B2155" s="361"/>
      <c r="C2155" s="362"/>
      <c r="D2155" s="362"/>
      <c r="E2155" s="363"/>
      <c r="F2155" s="372"/>
      <c r="G2155" s="363"/>
      <c r="H2155" s="363"/>
      <c r="I2155" s="363"/>
      <c r="J2155" s="363"/>
      <c r="K2155" s="363"/>
      <c r="L2155" s="363"/>
      <c r="M2155" s="367"/>
    </row>
    <row r="2156" customFormat="false" ht="12.75" hidden="false" customHeight="true" outlineLevel="0" collapsed="false">
      <c r="B2156" s="361"/>
      <c r="C2156" s="362"/>
      <c r="D2156" s="362"/>
      <c r="E2156" s="363"/>
      <c r="F2156" s="372"/>
      <c r="G2156" s="363"/>
      <c r="H2156" s="363"/>
      <c r="I2156" s="363"/>
      <c r="J2156" s="363"/>
      <c r="K2156" s="363"/>
      <c r="L2156" s="363"/>
      <c r="M2156" s="367"/>
    </row>
    <row r="2157" customFormat="false" ht="12.75" hidden="false" customHeight="true" outlineLevel="0" collapsed="false">
      <c r="B2157" s="361"/>
      <c r="C2157" s="362"/>
      <c r="D2157" s="362"/>
      <c r="E2157" s="363"/>
      <c r="F2157" s="372"/>
      <c r="G2157" s="363"/>
      <c r="H2157" s="363"/>
      <c r="I2157" s="363"/>
      <c r="J2157" s="363"/>
      <c r="K2157" s="363"/>
      <c r="L2157" s="363"/>
      <c r="M2157" s="367"/>
    </row>
    <row r="2158" customFormat="false" ht="12.75" hidden="false" customHeight="true" outlineLevel="0" collapsed="false">
      <c r="B2158" s="361"/>
      <c r="C2158" s="362"/>
      <c r="D2158" s="362"/>
      <c r="E2158" s="363"/>
      <c r="F2158" s="372"/>
      <c r="G2158" s="363"/>
      <c r="H2158" s="363"/>
      <c r="I2158" s="363"/>
      <c r="J2158" s="363"/>
      <c r="K2158" s="363"/>
      <c r="L2158" s="363"/>
      <c r="M2158" s="367"/>
    </row>
    <row r="2159" customFormat="false" ht="12.75" hidden="false" customHeight="true" outlineLevel="0" collapsed="false">
      <c r="B2159" s="361"/>
      <c r="C2159" s="362"/>
      <c r="D2159" s="362"/>
      <c r="E2159" s="363"/>
      <c r="F2159" s="372"/>
      <c r="G2159" s="363"/>
      <c r="H2159" s="363"/>
      <c r="I2159" s="363"/>
      <c r="J2159" s="363"/>
      <c r="K2159" s="363"/>
      <c r="L2159" s="363"/>
      <c r="M2159" s="367"/>
    </row>
    <row r="2160" customFormat="false" ht="12.75" hidden="false" customHeight="true" outlineLevel="0" collapsed="false">
      <c r="B2160" s="361"/>
      <c r="C2160" s="362"/>
      <c r="D2160" s="362"/>
      <c r="E2160" s="363"/>
      <c r="F2160" s="372"/>
      <c r="G2160" s="363"/>
      <c r="H2160" s="363"/>
      <c r="I2160" s="363"/>
      <c r="J2160" s="363"/>
      <c r="K2160" s="363"/>
      <c r="L2160" s="363"/>
      <c r="M2160" s="367"/>
    </row>
    <row r="2161" customFormat="false" ht="12.75" hidden="false" customHeight="true" outlineLevel="0" collapsed="false">
      <c r="B2161" s="361"/>
      <c r="C2161" s="362"/>
      <c r="D2161" s="362"/>
      <c r="E2161" s="363"/>
      <c r="F2161" s="372"/>
      <c r="G2161" s="363"/>
      <c r="H2161" s="363"/>
      <c r="I2161" s="363"/>
      <c r="J2161" s="363"/>
      <c r="K2161" s="363"/>
      <c r="L2161" s="363"/>
      <c r="M2161" s="367"/>
    </row>
    <row r="2162" customFormat="false" ht="12.75" hidden="false" customHeight="true" outlineLevel="0" collapsed="false">
      <c r="B2162" s="361"/>
      <c r="C2162" s="362"/>
      <c r="D2162" s="362"/>
      <c r="E2162" s="363"/>
      <c r="F2162" s="372"/>
      <c r="G2162" s="363"/>
      <c r="H2162" s="363"/>
      <c r="I2162" s="363"/>
      <c r="J2162" s="363"/>
      <c r="K2162" s="363"/>
      <c r="L2162" s="363"/>
      <c r="M2162" s="367"/>
    </row>
    <row r="2163" customFormat="false" ht="12.75" hidden="false" customHeight="true" outlineLevel="0" collapsed="false">
      <c r="B2163" s="361"/>
      <c r="C2163" s="362"/>
      <c r="D2163" s="362"/>
      <c r="E2163" s="363"/>
      <c r="F2163" s="372"/>
      <c r="G2163" s="363"/>
      <c r="H2163" s="363"/>
      <c r="I2163" s="363"/>
      <c r="J2163" s="363"/>
      <c r="K2163" s="363"/>
      <c r="L2163" s="363"/>
      <c r="M2163" s="367"/>
    </row>
    <row r="2164" customFormat="false" ht="12.75" hidden="false" customHeight="true" outlineLevel="0" collapsed="false">
      <c r="B2164" s="361"/>
      <c r="C2164" s="362"/>
      <c r="D2164" s="362"/>
      <c r="E2164" s="363"/>
      <c r="F2164" s="372"/>
      <c r="G2164" s="363"/>
      <c r="H2164" s="363"/>
      <c r="I2164" s="363"/>
      <c r="J2164" s="363"/>
      <c r="K2164" s="363"/>
      <c r="L2164" s="363"/>
      <c r="M2164" s="367"/>
    </row>
    <row r="2165" customFormat="false" ht="12.75" hidden="false" customHeight="true" outlineLevel="0" collapsed="false">
      <c r="B2165" s="361"/>
      <c r="C2165" s="362"/>
      <c r="D2165" s="362"/>
      <c r="E2165" s="363"/>
      <c r="F2165" s="372"/>
      <c r="G2165" s="363"/>
      <c r="H2165" s="363"/>
      <c r="I2165" s="363"/>
      <c r="J2165" s="363"/>
      <c r="K2165" s="363"/>
      <c r="L2165" s="363"/>
      <c r="M2165" s="367"/>
    </row>
    <row r="2166" customFormat="false" ht="12.75" hidden="false" customHeight="true" outlineLevel="0" collapsed="false">
      <c r="B2166" s="361"/>
      <c r="C2166" s="362"/>
      <c r="D2166" s="362"/>
      <c r="E2166" s="363"/>
      <c r="F2166" s="372"/>
      <c r="G2166" s="363"/>
      <c r="H2166" s="363"/>
      <c r="I2166" s="363"/>
      <c r="J2166" s="363"/>
      <c r="K2166" s="363"/>
      <c r="L2166" s="363"/>
      <c r="M2166" s="367"/>
    </row>
    <row r="2167" customFormat="false" ht="12.75" hidden="false" customHeight="true" outlineLevel="0" collapsed="false">
      <c r="B2167" s="361"/>
      <c r="C2167" s="362"/>
      <c r="D2167" s="362"/>
      <c r="E2167" s="363"/>
      <c r="F2167" s="372"/>
      <c r="G2167" s="363"/>
      <c r="H2167" s="363"/>
      <c r="I2167" s="363"/>
      <c r="J2167" s="363"/>
      <c r="K2167" s="363"/>
      <c r="L2167" s="363"/>
      <c r="M2167" s="367"/>
    </row>
    <row r="2168" customFormat="false" ht="12.75" hidden="false" customHeight="true" outlineLevel="0" collapsed="false">
      <c r="B2168" s="361"/>
      <c r="C2168" s="362"/>
      <c r="D2168" s="362"/>
      <c r="E2168" s="363"/>
      <c r="F2168" s="372"/>
      <c r="G2168" s="363"/>
      <c r="H2168" s="363"/>
      <c r="I2168" s="363"/>
      <c r="J2168" s="363"/>
      <c r="K2168" s="363"/>
      <c r="L2168" s="363"/>
      <c r="M2168" s="367"/>
    </row>
    <row r="2169" customFormat="false" ht="12.75" hidden="false" customHeight="true" outlineLevel="0" collapsed="false">
      <c r="B2169" s="361"/>
      <c r="C2169" s="362"/>
      <c r="D2169" s="362"/>
      <c r="E2169" s="363"/>
      <c r="F2169" s="372"/>
      <c r="G2169" s="363"/>
      <c r="H2169" s="363"/>
      <c r="I2169" s="363"/>
      <c r="J2169" s="363"/>
      <c r="K2169" s="363"/>
      <c r="L2169" s="363"/>
      <c r="M2169" s="367"/>
    </row>
    <row r="2170" customFormat="false" ht="12.75" hidden="false" customHeight="true" outlineLevel="0" collapsed="false">
      <c r="B2170" s="361"/>
      <c r="C2170" s="362"/>
      <c r="D2170" s="362"/>
      <c r="E2170" s="363"/>
      <c r="F2170" s="372"/>
      <c r="G2170" s="363"/>
      <c r="H2170" s="363"/>
      <c r="I2170" s="363"/>
      <c r="J2170" s="363"/>
      <c r="K2170" s="363"/>
      <c r="L2170" s="365"/>
      <c r="M2170" s="367"/>
    </row>
    <row r="2171" customFormat="false" ht="12.75" hidden="false" customHeight="true" outlineLevel="0" collapsed="false">
      <c r="B2171" s="361"/>
      <c r="C2171" s="362"/>
      <c r="D2171" s="362"/>
      <c r="E2171" s="363"/>
      <c r="F2171" s="372"/>
      <c r="G2171" s="363"/>
      <c r="H2171" s="363"/>
      <c r="I2171" s="363"/>
      <c r="J2171" s="363"/>
      <c r="K2171" s="363"/>
      <c r="L2171" s="365"/>
      <c r="M2171" s="367"/>
    </row>
    <row r="2172" customFormat="false" ht="12.75" hidden="false" customHeight="true" outlineLevel="0" collapsed="false">
      <c r="B2172" s="361"/>
      <c r="C2172" s="362"/>
      <c r="D2172" s="362"/>
      <c r="E2172" s="363"/>
      <c r="F2172" s="372"/>
      <c r="G2172" s="363"/>
      <c r="H2172" s="363"/>
      <c r="I2172" s="363"/>
      <c r="J2172" s="363"/>
      <c r="K2172" s="363"/>
      <c r="L2172" s="365"/>
      <c r="M2172" s="367"/>
    </row>
    <row r="2173" customFormat="false" ht="12.75" hidden="false" customHeight="true" outlineLevel="0" collapsed="false">
      <c r="B2173" s="361"/>
      <c r="C2173" s="362"/>
      <c r="D2173" s="362"/>
      <c r="E2173" s="363"/>
      <c r="F2173" s="372"/>
      <c r="G2173" s="363"/>
      <c r="H2173" s="363"/>
      <c r="I2173" s="363"/>
      <c r="J2173" s="363"/>
      <c r="K2173" s="363"/>
      <c r="L2173" s="363"/>
      <c r="M2173" s="367"/>
    </row>
    <row r="2174" customFormat="false" ht="12.75" hidden="false" customHeight="true" outlineLevel="0" collapsed="false">
      <c r="B2174" s="361"/>
      <c r="C2174" s="362"/>
      <c r="D2174" s="362"/>
      <c r="E2174" s="363"/>
      <c r="F2174" s="372"/>
      <c r="G2174" s="363"/>
      <c r="H2174" s="363"/>
      <c r="I2174" s="363"/>
      <c r="J2174" s="363"/>
      <c r="K2174" s="363"/>
      <c r="L2174" s="363"/>
      <c r="M2174" s="367"/>
    </row>
    <row r="2175" customFormat="false" ht="12.75" hidden="false" customHeight="true" outlineLevel="0" collapsed="false">
      <c r="B2175" s="361"/>
      <c r="C2175" s="362"/>
      <c r="D2175" s="362"/>
      <c r="E2175" s="363"/>
      <c r="F2175" s="372"/>
      <c r="G2175" s="363"/>
      <c r="H2175" s="363"/>
      <c r="I2175" s="363"/>
      <c r="J2175" s="363"/>
      <c r="K2175" s="363"/>
      <c r="L2175" s="363"/>
      <c r="M2175" s="367"/>
    </row>
    <row r="2176" customFormat="false" ht="12.75" hidden="false" customHeight="true" outlineLevel="0" collapsed="false">
      <c r="B2176" s="361"/>
      <c r="C2176" s="362"/>
      <c r="D2176" s="362"/>
      <c r="E2176" s="363"/>
      <c r="F2176" s="372"/>
      <c r="G2176" s="363"/>
      <c r="H2176" s="363"/>
      <c r="I2176" s="363"/>
      <c r="J2176" s="363"/>
      <c r="K2176" s="363"/>
      <c r="L2176" s="363"/>
      <c r="M2176" s="367"/>
    </row>
    <row r="2177" customFormat="false" ht="12.75" hidden="false" customHeight="true" outlineLevel="0" collapsed="false">
      <c r="B2177" s="361"/>
      <c r="C2177" s="362"/>
      <c r="D2177" s="362"/>
      <c r="E2177" s="363"/>
      <c r="F2177" s="372"/>
      <c r="G2177" s="363"/>
      <c r="H2177" s="363"/>
      <c r="I2177" s="363"/>
      <c r="J2177" s="363"/>
      <c r="K2177" s="363"/>
      <c r="L2177" s="363"/>
      <c r="M2177" s="367"/>
    </row>
    <row r="2178" customFormat="false" ht="12.75" hidden="false" customHeight="true" outlineLevel="0" collapsed="false">
      <c r="B2178" s="361"/>
      <c r="C2178" s="362"/>
      <c r="D2178" s="362"/>
      <c r="E2178" s="363"/>
      <c r="F2178" s="372"/>
      <c r="G2178" s="363"/>
      <c r="H2178" s="363"/>
      <c r="I2178" s="363"/>
      <c r="J2178" s="363"/>
      <c r="K2178" s="363"/>
      <c r="L2178" s="363"/>
      <c r="M2178" s="367"/>
    </row>
    <row r="2179" customFormat="false" ht="12.75" hidden="false" customHeight="true" outlineLevel="0" collapsed="false">
      <c r="B2179" s="361"/>
      <c r="C2179" s="362"/>
      <c r="D2179" s="362"/>
      <c r="E2179" s="363"/>
      <c r="F2179" s="372"/>
      <c r="G2179" s="363"/>
      <c r="H2179" s="363"/>
      <c r="I2179" s="363"/>
      <c r="J2179" s="363"/>
      <c r="K2179" s="363"/>
      <c r="L2179" s="363"/>
      <c r="M2179" s="367"/>
    </row>
    <row r="2180" customFormat="false" ht="12.75" hidden="false" customHeight="true" outlineLevel="0" collapsed="false">
      <c r="B2180" s="361"/>
      <c r="C2180" s="362"/>
      <c r="D2180" s="362"/>
      <c r="E2180" s="363"/>
      <c r="F2180" s="372"/>
      <c r="G2180" s="363"/>
      <c r="H2180" s="363"/>
      <c r="I2180" s="363"/>
      <c r="J2180" s="363"/>
      <c r="K2180" s="363"/>
      <c r="L2180" s="363"/>
      <c r="M2180" s="367"/>
    </row>
    <row r="2181" customFormat="false" ht="12.75" hidden="false" customHeight="true" outlineLevel="0" collapsed="false">
      <c r="B2181" s="361"/>
      <c r="C2181" s="362"/>
      <c r="D2181" s="362"/>
      <c r="E2181" s="363"/>
      <c r="F2181" s="372"/>
      <c r="G2181" s="363"/>
      <c r="H2181" s="363"/>
      <c r="I2181" s="363"/>
      <c r="J2181" s="363"/>
      <c r="K2181" s="363"/>
      <c r="L2181" s="363"/>
      <c r="M2181" s="367"/>
    </row>
    <row r="2182" customFormat="false" ht="12.75" hidden="false" customHeight="true" outlineLevel="0" collapsed="false">
      <c r="B2182" s="361"/>
      <c r="C2182" s="362"/>
      <c r="D2182" s="362"/>
      <c r="E2182" s="363"/>
      <c r="F2182" s="372"/>
      <c r="G2182" s="363"/>
      <c r="H2182" s="363"/>
      <c r="I2182" s="363"/>
      <c r="J2182" s="363"/>
      <c r="K2182" s="363"/>
      <c r="L2182" s="363"/>
      <c r="M2182" s="367"/>
    </row>
    <row r="2183" customFormat="false" ht="12.75" hidden="false" customHeight="true" outlineLevel="0" collapsed="false">
      <c r="B2183" s="361"/>
      <c r="C2183" s="362"/>
      <c r="D2183" s="362"/>
      <c r="E2183" s="363"/>
      <c r="F2183" s="372"/>
      <c r="G2183" s="363"/>
      <c r="H2183" s="363"/>
      <c r="I2183" s="363"/>
      <c r="J2183" s="363"/>
      <c r="K2183" s="363"/>
      <c r="L2183" s="363"/>
      <c r="M2183" s="367"/>
    </row>
    <row r="2184" customFormat="false" ht="12.75" hidden="false" customHeight="true" outlineLevel="0" collapsed="false">
      <c r="B2184" s="361"/>
      <c r="C2184" s="362"/>
      <c r="D2184" s="362"/>
      <c r="E2184" s="363"/>
      <c r="F2184" s="372"/>
      <c r="G2184" s="363"/>
      <c r="H2184" s="363"/>
      <c r="I2184" s="363"/>
      <c r="J2184" s="363"/>
      <c r="K2184" s="363"/>
      <c r="L2184" s="363"/>
      <c r="M2184" s="367"/>
    </row>
    <row r="2185" customFormat="false" ht="12.75" hidden="false" customHeight="true" outlineLevel="0" collapsed="false">
      <c r="B2185" s="361"/>
      <c r="C2185" s="362"/>
      <c r="D2185" s="362"/>
      <c r="E2185" s="363"/>
      <c r="F2185" s="372"/>
      <c r="G2185" s="363"/>
      <c r="H2185" s="363"/>
      <c r="I2185" s="363"/>
      <c r="J2185" s="363"/>
      <c r="K2185" s="363"/>
      <c r="L2185" s="363"/>
      <c r="M2185" s="367"/>
    </row>
    <row r="2186" customFormat="false" ht="12.75" hidden="false" customHeight="true" outlineLevel="0" collapsed="false">
      <c r="B2186" s="361"/>
      <c r="C2186" s="362"/>
      <c r="D2186" s="362"/>
      <c r="E2186" s="363"/>
      <c r="F2186" s="372"/>
      <c r="G2186" s="363"/>
      <c r="H2186" s="363"/>
      <c r="I2186" s="363"/>
      <c r="J2186" s="363"/>
      <c r="K2186" s="363"/>
      <c r="L2186" s="363"/>
      <c r="M2186" s="367"/>
    </row>
    <row r="2187" customFormat="false" ht="12.75" hidden="false" customHeight="true" outlineLevel="0" collapsed="false">
      <c r="B2187" s="361"/>
      <c r="C2187" s="362"/>
      <c r="D2187" s="362"/>
      <c r="E2187" s="363"/>
      <c r="F2187" s="372"/>
      <c r="G2187" s="363"/>
      <c r="H2187" s="363"/>
      <c r="I2187" s="363"/>
      <c r="J2187" s="363"/>
      <c r="K2187" s="363"/>
      <c r="L2187" s="363"/>
      <c r="M2187" s="367"/>
    </row>
    <row r="2188" customFormat="false" ht="12.75" hidden="false" customHeight="true" outlineLevel="0" collapsed="false">
      <c r="B2188" s="361"/>
      <c r="C2188" s="362"/>
      <c r="D2188" s="362"/>
      <c r="E2188" s="363"/>
      <c r="F2188" s="372"/>
      <c r="G2188" s="363"/>
      <c r="H2188" s="363"/>
      <c r="I2188" s="363"/>
      <c r="J2188" s="363"/>
      <c r="K2188" s="363"/>
      <c r="L2188" s="363"/>
      <c r="M2188" s="367"/>
    </row>
    <row r="2189" customFormat="false" ht="12.75" hidden="false" customHeight="true" outlineLevel="0" collapsed="false">
      <c r="B2189" s="361"/>
      <c r="C2189" s="362"/>
      <c r="D2189" s="362"/>
      <c r="E2189" s="363"/>
      <c r="F2189" s="372"/>
      <c r="G2189" s="363"/>
      <c r="H2189" s="363"/>
      <c r="I2189" s="363"/>
      <c r="J2189" s="363"/>
      <c r="K2189" s="363"/>
      <c r="L2189" s="363"/>
      <c r="M2189" s="367"/>
    </row>
    <row r="2190" customFormat="false" ht="12.75" hidden="false" customHeight="true" outlineLevel="0" collapsed="false">
      <c r="B2190" s="361"/>
      <c r="C2190" s="362"/>
      <c r="D2190" s="362"/>
      <c r="E2190" s="363"/>
      <c r="F2190" s="372"/>
      <c r="G2190" s="363"/>
      <c r="H2190" s="363"/>
      <c r="I2190" s="363"/>
      <c r="J2190" s="363"/>
      <c r="K2190" s="363"/>
      <c r="L2190" s="363"/>
      <c r="M2190" s="367"/>
    </row>
    <row r="2191" customFormat="false" ht="12.75" hidden="false" customHeight="true" outlineLevel="0" collapsed="false">
      <c r="B2191" s="368"/>
      <c r="C2191" s="369"/>
      <c r="D2191" s="369"/>
      <c r="E2191" s="370"/>
      <c r="F2191" s="373"/>
      <c r="G2191" s="370"/>
      <c r="H2191" s="370"/>
      <c r="I2191" s="370"/>
      <c r="J2191" s="370"/>
      <c r="K2191" s="370"/>
      <c r="L2191" s="370"/>
      <c r="M2191" s="384"/>
    </row>
    <row r="2192" customFormat="false" ht="12.75" hidden="false" customHeight="true" outlineLevel="0" collapsed="false">
      <c r="B2192" s="361"/>
      <c r="C2192" s="369"/>
      <c r="D2192" s="369"/>
      <c r="E2192" s="370"/>
      <c r="F2192" s="372"/>
      <c r="G2192" s="363"/>
      <c r="H2192" s="363"/>
      <c r="I2192" s="363"/>
      <c r="J2192" s="363"/>
      <c r="K2192" s="363"/>
      <c r="L2192" s="365"/>
      <c r="M2192" s="367"/>
    </row>
    <row r="2193" customFormat="false" ht="12.75" hidden="false" customHeight="true" outlineLevel="0" collapsed="false">
      <c r="B2193" s="361"/>
      <c r="C2193" s="369"/>
      <c r="D2193" s="369"/>
      <c r="E2193" s="370"/>
      <c r="F2193" s="372"/>
      <c r="G2193" s="363"/>
      <c r="H2193" s="363"/>
      <c r="I2193" s="363"/>
      <c r="J2193" s="363"/>
      <c r="K2193" s="363"/>
      <c r="L2193" s="365"/>
      <c r="M2193" s="367"/>
    </row>
    <row r="2194" customFormat="false" ht="12.75" hidden="false" customHeight="true" outlineLevel="0" collapsed="false">
      <c r="B2194" s="361"/>
      <c r="C2194" s="362"/>
      <c r="D2194" s="362"/>
      <c r="E2194" s="363"/>
      <c r="F2194" s="372"/>
      <c r="G2194" s="363"/>
      <c r="H2194" s="363"/>
      <c r="I2194" s="363"/>
      <c r="J2194" s="363"/>
      <c r="K2194" s="363"/>
      <c r="L2194" s="363"/>
      <c r="M2194" s="367"/>
    </row>
    <row r="2195" customFormat="false" ht="12.75" hidden="false" customHeight="true" outlineLevel="0" collapsed="false">
      <c r="B2195" s="361"/>
      <c r="C2195" s="362"/>
      <c r="D2195" s="362"/>
      <c r="E2195" s="363"/>
      <c r="F2195" s="372"/>
      <c r="G2195" s="363"/>
      <c r="H2195" s="363"/>
      <c r="I2195" s="363"/>
      <c r="J2195" s="363"/>
      <c r="K2195" s="363"/>
      <c r="L2195" s="363"/>
      <c r="M2195" s="367"/>
    </row>
    <row r="2196" customFormat="false" ht="12.75" hidden="false" customHeight="true" outlineLevel="0" collapsed="false">
      <c r="B2196" s="361"/>
      <c r="C2196" s="362"/>
      <c r="D2196" s="362"/>
      <c r="E2196" s="363"/>
      <c r="F2196" s="372"/>
      <c r="G2196" s="363"/>
      <c r="H2196" s="363"/>
      <c r="I2196" s="363"/>
      <c r="J2196" s="363"/>
      <c r="K2196" s="363"/>
      <c r="L2196" s="363"/>
      <c r="M2196" s="367"/>
    </row>
    <row r="2197" customFormat="false" ht="12.75" hidden="false" customHeight="true" outlineLevel="0" collapsed="false">
      <c r="B2197" s="361"/>
      <c r="C2197" s="362"/>
      <c r="D2197" s="362"/>
      <c r="E2197" s="363"/>
      <c r="F2197" s="372"/>
      <c r="G2197" s="363"/>
      <c r="H2197" s="363"/>
      <c r="I2197" s="363"/>
      <c r="J2197" s="363"/>
      <c r="K2197" s="363"/>
      <c r="L2197" s="363"/>
      <c r="M2197" s="367"/>
    </row>
    <row r="2198" customFormat="false" ht="12.75" hidden="false" customHeight="true" outlineLevel="0" collapsed="false">
      <c r="B2198" s="361"/>
      <c r="C2198" s="362"/>
      <c r="D2198" s="362"/>
      <c r="E2198" s="363"/>
      <c r="F2198" s="372"/>
      <c r="G2198" s="363"/>
      <c r="H2198" s="363"/>
      <c r="I2198" s="363"/>
      <c r="J2198" s="363"/>
      <c r="K2198" s="363"/>
      <c r="L2198" s="363"/>
      <c r="M2198" s="367"/>
    </row>
    <row r="2199" customFormat="false" ht="12.75" hidden="false" customHeight="true" outlineLevel="0" collapsed="false">
      <c r="B2199" s="361"/>
      <c r="C2199" s="362"/>
      <c r="D2199" s="362"/>
      <c r="E2199" s="363"/>
      <c r="F2199" s="372"/>
      <c r="G2199" s="363"/>
      <c r="H2199" s="363"/>
      <c r="I2199" s="363"/>
      <c r="J2199" s="363"/>
      <c r="K2199" s="363"/>
      <c r="L2199" s="363"/>
      <c r="M2199" s="367"/>
    </row>
    <row r="2200" customFormat="false" ht="12.75" hidden="false" customHeight="true" outlineLevel="0" collapsed="false">
      <c r="B2200" s="361"/>
      <c r="C2200" s="362"/>
      <c r="D2200" s="362"/>
      <c r="E2200" s="363"/>
      <c r="F2200" s="372"/>
      <c r="G2200" s="363"/>
      <c r="H2200" s="363"/>
      <c r="I2200" s="363"/>
      <c r="J2200" s="363"/>
      <c r="K2200" s="363"/>
      <c r="L2200" s="363"/>
      <c r="M2200" s="367"/>
    </row>
    <row r="2201" customFormat="false" ht="12.75" hidden="false" customHeight="true" outlineLevel="0" collapsed="false">
      <c r="B2201" s="361"/>
      <c r="C2201" s="362"/>
      <c r="D2201" s="362"/>
      <c r="E2201" s="363"/>
      <c r="F2201" s="372"/>
      <c r="G2201" s="363"/>
      <c r="H2201" s="363"/>
      <c r="I2201" s="363"/>
      <c r="J2201" s="363"/>
      <c r="K2201" s="363"/>
      <c r="L2201" s="363"/>
      <c r="M2201" s="367"/>
    </row>
    <row r="2202" customFormat="false" ht="12.75" hidden="false" customHeight="true" outlineLevel="0" collapsed="false">
      <c r="B2202" s="361"/>
      <c r="C2202" s="362"/>
      <c r="D2202" s="362"/>
      <c r="E2202" s="363"/>
      <c r="F2202" s="372"/>
      <c r="G2202" s="363"/>
      <c r="H2202" s="363"/>
      <c r="I2202" s="363"/>
      <c r="J2202" s="363"/>
      <c r="K2202" s="363"/>
      <c r="L2202" s="363"/>
      <c r="M2202" s="367"/>
    </row>
    <row r="2203" customFormat="false" ht="12.75" hidden="false" customHeight="true" outlineLevel="0" collapsed="false">
      <c r="B2203" s="361"/>
      <c r="C2203" s="362"/>
      <c r="D2203" s="362"/>
      <c r="E2203" s="363"/>
      <c r="F2203" s="372"/>
      <c r="G2203" s="363"/>
      <c r="H2203" s="363"/>
      <c r="I2203" s="363"/>
      <c r="J2203" s="363"/>
      <c r="K2203" s="363"/>
      <c r="L2203" s="363"/>
      <c r="M2203" s="367"/>
    </row>
    <row r="2204" customFormat="false" ht="12.75" hidden="false" customHeight="true" outlineLevel="0" collapsed="false">
      <c r="B2204" s="361"/>
      <c r="C2204" s="362"/>
      <c r="D2204" s="362"/>
      <c r="E2204" s="363"/>
      <c r="F2204" s="372"/>
      <c r="G2204" s="363"/>
      <c r="H2204" s="363"/>
      <c r="I2204" s="363"/>
      <c r="J2204" s="363"/>
      <c r="K2204" s="363"/>
      <c r="L2204" s="363"/>
      <c r="M2204" s="367"/>
    </row>
    <row r="2205" customFormat="false" ht="12.75" hidden="false" customHeight="true" outlineLevel="0" collapsed="false">
      <c r="B2205" s="361"/>
      <c r="C2205" s="362"/>
      <c r="D2205" s="362"/>
      <c r="E2205" s="363"/>
      <c r="F2205" s="372"/>
      <c r="G2205" s="363"/>
      <c r="H2205" s="363"/>
      <c r="I2205" s="363"/>
      <c r="J2205" s="363"/>
      <c r="K2205" s="363"/>
      <c r="L2205" s="363"/>
      <c r="M2205" s="367"/>
    </row>
    <row r="2206" customFormat="false" ht="12.75" hidden="false" customHeight="true" outlineLevel="0" collapsed="false">
      <c r="B2206" s="361"/>
      <c r="C2206" s="362"/>
      <c r="D2206" s="362"/>
      <c r="E2206" s="363"/>
      <c r="F2206" s="372"/>
      <c r="G2206" s="363"/>
      <c r="H2206" s="363"/>
      <c r="I2206" s="363"/>
      <c r="J2206" s="363"/>
      <c r="K2206" s="363"/>
      <c r="L2206" s="363"/>
      <c r="M2206" s="367"/>
    </row>
    <row r="2207" customFormat="false" ht="12.75" hidden="false" customHeight="true" outlineLevel="0" collapsed="false">
      <c r="B2207" s="361"/>
      <c r="C2207" s="362"/>
      <c r="D2207" s="362"/>
      <c r="E2207" s="363"/>
      <c r="F2207" s="372"/>
      <c r="G2207" s="363"/>
      <c r="H2207" s="363"/>
      <c r="I2207" s="363"/>
      <c r="J2207" s="363"/>
      <c r="K2207" s="363"/>
      <c r="L2207" s="363"/>
      <c r="M2207" s="367"/>
    </row>
    <row r="2208" customFormat="false" ht="12.75" hidden="false" customHeight="true" outlineLevel="0" collapsed="false">
      <c r="B2208" s="361"/>
      <c r="C2208" s="362"/>
      <c r="D2208" s="362"/>
      <c r="E2208" s="363"/>
      <c r="F2208" s="372"/>
      <c r="G2208" s="363"/>
      <c r="H2208" s="363"/>
      <c r="I2208" s="363"/>
      <c r="J2208" s="363"/>
      <c r="K2208" s="363"/>
      <c r="L2208" s="363"/>
      <c r="M2208" s="367"/>
    </row>
    <row r="2209" customFormat="false" ht="12.75" hidden="false" customHeight="true" outlineLevel="0" collapsed="false">
      <c r="B2209" s="368"/>
      <c r="C2209" s="369"/>
      <c r="D2209" s="369"/>
      <c r="E2209" s="370"/>
      <c r="F2209" s="373"/>
      <c r="G2209" s="370"/>
      <c r="H2209" s="370"/>
      <c r="I2209" s="370"/>
      <c r="J2209" s="370"/>
      <c r="K2209" s="370"/>
      <c r="L2209" s="370"/>
      <c r="M2209" s="384"/>
    </row>
    <row r="2210" customFormat="false" ht="12.75" hidden="false" customHeight="true" outlineLevel="0" collapsed="false">
      <c r="B2210" s="361"/>
      <c r="C2210" s="369"/>
      <c r="D2210" s="369"/>
      <c r="E2210" s="363"/>
      <c r="F2210" s="364"/>
      <c r="G2210" s="363"/>
      <c r="H2210" s="370"/>
      <c r="I2210" s="363"/>
      <c r="J2210" s="363"/>
      <c r="K2210" s="363"/>
      <c r="L2210" s="363"/>
      <c r="M2210" s="367"/>
    </row>
    <row r="2211" customFormat="false" ht="12.75" hidden="false" customHeight="true" outlineLevel="0" collapsed="false">
      <c r="B2211" s="361"/>
      <c r="C2211" s="369"/>
      <c r="D2211" s="369"/>
      <c r="E2211" s="363"/>
      <c r="F2211" s="364"/>
      <c r="G2211" s="363"/>
      <c r="H2211" s="363"/>
      <c r="I2211" s="363"/>
      <c r="J2211" s="363"/>
      <c r="K2211" s="363"/>
      <c r="L2211" s="363"/>
      <c r="M2211" s="367"/>
    </row>
    <row r="2212" customFormat="false" ht="12.75" hidden="false" customHeight="true" outlineLevel="0" collapsed="false">
      <c r="B2212" s="361"/>
      <c r="C2212" s="369"/>
      <c r="D2212" s="369"/>
      <c r="E2212" s="363"/>
      <c r="F2212" s="364"/>
      <c r="G2212" s="363"/>
      <c r="H2212" s="370"/>
      <c r="I2212" s="363"/>
      <c r="J2212" s="363"/>
      <c r="K2212" s="363"/>
      <c r="L2212" s="363"/>
      <c r="M2212" s="367"/>
    </row>
    <row r="2213" customFormat="false" ht="12.75" hidden="false" customHeight="true" outlineLevel="0" collapsed="false">
      <c r="B2213" s="361"/>
      <c r="C2213" s="369"/>
      <c r="D2213" s="369"/>
      <c r="E2213" s="363"/>
      <c r="F2213" s="364"/>
      <c r="G2213" s="363"/>
      <c r="H2213" s="363"/>
      <c r="I2213" s="363"/>
      <c r="J2213" s="363"/>
      <c r="K2213" s="363"/>
      <c r="L2213" s="363"/>
      <c r="M2213" s="367"/>
    </row>
    <row r="2214" customFormat="false" ht="12.75" hidden="false" customHeight="true" outlineLevel="0" collapsed="false">
      <c r="B2214" s="361"/>
      <c r="C2214" s="369"/>
      <c r="D2214" s="369"/>
      <c r="E2214" s="363"/>
      <c r="F2214" s="364"/>
      <c r="G2214" s="363"/>
      <c r="H2214" s="363"/>
      <c r="I2214" s="363"/>
      <c r="J2214" s="363"/>
      <c r="K2214" s="363"/>
      <c r="L2214" s="363"/>
      <c r="M2214" s="367"/>
    </row>
    <row r="2215" customFormat="false" ht="12.75" hidden="false" customHeight="true" outlineLevel="0" collapsed="false">
      <c r="B2215" s="361"/>
      <c r="C2215" s="369"/>
      <c r="D2215" s="369"/>
      <c r="E2215" s="363"/>
      <c r="F2215" s="364"/>
      <c r="G2215" s="363"/>
      <c r="H2215" s="363"/>
      <c r="I2215" s="363"/>
      <c r="J2215" s="363"/>
      <c r="K2215" s="363"/>
      <c r="L2215" s="363"/>
      <c r="M2215" s="367"/>
    </row>
    <row r="2216" customFormat="false" ht="12.75" hidden="false" customHeight="true" outlineLevel="0" collapsed="false">
      <c r="B2216" s="361"/>
      <c r="C2216" s="369"/>
      <c r="D2216" s="369"/>
      <c r="E2216" s="363"/>
      <c r="F2216" s="364"/>
      <c r="G2216" s="363"/>
      <c r="H2216" s="363"/>
      <c r="I2216" s="363"/>
      <c r="J2216" s="363"/>
      <c r="K2216" s="363"/>
      <c r="L2216" s="363"/>
      <c r="M2216" s="367"/>
    </row>
    <row r="2217" customFormat="false" ht="12.75" hidden="false" customHeight="true" outlineLevel="0" collapsed="false">
      <c r="B2217" s="361"/>
      <c r="C2217" s="369"/>
      <c r="D2217" s="369"/>
      <c r="E2217" s="363"/>
      <c r="F2217" s="364"/>
      <c r="G2217" s="363"/>
      <c r="H2217" s="363"/>
      <c r="I2217" s="363"/>
      <c r="J2217" s="363"/>
      <c r="K2217" s="363"/>
      <c r="L2217" s="363"/>
      <c r="M2217" s="367"/>
    </row>
    <row r="2218" customFormat="false" ht="12.75" hidden="false" customHeight="true" outlineLevel="0" collapsed="false">
      <c r="B2218" s="361"/>
      <c r="C2218" s="369"/>
      <c r="D2218" s="369"/>
      <c r="E2218" s="363"/>
      <c r="F2218" s="364"/>
      <c r="G2218" s="363"/>
      <c r="H2218" s="363"/>
      <c r="I2218" s="363"/>
      <c r="J2218" s="363"/>
      <c r="K2218" s="363"/>
      <c r="L2218" s="363"/>
      <c r="M2218" s="367"/>
    </row>
    <row r="2219" customFormat="false" ht="12.75" hidden="false" customHeight="true" outlineLevel="0" collapsed="false">
      <c r="B2219" s="361"/>
      <c r="C2219" s="369"/>
      <c r="D2219" s="369"/>
      <c r="E2219" s="363"/>
      <c r="F2219" s="364"/>
      <c r="G2219" s="363"/>
      <c r="H2219" s="363"/>
      <c r="I2219" s="363"/>
      <c r="J2219" s="363"/>
      <c r="K2219" s="363"/>
      <c r="L2219" s="363"/>
      <c r="M2219" s="367"/>
    </row>
    <row r="2220" customFormat="false" ht="12.75" hidden="false" customHeight="true" outlineLevel="0" collapsed="false">
      <c r="B2220" s="361"/>
      <c r="C2220" s="369"/>
      <c r="D2220" s="369"/>
      <c r="E2220" s="363"/>
      <c r="F2220" s="364"/>
      <c r="G2220" s="363"/>
      <c r="H2220" s="363"/>
      <c r="I2220" s="363"/>
      <c r="J2220" s="363"/>
      <c r="K2220" s="363"/>
      <c r="L2220" s="363"/>
      <c r="M2220" s="367"/>
    </row>
    <row r="2221" customFormat="false" ht="12.75" hidden="false" customHeight="true" outlineLevel="0" collapsed="false">
      <c r="B2221" s="361"/>
      <c r="C2221" s="369"/>
      <c r="D2221" s="369"/>
      <c r="E2221" s="363"/>
      <c r="F2221" s="364"/>
      <c r="G2221" s="363"/>
      <c r="H2221" s="363"/>
      <c r="I2221" s="363"/>
      <c r="J2221" s="363"/>
      <c r="K2221" s="363"/>
      <c r="L2221" s="363"/>
      <c r="M2221" s="367"/>
    </row>
    <row r="2222" customFormat="false" ht="12.75" hidden="false" customHeight="true" outlineLevel="0" collapsed="false">
      <c r="B2222" s="361"/>
      <c r="C2222" s="369"/>
      <c r="D2222" s="369"/>
      <c r="E2222" s="363"/>
      <c r="F2222" s="364"/>
      <c r="G2222" s="363"/>
      <c r="H2222" s="363"/>
      <c r="I2222" s="363"/>
      <c r="J2222" s="363"/>
      <c r="K2222" s="363"/>
      <c r="L2222" s="363"/>
      <c r="M2222" s="367"/>
    </row>
    <row r="2223" customFormat="false" ht="12.75" hidden="false" customHeight="true" outlineLevel="0" collapsed="false">
      <c r="B2223" s="361"/>
      <c r="C2223" s="369"/>
      <c r="D2223" s="369"/>
      <c r="E2223" s="363"/>
      <c r="F2223" s="364"/>
      <c r="G2223" s="363"/>
      <c r="H2223" s="363"/>
      <c r="I2223" s="363"/>
      <c r="J2223" s="363"/>
      <c r="K2223" s="363"/>
      <c r="L2223" s="363"/>
      <c r="M2223" s="367"/>
    </row>
    <row r="2224" customFormat="false" ht="12.75" hidden="false" customHeight="true" outlineLevel="0" collapsed="false">
      <c r="B2224" s="361"/>
      <c r="C2224" s="369"/>
      <c r="D2224" s="369"/>
      <c r="E2224" s="363"/>
      <c r="F2224" s="364"/>
      <c r="G2224" s="363"/>
      <c r="H2224" s="363"/>
      <c r="I2224" s="363"/>
      <c r="J2224" s="363"/>
      <c r="K2224" s="363"/>
      <c r="L2224" s="363"/>
      <c r="M2224" s="367"/>
    </row>
    <row r="2225" customFormat="false" ht="12.75" hidden="false" customHeight="true" outlineLevel="0" collapsed="false">
      <c r="B2225" s="361"/>
      <c r="C2225" s="369"/>
      <c r="D2225" s="369"/>
      <c r="E2225" s="363"/>
      <c r="F2225" s="364"/>
      <c r="G2225" s="363"/>
      <c r="H2225" s="363"/>
      <c r="I2225" s="363"/>
      <c r="J2225" s="363"/>
      <c r="K2225" s="363"/>
      <c r="L2225" s="363"/>
      <c r="M2225" s="367"/>
    </row>
    <row r="2226" customFormat="false" ht="12.75" hidden="false" customHeight="true" outlineLevel="0" collapsed="false">
      <c r="B2226" s="361"/>
      <c r="C2226" s="369"/>
      <c r="D2226" s="369"/>
      <c r="E2226" s="363"/>
      <c r="F2226" s="364"/>
      <c r="G2226" s="363"/>
      <c r="H2226" s="363"/>
      <c r="I2226" s="363"/>
      <c r="J2226" s="363"/>
      <c r="K2226" s="363"/>
      <c r="L2226" s="363"/>
      <c r="M2226" s="367"/>
    </row>
    <row r="2227" customFormat="false" ht="12.75" hidden="false" customHeight="true" outlineLevel="0" collapsed="false">
      <c r="B2227" s="361"/>
      <c r="C2227" s="369"/>
      <c r="D2227" s="369"/>
      <c r="E2227" s="363"/>
      <c r="F2227" s="364"/>
      <c r="G2227" s="363"/>
      <c r="H2227" s="363"/>
      <c r="I2227" s="363"/>
      <c r="J2227" s="363"/>
      <c r="K2227" s="363"/>
      <c r="L2227" s="363"/>
      <c r="M2227" s="367"/>
    </row>
    <row r="2228" customFormat="false" ht="12.75" hidden="false" customHeight="true" outlineLevel="0" collapsed="false">
      <c r="B2228" s="361"/>
      <c r="C2228" s="369"/>
      <c r="D2228" s="369"/>
      <c r="E2228" s="363"/>
      <c r="F2228" s="364"/>
      <c r="G2228" s="363"/>
      <c r="H2228" s="363"/>
      <c r="I2228" s="363"/>
      <c r="J2228" s="363"/>
      <c r="K2228" s="363"/>
      <c r="L2228" s="363"/>
      <c r="M2228" s="367"/>
    </row>
    <row r="2229" customFormat="false" ht="12.75" hidden="false" customHeight="true" outlineLevel="0" collapsed="false">
      <c r="B2229" s="361"/>
      <c r="C2229" s="369"/>
      <c r="D2229" s="369"/>
      <c r="E2229" s="363"/>
      <c r="F2229" s="364"/>
      <c r="G2229" s="363"/>
      <c r="H2229" s="363"/>
      <c r="I2229" s="363"/>
      <c r="J2229" s="363"/>
      <c r="K2229" s="363"/>
      <c r="L2229" s="363"/>
      <c r="M2229" s="367"/>
    </row>
    <row r="2230" customFormat="false" ht="12.75" hidden="false" customHeight="true" outlineLevel="0" collapsed="false">
      <c r="B2230" s="361"/>
      <c r="C2230" s="369"/>
      <c r="D2230" s="369"/>
      <c r="E2230" s="363"/>
      <c r="F2230" s="364"/>
      <c r="G2230" s="363"/>
      <c r="H2230" s="363"/>
      <c r="I2230" s="363"/>
      <c r="J2230" s="363"/>
      <c r="K2230" s="363"/>
      <c r="L2230" s="363"/>
      <c r="M2230" s="367"/>
    </row>
    <row r="2231" customFormat="false" ht="12.75" hidden="false" customHeight="true" outlineLevel="0" collapsed="false">
      <c r="B2231" s="361"/>
      <c r="C2231" s="369"/>
      <c r="D2231" s="369"/>
      <c r="E2231" s="363"/>
      <c r="F2231" s="364"/>
      <c r="G2231" s="363"/>
      <c r="H2231" s="363"/>
      <c r="I2231" s="363"/>
      <c r="J2231" s="363"/>
      <c r="K2231" s="363"/>
      <c r="L2231" s="363"/>
      <c r="M2231" s="367"/>
    </row>
    <row r="2232" customFormat="false" ht="12.75" hidden="false" customHeight="true" outlineLevel="0" collapsed="false">
      <c r="B2232" s="361"/>
      <c r="C2232" s="369"/>
      <c r="D2232" s="369"/>
      <c r="E2232" s="363"/>
      <c r="F2232" s="364"/>
      <c r="G2232" s="363"/>
      <c r="H2232" s="363"/>
      <c r="I2232" s="363"/>
      <c r="J2232" s="363"/>
      <c r="K2232" s="363"/>
      <c r="L2232" s="363"/>
      <c r="M2232" s="367"/>
    </row>
    <row r="2233" customFormat="false" ht="12.75" hidden="false" customHeight="true" outlineLevel="0" collapsed="false">
      <c r="B2233" s="361"/>
      <c r="C2233" s="369"/>
      <c r="D2233" s="369"/>
      <c r="E2233" s="363"/>
      <c r="F2233" s="364"/>
      <c r="G2233" s="363"/>
      <c r="H2233" s="363"/>
      <c r="I2233" s="363"/>
      <c r="J2233" s="363"/>
      <c r="K2233" s="363"/>
      <c r="L2233" s="363"/>
      <c r="M2233" s="367"/>
    </row>
    <row r="2234" customFormat="false" ht="12.75" hidden="false" customHeight="true" outlineLevel="0" collapsed="false">
      <c r="B2234" s="368"/>
      <c r="C2234" s="369"/>
      <c r="D2234" s="369"/>
      <c r="E2234" s="370"/>
      <c r="F2234" s="371"/>
      <c r="G2234" s="370"/>
      <c r="H2234" s="370"/>
      <c r="I2234" s="370"/>
      <c r="J2234" s="370"/>
      <c r="K2234" s="370"/>
      <c r="L2234" s="370"/>
      <c r="M2234" s="384"/>
    </row>
    <row r="2235" customFormat="false" ht="12.75" hidden="false" customHeight="true" outlineLevel="0" collapsed="false">
      <c r="B2235" s="361"/>
      <c r="C2235" s="369"/>
      <c r="D2235" s="369"/>
      <c r="E2235" s="363"/>
      <c r="F2235" s="364"/>
      <c r="G2235" s="363"/>
      <c r="H2235" s="363"/>
      <c r="I2235" s="363"/>
      <c r="J2235" s="363"/>
      <c r="K2235" s="363"/>
      <c r="L2235" s="363"/>
      <c r="M2235" s="367"/>
    </row>
    <row r="2236" customFormat="false" ht="12.75" hidden="false" customHeight="true" outlineLevel="0" collapsed="false">
      <c r="B2236" s="361"/>
      <c r="C2236" s="369"/>
      <c r="D2236" s="369"/>
      <c r="E2236" s="363"/>
      <c r="F2236" s="364"/>
      <c r="G2236" s="363"/>
      <c r="H2236" s="363"/>
      <c r="I2236" s="363"/>
      <c r="J2236" s="363"/>
      <c r="K2236" s="363"/>
      <c r="L2236" s="363"/>
      <c r="M2236" s="367"/>
    </row>
    <row r="2237" customFormat="false" ht="12.75" hidden="false" customHeight="true" outlineLevel="0" collapsed="false">
      <c r="B2237" s="361"/>
      <c r="C2237" s="369"/>
      <c r="D2237" s="369"/>
      <c r="E2237" s="363"/>
      <c r="F2237" s="364"/>
      <c r="G2237" s="363"/>
      <c r="H2237" s="363"/>
      <c r="I2237" s="363"/>
      <c r="J2237" s="363"/>
      <c r="K2237" s="363"/>
      <c r="L2237" s="363"/>
      <c r="M2237" s="367"/>
    </row>
    <row r="2238" customFormat="false" ht="12.75" hidden="false" customHeight="true" outlineLevel="0" collapsed="false">
      <c r="B2238" s="361"/>
      <c r="C2238" s="369"/>
      <c r="D2238" s="369"/>
      <c r="E2238" s="363"/>
      <c r="F2238" s="364"/>
      <c r="G2238" s="363"/>
      <c r="H2238" s="363"/>
      <c r="I2238" s="363"/>
      <c r="J2238" s="363"/>
      <c r="K2238" s="363"/>
      <c r="L2238" s="363"/>
      <c r="M2238" s="367"/>
    </row>
    <row r="2239" customFormat="false" ht="12.75" hidden="false" customHeight="true" outlineLevel="0" collapsed="false">
      <c r="B2239" s="361"/>
      <c r="C2239" s="369"/>
      <c r="D2239" s="369"/>
      <c r="E2239" s="363"/>
      <c r="F2239" s="364"/>
      <c r="G2239" s="363"/>
      <c r="H2239" s="363"/>
      <c r="I2239" s="363"/>
      <c r="J2239" s="363"/>
      <c r="K2239" s="363"/>
      <c r="L2239" s="363"/>
      <c r="M2239" s="367"/>
    </row>
    <row r="2240" customFormat="false" ht="12.75" hidden="false" customHeight="true" outlineLevel="0" collapsed="false">
      <c r="B2240" s="361"/>
      <c r="C2240" s="369"/>
      <c r="D2240" s="369"/>
      <c r="E2240" s="363"/>
      <c r="F2240" s="364"/>
      <c r="G2240" s="363"/>
      <c r="H2240" s="363"/>
      <c r="I2240" s="363"/>
      <c r="J2240" s="363"/>
      <c r="K2240" s="363"/>
      <c r="L2240" s="363"/>
      <c r="M2240" s="367"/>
    </row>
    <row r="2241" customFormat="false" ht="12.75" hidden="false" customHeight="true" outlineLevel="0" collapsed="false">
      <c r="B2241" s="361"/>
      <c r="C2241" s="369"/>
      <c r="D2241" s="369"/>
      <c r="E2241" s="363"/>
      <c r="F2241" s="364"/>
      <c r="G2241" s="363"/>
      <c r="H2241" s="363"/>
      <c r="I2241" s="363"/>
      <c r="J2241" s="363"/>
      <c r="K2241" s="363"/>
      <c r="L2241" s="363"/>
      <c r="M2241" s="367"/>
    </row>
    <row r="2242" customFormat="false" ht="12.75" hidden="false" customHeight="true" outlineLevel="0" collapsed="false">
      <c r="B2242" s="361"/>
      <c r="C2242" s="369"/>
      <c r="D2242" s="369"/>
      <c r="E2242" s="363"/>
      <c r="F2242" s="364"/>
      <c r="G2242" s="363"/>
      <c r="H2242" s="363"/>
      <c r="I2242" s="363"/>
      <c r="J2242" s="363"/>
      <c r="K2242" s="363"/>
      <c r="L2242" s="363"/>
      <c r="M2242" s="367"/>
    </row>
    <row r="2243" customFormat="false" ht="12.75" hidden="false" customHeight="true" outlineLevel="0" collapsed="false">
      <c r="B2243" s="361"/>
      <c r="C2243" s="369"/>
      <c r="D2243" s="369"/>
      <c r="E2243" s="363"/>
      <c r="F2243" s="364"/>
      <c r="G2243" s="363"/>
      <c r="H2243" s="363"/>
      <c r="I2243" s="363"/>
      <c r="J2243" s="363"/>
      <c r="K2243" s="363"/>
      <c r="L2243" s="363"/>
      <c r="M2243" s="367"/>
    </row>
    <row r="2244" customFormat="false" ht="12.75" hidden="false" customHeight="true" outlineLevel="0" collapsed="false">
      <c r="B2244" s="361"/>
      <c r="C2244" s="369"/>
      <c r="D2244" s="369"/>
      <c r="E2244" s="363"/>
      <c r="F2244" s="364"/>
      <c r="G2244" s="363"/>
      <c r="H2244" s="363"/>
      <c r="I2244" s="363"/>
      <c r="J2244" s="363"/>
      <c r="K2244" s="363"/>
      <c r="L2244" s="363"/>
      <c r="M2244" s="367"/>
    </row>
    <row r="2245" customFormat="false" ht="12.75" hidden="false" customHeight="true" outlineLevel="0" collapsed="false">
      <c r="B2245" s="361"/>
      <c r="C2245" s="369"/>
      <c r="D2245" s="369"/>
      <c r="E2245" s="363"/>
      <c r="F2245" s="364"/>
      <c r="G2245" s="363"/>
      <c r="H2245" s="363"/>
      <c r="I2245" s="363"/>
      <c r="J2245" s="363"/>
      <c r="K2245" s="363"/>
      <c r="L2245" s="363"/>
      <c r="M2245" s="367"/>
    </row>
    <row r="2246" customFormat="false" ht="12.75" hidden="false" customHeight="true" outlineLevel="0" collapsed="false">
      <c r="B2246" s="361"/>
      <c r="C2246" s="369"/>
      <c r="D2246" s="369"/>
      <c r="E2246" s="363"/>
      <c r="F2246" s="364"/>
      <c r="G2246" s="363"/>
      <c r="H2246" s="363"/>
      <c r="I2246" s="363"/>
      <c r="J2246" s="363"/>
      <c r="K2246" s="363"/>
      <c r="L2246" s="363"/>
      <c r="M2246" s="367"/>
    </row>
    <row r="2247" customFormat="false" ht="12.75" hidden="false" customHeight="true" outlineLevel="0" collapsed="false">
      <c r="B2247" s="361"/>
      <c r="C2247" s="369"/>
      <c r="D2247" s="369"/>
      <c r="E2247" s="363"/>
      <c r="F2247" s="364"/>
      <c r="G2247" s="363"/>
      <c r="H2247" s="363"/>
      <c r="I2247" s="363"/>
      <c r="J2247" s="363"/>
      <c r="K2247" s="363"/>
      <c r="L2247" s="363"/>
      <c r="M2247" s="367"/>
    </row>
    <row r="2248" customFormat="false" ht="12.75" hidden="false" customHeight="true" outlineLevel="0" collapsed="false">
      <c r="B2248" s="361"/>
      <c r="C2248" s="369"/>
      <c r="D2248" s="369"/>
      <c r="E2248" s="363"/>
      <c r="F2248" s="364"/>
      <c r="G2248" s="363"/>
      <c r="H2248" s="363"/>
      <c r="I2248" s="363"/>
      <c r="J2248" s="363"/>
      <c r="K2248" s="363"/>
      <c r="L2248" s="363"/>
      <c r="M2248" s="367"/>
    </row>
    <row r="2249" customFormat="false" ht="12.75" hidden="false" customHeight="true" outlineLevel="0" collapsed="false">
      <c r="B2249" s="361"/>
      <c r="C2249" s="369"/>
      <c r="D2249" s="369"/>
      <c r="E2249" s="363"/>
      <c r="F2249" s="364"/>
      <c r="G2249" s="363"/>
      <c r="H2249" s="363"/>
      <c r="I2249" s="363"/>
      <c r="J2249" s="363"/>
      <c r="K2249" s="363"/>
      <c r="L2249" s="363"/>
      <c r="M2249" s="367"/>
    </row>
    <row r="2250" customFormat="false" ht="12.75" hidden="false" customHeight="true" outlineLevel="0" collapsed="false">
      <c r="B2250" s="361"/>
      <c r="C2250" s="369"/>
      <c r="D2250" s="369"/>
      <c r="E2250" s="363"/>
      <c r="F2250" s="364"/>
      <c r="G2250" s="363"/>
      <c r="H2250" s="363"/>
      <c r="I2250" s="363"/>
      <c r="J2250" s="363"/>
      <c r="K2250" s="363"/>
      <c r="L2250" s="363"/>
      <c r="M2250" s="367"/>
    </row>
    <row r="2251" customFormat="false" ht="12.75" hidden="false" customHeight="true" outlineLevel="0" collapsed="false">
      <c r="B2251" s="361"/>
      <c r="C2251" s="369"/>
      <c r="D2251" s="369"/>
      <c r="E2251" s="363"/>
      <c r="F2251" s="364"/>
      <c r="G2251" s="363"/>
      <c r="H2251" s="363"/>
      <c r="I2251" s="363"/>
      <c r="J2251" s="363"/>
      <c r="K2251" s="363"/>
      <c r="L2251" s="363"/>
      <c r="M2251" s="367"/>
    </row>
    <row r="2252" customFormat="false" ht="12.75" hidden="false" customHeight="true" outlineLevel="0" collapsed="false">
      <c r="B2252" s="361"/>
      <c r="C2252" s="369"/>
      <c r="D2252" s="369"/>
      <c r="E2252" s="363"/>
      <c r="F2252" s="364"/>
      <c r="G2252" s="363"/>
      <c r="H2252" s="363"/>
      <c r="I2252" s="363"/>
      <c r="J2252" s="363"/>
      <c r="K2252" s="363"/>
      <c r="L2252" s="363"/>
      <c r="M2252" s="367"/>
    </row>
    <row r="2253" customFormat="false" ht="12.75" hidden="false" customHeight="true" outlineLevel="0" collapsed="false">
      <c r="B2253" s="361"/>
      <c r="C2253" s="369"/>
      <c r="D2253" s="369"/>
      <c r="E2253" s="363"/>
      <c r="F2253" s="364"/>
      <c r="G2253" s="363"/>
      <c r="H2253" s="363"/>
      <c r="I2253" s="363"/>
      <c r="J2253" s="363"/>
      <c r="K2253" s="363"/>
      <c r="L2253" s="363"/>
      <c r="M2253" s="367"/>
    </row>
    <row r="2254" customFormat="false" ht="12.75" hidden="false" customHeight="true" outlineLevel="0" collapsed="false">
      <c r="B2254" s="361"/>
      <c r="C2254" s="369"/>
      <c r="D2254" s="369"/>
      <c r="E2254" s="363"/>
      <c r="F2254" s="364"/>
      <c r="G2254" s="363"/>
      <c r="H2254" s="363"/>
      <c r="I2254" s="363"/>
      <c r="J2254" s="363"/>
      <c r="K2254" s="363"/>
      <c r="L2254" s="363"/>
      <c r="M2254" s="367"/>
    </row>
    <row r="2255" customFormat="false" ht="12.75" hidden="false" customHeight="true" outlineLevel="0" collapsed="false">
      <c r="B2255" s="361"/>
      <c r="C2255" s="369"/>
      <c r="D2255" s="369"/>
      <c r="E2255" s="363"/>
      <c r="F2255" s="364"/>
      <c r="G2255" s="363"/>
      <c r="H2255" s="363"/>
      <c r="I2255" s="363"/>
      <c r="J2255" s="363"/>
      <c r="K2255" s="363"/>
      <c r="L2255" s="363"/>
      <c r="M2255" s="367"/>
    </row>
    <row r="2256" customFormat="false" ht="12.75" hidden="false" customHeight="true" outlineLevel="0" collapsed="false">
      <c r="B2256" s="361"/>
      <c r="C2256" s="369"/>
      <c r="D2256" s="369"/>
      <c r="E2256" s="363"/>
      <c r="F2256" s="364"/>
      <c r="G2256" s="363"/>
      <c r="H2256" s="363"/>
      <c r="I2256" s="363"/>
      <c r="J2256" s="363"/>
      <c r="K2256" s="363"/>
      <c r="L2256" s="363"/>
      <c r="M2256" s="367"/>
    </row>
    <row r="2257" customFormat="false" ht="12.75" hidden="false" customHeight="true" outlineLevel="0" collapsed="false">
      <c r="B2257" s="361"/>
      <c r="C2257" s="369"/>
      <c r="D2257" s="369"/>
      <c r="E2257" s="363"/>
      <c r="F2257" s="364"/>
      <c r="G2257" s="363"/>
      <c r="H2257" s="363"/>
      <c r="I2257" s="363"/>
      <c r="J2257" s="363"/>
      <c r="K2257" s="363"/>
      <c r="L2257" s="363"/>
      <c r="M2257" s="367"/>
    </row>
    <row r="2258" customFormat="false" ht="12.75" hidden="false" customHeight="true" outlineLevel="0" collapsed="false">
      <c r="B2258" s="361"/>
      <c r="C2258" s="369"/>
      <c r="D2258" s="369"/>
      <c r="E2258" s="363"/>
      <c r="F2258" s="364"/>
      <c r="G2258" s="363"/>
      <c r="H2258" s="363"/>
      <c r="I2258" s="363"/>
      <c r="J2258" s="363"/>
      <c r="K2258" s="363"/>
      <c r="L2258" s="363"/>
      <c r="M2258" s="367"/>
    </row>
    <row r="2259" customFormat="false" ht="12.75" hidden="false" customHeight="true" outlineLevel="0" collapsed="false">
      <c r="B2259" s="361"/>
      <c r="C2259" s="369"/>
      <c r="D2259" s="369"/>
      <c r="E2259" s="363"/>
      <c r="F2259" s="364"/>
      <c r="G2259" s="363"/>
      <c r="H2259" s="363"/>
      <c r="I2259" s="363"/>
      <c r="J2259" s="363"/>
      <c r="K2259" s="363"/>
      <c r="L2259" s="363"/>
      <c r="M2259" s="367"/>
    </row>
    <row r="2260" customFormat="false" ht="12.75" hidden="false" customHeight="true" outlineLevel="0" collapsed="false">
      <c r="B2260" s="361"/>
      <c r="C2260" s="369"/>
      <c r="D2260" s="369"/>
      <c r="E2260" s="363"/>
      <c r="F2260" s="364"/>
      <c r="G2260" s="363"/>
      <c r="H2260" s="363"/>
      <c r="I2260" s="363"/>
      <c r="J2260" s="363"/>
      <c r="K2260" s="363"/>
      <c r="L2260" s="363"/>
      <c r="M2260" s="367"/>
    </row>
    <row r="2261" customFormat="false" ht="12.75" hidden="false" customHeight="true" outlineLevel="0" collapsed="false">
      <c r="B2261" s="361"/>
      <c r="C2261" s="369"/>
      <c r="D2261" s="369"/>
      <c r="E2261" s="363"/>
      <c r="F2261" s="364"/>
      <c r="G2261" s="363"/>
      <c r="H2261" s="363"/>
      <c r="I2261" s="363"/>
      <c r="J2261" s="363"/>
      <c r="K2261" s="363"/>
      <c r="L2261" s="363"/>
      <c r="M2261" s="367"/>
    </row>
    <row r="2262" customFormat="false" ht="12.75" hidden="false" customHeight="true" outlineLevel="0" collapsed="false">
      <c r="B2262" s="361"/>
      <c r="C2262" s="369"/>
      <c r="D2262" s="369"/>
      <c r="E2262" s="363"/>
      <c r="F2262" s="364"/>
      <c r="G2262" s="363"/>
      <c r="H2262" s="363"/>
      <c r="I2262" s="363"/>
      <c r="J2262" s="363"/>
      <c r="K2262" s="363"/>
      <c r="L2262" s="363"/>
      <c r="M2262" s="367"/>
    </row>
    <row r="2263" customFormat="false" ht="12.75" hidden="false" customHeight="true" outlineLevel="0" collapsed="false">
      <c r="B2263" s="368"/>
      <c r="C2263" s="369"/>
      <c r="D2263" s="369"/>
      <c r="E2263" s="370"/>
      <c r="F2263" s="371"/>
      <c r="G2263" s="370"/>
      <c r="H2263" s="363"/>
      <c r="I2263" s="370"/>
      <c r="J2263" s="370"/>
      <c r="K2263" s="370"/>
      <c r="L2263" s="370"/>
      <c r="M2263" s="384"/>
    </row>
    <row r="2264" customFormat="false" ht="12.75" hidden="false" customHeight="true" outlineLevel="0" collapsed="false">
      <c r="B2264" s="361"/>
      <c r="C2264" s="369"/>
      <c r="D2264" s="369"/>
      <c r="E2264" s="363"/>
      <c r="F2264" s="364"/>
      <c r="G2264" s="363"/>
      <c r="H2264" s="363"/>
      <c r="I2264" s="363"/>
      <c r="J2264" s="363"/>
      <c r="K2264" s="363"/>
      <c r="L2264" s="363"/>
      <c r="M2264" s="367"/>
    </row>
    <row r="2265" customFormat="false" ht="12.75" hidden="false" customHeight="true" outlineLevel="0" collapsed="false">
      <c r="B2265" s="361"/>
      <c r="C2265" s="369"/>
      <c r="D2265" s="369"/>
      <c r="E2265" s="363"/>
      <c r="F2265" s="364"/>
      <c r="G2265" s="363"/>
      <c r="H2265" s="363"/>
      <c r="I2265" s="363"/>
      <c r="J2265" s="363"/>
      <c r="K2265" s="363"/>
      <c r="L2265" s="363"/>
      <c r="M2265" s="367"/>
    </row>
    <row r="2266" customFormat="false" ht="12.75" hidden="false" customHeight="true" outlineLevel="0" collapsed="false">
      <c r="B2266" s="361"/>
      <c r="C2266" s="369"/>
      <c r="D2266" s="369"/>
      <c r="E2266" s="363"/>
      <c r="F2266" s="364"/>
      <c r="G2266" s="363"/>
      <c r="H2266" s="363"/>
      <c r="I2266" s="363"/>
      <c r="J2266" s="363"/>
      <c r="K2266" s="363"/>
      <c r="L2266" s="363"/>
      <c r="M2266" s="367"/>
    </row>
    <row r="2267" customFormat="false" ht="12.75" hidden="false" customHeight="true" outlineLevel="0" collapsed="false">
      <c r="B2267" s="361"/>
      <c r="C2267" s="369"/>
      <c r="D2267" s="369"/>
      <c r="E2267" s="363"/>
      <c r="F2267" s="364"/>
      <c r="G2267" s="363"/>
      <c r="H2267" s="363"/>
      <c r="I2267" s="363"/>
      <c r="J2267" s="363"/>
      <c r="K2267" s="363"/>
      <c r="L2267" s="363"/>
      <c r="M2267" s="367"/>
    </row>
    <row r="2268" customFormat="false" ht="12.75" hidden="false" customHeight="true" outlineLevel="0" collapsed="false">
      <c r="B2268" s="361"/>
      <c r="C2268" s="369"/>
      <c r="D2268" s="369"/>
      <c r="E2268" s="363"/>
      <c r="F2268" s="364"/>
      <c r="G2268" s="363"/>
      <c r="H2268" s="363"/>
      <c r="I2268" s="363"/>
      <c r="J2268" s="363"/>
      <c r="K2268" s="363"/>
      <c r="L2268" s="363"/>
      <c r="M2268" s="367"/>
    </row>
    <row r="2269" customFormat="false" ht="12.75" hidden="false" customHeight="true" outlineLevel="0" collapsed="false">
      <c r="B2269" s="361"/>
      <c r="C2269" s="369"/>
      <c r="D2269" s="369"/>
      <c r="E2269" s="363"/>
      <c r="F2269" s="364"/>
      <c r="G2269" s="363"/>
      <c r="H2269" s="363"/>
      <c r="I2269" s="363"/>
      <c r="J2269" s="363"/>
      <c r="K2269" s="363"/>
      <c r="L2269" s="363"/>
      <c r="M2269" s="367"/>
    </row>
    <row r="2270" customFormat="false" ht="12.75" hidden="false" customHeight="true" outlineLevel="0" collapsed="false">
      <c r="B2270" s="361"/>
      <c r="C2270" s="369"/>
      <c r="D2270" s="369"/>
      <c r="E2270" s="363"/>
      <c r="F2270" s="364"/>
      <c r="G2270" s="363"/>
      <c r="H2270" s="363"/>
      <c r="I2270" s="363"/>
      <c r="J2270" s="363"/>
      <c r="K2270" s="363"/>
      <c r="L2270" s="363"/>
      <c r="M2270" s="367"/>
    </row>
    <row r="2271" customFormat="false" ht="12.75" hidden="false" customHeight="true" outlineLevel="0" collapsed="false">
      <c r="B2271" s="361"/>
      <c r="C2271" s="369"/>
      <c r="D2271" s="369"/>
      <c r="E2271" s="363"/>
      <c r="F2271" s="364"/>
      <c r="G2271" s="363"/>
      <c r="H2271" s="363"/>
      <c r="I2271" s="363"/>
      <c r="J2271" s="363"/>
      <c r="K2271" s="363"/>
      <c r="L2271" s="363"/>
      <c r="M2271" s="367"/>
    </row>
    <row r="2272" customFormat="false" ht="12.75" hidden="false" customHeight="true" outlineLevel="0" collapsed="false">
      <c r="B2272" s="361"/>
      <c r="C2272" s="369"/>
      <c r="D2272" s="369"/>
      <c r="E2272" s="363"/>
      <c r="F2272" s="364"/>
      <c r="G2272" s="363"/>
      <c r="H2272" s="363"/>
      <c r="I2272" s="363"/>
      <c r="J2272" s="363"/>
      <c r="K2272" s="363"/>
      <c r="L2272" s="363"/>
      <c r="M2272" s="367"/>
    </row>
    <row r="2273" customFormat="false" ht="12.75" hidden="false" customHeight="true" outlineLevel="0" collapsed="false">
      <c r="B2273" s="361"/>
      <c r="C2273" s="369"/>
      <c r="D2273" s="369"/>
      <c r="E2273" s="363"/>
      <c r="F2273" s="364"/>
      <c r="G2273" s="363"/>
      <c r="H2273" s="363"/>
      <c r="I2273" s="363"/>
      <c r="J2273" s="363"/>
      <c r="K2273" s="363"/>
      <c r="L2273" s="363"/>
      <c r="M2273" s="367"/>
    </row>
    <row r="2274" customFormat="false" ht="12.75" hidden="false" customHeight="true" outlineLevel="0" collapsed="false">
      <c r="B2274" s="361"/>
      <c r="C2274" s="369"/>
      <c r="D2274" s="369"/>
      <c r="E2274" s="363"/>
      <c r="F2274" s="364"/>
      <c r="G2274" s="363"/>
      <c r="H2274" s="363"/>
      <c r="I2274" s="363"/>
      <c r="J2274" s="363"/>
      <c r="K2274" s="363"/>
      <c r="L2274" s="363"/>
      <c r="M2274" s="367"/>
    </row>
    <row r="2275" customFormat="false" ht="12.75" hidden="false" customHeight="true" outlineLevel="0" collapsed="false">
      <c r="B2275" s="361"/>
      <c r="C2275" s="369"/>
      <c r="D2275" s="369"/>
      <c r="E2275" s="363"/>
      <c r="F2275" s="364"/>
      <c r="G2275" s="363"/>
      <c r="H2275" s="363"/>
      <c r="I2275" s="363"/>
      <c r="J2275" s="363"/>
      <c r="K2275" s="363"/>
      <c r="L2275" s="363"/>
      <c r="M2275" s="367"/>
    </row>
    <row r="2276" customFormat="false" ht="12.75" hidden="false" customHeight="true" outlineLevel="0" collapsed="false">
      <c r="B2276" s="361"/>
      <c r="C2276" s="369"/>
      <c r="D2276" s="369"/>
      <c r="E2276" s="363"/>
      <c r="F2276" s="364"/>
      <c r="G2276" s="363"/>
      <c r="H2276" s="363"/>
      <c r="I2276" s="363"/>
      <c r="J2276" s="363"/>
      <c r="K2276" s="363"/>
      <c r="L2276" s="363"/>
      <c r="M2276" s="367"/>
    </row>
    <row r="2277" customFormat="false" ht="12.75" hidden="false" customHeight="true" outlineLevel="0" collapsed="false">
      <c r="B2277" s="361"/>
      <c r="C2277" s="369"/>
      <c r="D2277" s="369"/>
      <c r="E2277" s="363"/>
      <c r="F2277" s="364"/>
      <c r="G2277" s="363"/>
      <c r="H2277" s="363"/>
      <c r="I2277" s="363"/>
      <c r="J2277" s="363"/>
      <c r="K2277" s="363"/>
      <c r="L2277" s="363"/>
      <c r="M2277" s="367"/>
    </row>
    <row r="2278" customFormat="false" ht="12.75" hidden="false" customHeight="true" outlineLevel="0" collapsed="false">
      <c r="B2278" s="361"/>
      <c r="C2278" s="369"/>
      <c r="D2278" s="369"/>
      <c r="E2278" s="363"/>
      <c r="F2278" s="364"/>
      <c r="G2278" s="363"/>
      <c r="H2278" s="363"/>
      <c r="I2278" s="363"/>
      <c r="J2278" s="363"/>
      <c r="K2278" s="363"/>
      <c r="L2278" s="363"/>
      <c r="M2278" s="367"/>
    </row>
    <row r="2279" customFormat="false" ht="12.75" hidden="false" customHeight="true" outlineLevel="0" collapsed="false">
      <c r="B2279" s="361"/>
      <c r="C2279" s="369"/>
      <c r="D2279" s="369"/>
      <c r="E2279" s="363"/>
      <c r="F2279" s="364"/>
      <c r="G2279" s="363"/>
      <c r="H2279" s="363"/>
      <c r="I2279" s="363"/>
      <c r="J2279" s="363"/>
      <c r="K2279" s="363"/>
      <c r="L2279" s="363"/>
      <c r="M2279" s="367"/>
    </row>
    <row r="2280" customFormat="false" ht="12.75" hidden="false" customHeight="true" outlineLevel="0" collapsed="false">
      <c r="B2280" s="361"/>
      <c r="C2280" s="369"/>
      <c r="D2280" s="369"/>
      <c r="E2280" s="363"/>
      <c r="F2280" s="364"/>
      <c r="G2280" s="363"/>
      <c r="H2280" s="363"/>
      <c r="I2280" s="363"/>
      <c r="J2280" s="363"/>
      <c r="K2280" s="363"/>
      <c r="L2280" s="363"/>
      <c r="M2280" s="367"/>
    </row>
    <row r="2281" customFormat="false" ht="12.75" hidden="false" customHeight="true" outlineLevel="0" collapsed="false">
      <c r="B2281" s="361"/>
      <c r="C2281" s="369"/>
      <c r="D2281" s="369"/>
      <c r="E2281" s="363"/>
      <c r="F2281" s="364"/>
      <c r="G2281" s="363"/>
      <c r="H2281" s="363"/>
      <c r="I2281" s="363"/>
      <c r="J2281" s="363"/>
      <c r="K2281" s="363"/>
      <c r="L2281" s="363"/>
      <c r="M2281" s="367"/>
    </row>
    <row r="2282" customFormat="false" ht="12.75" hidden="false" customHeight="true" outlineLevel="0" collapsed="false">
      <c r="B2282" s="361"/>
      <c r="C2282" s="369"/>
      <c r="D2282" s="369"/>
      <c r="E2282" s="363"/>
      <c r="F2282" s="364"/>
      <c r="G2282" s="363"/>
      <c r="H2282" s="363"/>
      <c r="I2282" s="363"/>
      <c r="J2282" s="363"/>
      <c r="K2282" s="363"/>
      <c r="L2282" s="363"/>
      <c r="M2282" s="367"/>
    </row>
    <row r="2283" customFormat="false" ht="12.75" hidden="false" customHeight="true" outlineLevel="0" collapsed="false">
      <c r="B2283" s="361"/>
      <c r="C2283" s="369"/>
      <c r="D2283" s="369"/>
      <c r="E2283" s="363"/>
      <c r="F2283" s="364"/>
      <c r="G2283" s="363"/>
      <c r="H2283" s="363"/>
      <c r="I2283" s="363"/>
      <c r="J2283" s="363"/>
      <c r="K2283" s="363"/>
      <c r="L2283" s="363"/>
      <c r="M2283" s="367"/>
    </row>
    <row r="2284" customFormat="false" ht="12.75" hidden="false" customHeight="true" outlineLevel="0" collapsed="false">
      <c r="B2284" s="361"/>
      <c r="C2284" s="369"/>
      <c r="D2284" s="369"/>
      <c r="E2284" s="363"/>
      <c r="F2284" s="364"/>
      <c r="G2284" s="363"/>
      <c r="H2284" s="363"/>
      <c r="I2284" s="363"/>
      <c r="J2284" s="363"/>
      <c r="K2284" s="363"/>
      <c r="L2284" s="363"/>
      <c r="M2284" s="367"/>
    </row>
    <row r="2285" customFormat="false" ht="12.75" hidden="false" customHeight="true" outlineLevel="0" collapsed="false">
      <c r="B2285" s="361"/>
      <c r="C2285" s="369"/>
      <c r="D2285" s="369"/>
      <c r="E2285" s="363"/>
      <c r="F2285" s="364"/>
      <c r="G2285" s="363"/>
      <c r="H2285" s="363"/>
      <c r="I2285" s="363"/>
      <c r="J2285" s="363"/>
      <c r="K2285" s="363"/>
      <c r="L2285" s="363"/>
      <c r="M2285" s="367"/>
    </row>
    <row r="2286" customFormat="false" ht="12.75" hidden="false" customHeight="true" outlineLevel="0" collapsed="false">
      <c r="B2286" s="361"/>
      <c r="C2286" s="369"/>
      <c r="D2286" s="369"/>
      <c r="E2286" s="363"/>
      <c r="F2286" s="364"/>
      <c r="G2286" s="363"/>
      <c r="H2286" s="363"/>
      <c r="I2286" s="363"/>
      <c r="J2286" s="363"/>
      <c r="K2286" s="363"/>
      <c r="L2286" s="363"/>
      <c r="M2286" s="367"/>
    </row>
    <row r="2287" customFormat="false" ht="12.75" hidden="false" customHeight="true" outlineLevel="0" collapsed="false">
      <c r="B2287" s="361"/>
      <c r="C2287" s="369"/>
      <c r="D2287" s="369"/>
      <c r="E2287" s="363"/>
      <c r="F2287" s="364"/>
      <c r="G2287" s="363"/>
      <c r="H2287" s="363"/>
      <c r="I2287" s="363"/>
      <c r="J2287" s="363"/>
      <c r="K2287" s="363"/>
      <c r="L2287" s="363"/>
      <c r="M2287" s="367"/>
    </row>
    <row r="2288" customFormat="false" ht="12.75" hidden="false" customHeight="true" outlineLevel="0" collapsed="false">
      <c r="B2288" s="361"/>
      <c r="C2288" s="369"/>
      <c r="D2288" s="369"/>
      <c r="E2288" s="363"/>
      <c r="F2288" s="364"/>
      <c r="G2288" s="363"/>
      <c r="H2288" s="363"/>
      <c r="I2288" s="363"/>
      <c r="J2288" s="363"/>
      <c r="K2288" s="363"/>
      <c r="L2288" s="363"/>
      <c r="M2288" s="367"/>
    </row>
    <row r="2289" customFormat="false" ht="12.75" hidden="false" customHeight="true" outlineLevel="0" collapsed="false">
      <c r="B2289" s="361"/>
      <c r="C2289" s="369"/>
      <c r="D2289" s="369"/>
      <c r="E2289" s="363"/>
      <c r="F2289" s="364"/>
      <c r="G2289" s="363"/>
      <c r="H2289" s="363"/>
      <c r="I2289" s="363"/>
      <c r="J2289" s="363"/>
      <c r="K2289" s="363"/>
      <c r="L2289" s="363"/>
      <c r="M2289" s="367"/>
    </row>
    <row r="2290" customFormat="false" ht="12.75" hidden="false" customHeight="true" outlineLevel="0" collapsed="false">
      <c r="B2290" s="361"/>
      <c r="C2290" s="369"/>
      <c r="D2290" s="369"/>
      <c r="E2290" s="363"/>
      <c r="F2290" s="364"/>
      <c r="G2290" s="363"/>
      <c r="H2290" s="363"/>
      <c r="I2290" s="363"/>
      <c r="J2290" s="363"/>
      <c r="K2290" s="363"/>
      <c r="L2290" s="363"/>
      <c r="M2290" s="367"/>
    </row>
    <row r="2291" customFormat="false" ht="12.75" hidden="false" customHeight="true" outlineLevel="0" collapsed="false">
      <c r="B2291" s="368"/>
      <c r="C2291" s="369"/>
      <c r="D2291" s="369"/>
      <c r="E2291" s="370"/>
      <c r="F2291" s="371"/>
      <c r="G2291" s="370"/>
      <c r="H2291" s="363"/>
      <c r="I2291" s="370"/>
      <c r="J2291" s="370"/>
      <c r="K2291" s="370"/>
      <c r="L2291" s="370"/>
      <c r="M2291" s="384"/>
    </row>
    <row r="2292" customFormat="false" ht="12.75" hidden="false" customHeight="true" outlineLevel="0" collapsed="false">
      <c r="B2292" s="361"/>
      <c r="C2292" s="369"/>
      <c r="D2292" s="369"/>
      <c r="E2292" s="363"/>
      <c r="F2292" s="364"/>
      <c r="G2292" s="363"/>
      <c r="H2292" s="363"/>
      <c r="I2292" s="363"/>
      <c r="J2292" s="363"/>
      <c r="K2292" s="363"/>
      <c r="L2292" s="365"/>
      <c r="M2292" s="367"/>
    </row>
    <row r="2293" customFormat="false" ht="12.75" hidden="false" customHeight="true" outlineLevel="0" collapsed="false">
      <c r="B2293" s="361"/>
      <c r="C2293" s="369"/>
      <c r="D2293" s="369"/>
      <c r="E2293" s="363"/>
      <c r="F2293" s="364"/>
      <c r="G2293" s="363"/>
      <c r="H2293" s="363"/>
      <c r="I2293" s="363"/>
      <c r="J2293" s="363"/>
      <c r="K2293" s="363"/>
      <c r="L2293" s="365"/>
      <c r="M2293" s="367"/>
    </row>
    <row r="2294" customFormat="false" ht="12.75" hidden="false" customHeight="true" outlineLevel="0" collapsed="false">
      <c r="B2294" s="361"/>
      <c r="C2294" s="369"/>
      <c r="D2294" s="369"/>
      <c r="E2294" s="363"/>
      <c r="F2294" s="364"/>
      <c r="G2294" s="363"/>
      <c r="H2294" s="363"/>
      <c r="I2294" s="363"/>
      <c r="J2294" s="363"/>
      <c r="K2294" s="363"/>
      <c r="L2294" s="365"/>
      <c r="M2294" s="367"/>
    </row>
    <row r="2295" customFormat="false" ht="12.75" hidden="false" customHeight="true" outlineLevel="0" collapsed="false">
      <c r="B2295" s="361"/>
      <c r="C2295" s="369"/>
      <c r="D2295" s="369"/>
      <c r="E2295" s="363"/>
      <c r="F2295" s="364"/>
      <c r="G2295" s="363"/>
      <c r="H2295" s="363"/>
      <c r="I2295" s="363"/>
      <c r="J2295" s="363"/>
      <c r="K2295" s="363"/>
      <c r="L2295" s="365"/>
      <c r="M2295" s="367"/>
    </row>
    <row r="2296" customFormat="false" ht="12.75" hidden="false" customHeight="true" outlineLevel="0" collapsed="false">
      <c r="B2296" s="361"/>
      <c r="C2296" s="369"/>
      <c r="D2296" s="369"/>
      <c r="E2296" s="363"/>
      <c r="F2296" s="364"/>
      <c r="G2296" s="363"/>
      <c r="H2296" s="363"/>
      <c r="I2296" s="363"/>
      <c r="J2296" s="363"/>
      <c r="K2296" s="363"/>
      <c r="L2296" s="365"/>
      <c r="M2296" s="367"/>
    </row>
    <row r="2297" customFormat="false" ht="12.75" hidden="false" customHeight="true" outlineLevel="0" collapsed="false">
      <c r="B2297" s="361"/>
      <c r="C2297" s="369"/>
      <c r="D2297" s="369"/>
      <c r="E2297" s="363"/>
      <c r="F2297" s="364"/>
      <c r="G2297" s="363"/>
      <c r="H2297" s="363"/>
      <c r="I2297" s="363"/>
      <c r="J2297" s="363"/>
      <c r="K2297" s="363"/>
      <c r="L2297" s="365"/>
      <c r="M2297" s="367"/>
    </row>
    <row r="2298" customFormat="false" ht="12.75" hidden="false" customHeight="true" outlineLevel="0" collapsed="false">
      <c r="B2298" s="361"/>
      <c r="C2298" s="369"/>
      <c r="D2298" s="369"/>
      <c r="E2298" s="363"/>
      <c r="F2298" s="364"/>
      <c r="G2298" s="363"/>
      <c r="H2298" s="363"/>
      <c r="I2298" s="363"/>
      <c r="J2298" s="363"/>
      <c r="K2298" s="363"/>
      <c r="L2298" s="365"/>
      <c r="M2298" s="367"/>
    </row>
    <row r="2299" customFormat="false" ht="12.75" hidden="false" customHeight="true" outlineLevel="0" collapsed="false">
      <c r="B2299" s="361"/>
      <c r="C2299" s="369"/>
      <c r="D2299" s="369"/>
      <c r="E2299" s="363"/>
      <c r="F2299" s="364"/>
      <c r="G2299" s="363"/>
      <c r="H2299" s="363"/>
      <c r="I2299" s="363"/>
      <c r="J2299" s="363"/>
      <c r="K2299" s="363"/>
      <c r="L2299" s="365"/>
      <c r="M2299" s="367"/>
    </row>
    <row r="2300" customFormat="false" ht="12.75" hidden="false" customHeight="true" outlineLevel="0" collapsed="false">
      <c r="B2300" s="361"/>
      <c r="C2300" s="369"/>
      <c r="D2300" s="369"/>
      <c r="E2300" s="363"/>
      <c r="F2300" s="374"/>
      <c r="G2300" s="363"/>
      <c r="H2300" s="363"/>
      <c r="I2300" s="363"/>
      <c r="J2300" s="363"/>
      <c r="K2300" s="363"/>
      <c r="L2300" s="363"/>
      <c r="M2300" s="367"/>
    </row>
    <row r="2301" customFormat="false" ht="12.75" hidden="false" customHeight="true" outlineLevel="0" collapsed="false">
      <c r="B2301" s="361"/>
      <c r="C2301" s="369"/>
      <c r="D2301" s="369"/>
      <c r="E2301" s="363"/>
      <c r="F2301" s="374"/>
      <c r="G2301" s="363"/>
      <c r="H2301" s="363"/>
      <c r="I2301" s="363"/>
      <c r="J2301" s="363"/>
      <c r="K2301" s="363"/>
      <c r="L2301" s="363"/>
      <c r="M2301" s="367"/>
    </row>
    <row r="2302" customFormat="false" ht="12.75" hidden="false" customHeight="true" outlineLevel="0" collapsed="false">
      <c r="B2302" s="361"/>
      <c r="C2302" s="369"/>
      <c r="D2302" s="369"/>
      <c r="E2302" s="363"/>
      <c r="F2302" s="374"/>
      <c r="G2302" s="363"/>
      <c r="H2302" s="363"/>
      <c r="I2302" s="363"/>
      <c r="J2302" s="363"/>
      <c r="K2302" s="363"/>
      <c r="L2302" s="363"/>
      <c r="M2302" s="367"/>
    </row>
    <row r="2303" customFormat="false" ht="12.75" hidden="false" customHeight="true" outlineLevel="0" collapsed="false">
      <c r="B2303" s="361"/>
      <c r="C2303" s="369"/>
      <c r="D2303" s="369"/>
      <c r="E2303" s="363"/>
      <c r="F2303" s="374"/>
      <c r="G2303" s="363"/>
      <c r="H2303" s="363"/>
      <c r="I2303" s="363"/>
      <c r="J2303" s="363"/>
      <c r="K2303" s="363"/>
      <c r="L2303" s="363"/>
      <c r="M2303" s="367"/>
    </row>
    <row r="2304" customFormat="false" ht="12.75" hidden="false" customHeight="true" outlineLevel="0" collapsed="false">
      <c r="B2304" s="361"/>
      <c r="C2304" s="369"/>
      <c r="D2304" s="369"/>
      <c r="E2304" s="363"/>
      <c r="F2304" s="374"/>
      <c r="G2304" s="363"/>
      <c r="H2304" s="363"/>
      <c r="I2304" s="363"/>
      <c r="J2304" s="363"/>
      <c r="K2304" s="363"/>
      <c r="L2304" s="363"/>
      <c r="M2304" s="367"/>
    </row>
    <row r="2305" customFormat="false" ht="12.75" hidden="false" customHeight="true" outlineLevel="0" collapsed="false">
      <c r="B2305" s="361"/>
      <c r="C2305" s="369"/>
      <c r="D2305" s="369"/>
      <c r="E2305" s="363"/>
      <c r="F2305" s="374"/>
      <c r="G2305" s="363"/>
      <c r="H2305" s="363"/>
      <c r="I2305" s="363"/>
      <c r="J2305" s="363"/>
      <c r="K2305" s="363"/>
      <c r="L2305" s="363"/>
      <c r="M2305" s="367"/>
    </row>
    <row r="2306" customFormat="false" ht="12.75" hidden="false" customHeight="true" outlineLevel="0" collapsed="false">
      <c r="B2306" s="361"/>
      <c r="C2306" s="369"/>
      <c r="D2306" s="369"/>
      <c r="E2306" s="363"/>
      <c r="F2306" s="374"/>
      <c r="G2306" s="363"/>
      <c r="H2306" s="363"/>
      <c r="I2306" s="363"/>
      <c r="J2306" s="363"/>
      <c r="K2306" s="363"/>
      <c r="L2306" s="363"/>
      <c r="M2306" s="367"/>
    </row>
    <row r="2307" customFormat="false" ht="12.75" hidden="false" customHeight="true" outlineLevel="0" collapsed="false">
      <c r="B2307" s="361"/>
      <c r="C2307" s="369"/>
      <c r="D2307" s="369"/>
      <c r="E2307" s="363"/>
      <c r="F2307" s="374"/>
      <c r="G2307" s="363"/>
      <c r="H2307" s="363"/>
      <c r="I2307" s="363"/>
      <c r="J2307" s="363"/>
      <c r="K2307" s="363"/>
      <c r="L2307" s="363"/>
      <c r="M2307" s="367"/>
    </row>
    <row r="2308" customFormat="false" ht="12.75" hidden="false" customHeight="true" outlineLevel="0" collapsed="false">
      <c r="B2308" s="361"/>
      <c r="C2308" s="369"/>
      <c r="D2308" s="369"/>
      <c r="E2308" s="363"/>
      <c r="F2308" s="374"/>
      <c r="G2308" s="363"/>
      <c r="H2308" s="363"/>
      <c r="I2308" s="363"/>
      <c r="J2308" s="363"/>
      <c r="K2308" s="363"/>
      <c r="L2308" s="363"/>
      <c r="M2308" s="367"/>
    </row>
    <row r="2309" customFormat="false" ht="12.75" hidden="false" customHeight="true" outlineLevel="0" collapsed="false">
      <c r="B2309" s="361"/>
      <c r="C2309" s="369"/>
      <c r="D2309" s="369"/>
      <c r="E2309" s="363"/>
      <c r="F2309" s="374"/>
      <c r="G2309" s="363"/>
      <c r="H2309" s="363"/>
      <c r="I2309" s="363"/>
      <c r="J2309" s="363"/>
      <c r="K2309" s="363"/>
      <c r="L2309" s="363"/>
      <c r="M2309" s="367"/>
    </row>
    <row r="2310" customFormat="false" ht="12.75" hidden="false" customHeight="true" outlineLevel="0" collapsed="false">
      <c r="B2310" s="361"/>
      <c r="C2310" s="369"/>
      <c r="D2310" s="369"/>
      <c r="E2310" s="363"/>
      <c r="F2310" s="374"/>
      <c r="G2310" s="363"/>
      <c r="H2310" s="363"/>
      <c r="I2310" s="363"/>
      <c r="J2310" s="363"/>
      <c r="K2310" s="363"/>
      <c r="L2310" s="363"/>
      <c r="M2310" s="367"/>
    </row>
    <row r="2311" customFormat="false" ht="12.75" hidden="false" customHeight="true" outlineLevel="0" collapsed="false">
      <c r="B2311" s="361"/>
      <c r="C2311" s="369"/>
      <c r="D2311" s="369"/>
      <c r="E2311" s="363"/>
      <c r="F2311" s="374"/>
      <c r="G2311" s="363"/>
      <c r="H2311" s="363"/>
      <c r="I2311" s="363"/>
      <c r="J2311" s="363"/>
      <c r="K2311" s="363"/>
      <c r="L2311" s="363"/>
      <c r="M2311" s="367"/>
    </row>
    <row r="2312" customFormat="false" ht="12.75" hidden="false" customHeight="true" outlineLevel="0" collapsed="false">
      <c r="B2312" s="361"/>
      <c r="C2312" s="369"/>
      <c r="D2312" s="369"/>
      <c r="E2312" s="363"/>
      <c r="F2312" s="374"/>
      <c r="G2312" s="363"/>
      <c r="H2312" s="363"/>
      <c r="I2312" s="363"/>
      <c r="J2312" s="363"/>
      <c r="K2312" s="363"/>
      <c r="L2312" s="363"/>
      <c r="M2312" s="367"/>
    </row>
    <row r="2313" customFormat="false" ht="12.75" hidden="false" customHeight="true" outlineLevel="0" collapsed="false">
      <c r="B2313" s="361"/>
      <c r="C2313" s="369"/>
      <c r="D2313" s="369"/>
      <c r="E2313" s="363"/>
      <c r="F2313" s="374"/>
      <c r="G2313" s="363"/>
      <c r="H2313" s="363"/>
      <c r="I2313" s="363"/>
      <c r="J2313" s="363"/>
      <c r="K2313" s="363"/>
      <c r="L2313" s="363"/>
      <c r="M2313" s="367"/>
    </row>
    <row r="2314" customFormat="false" ht="12.75" hidden="false" customHeight="true" outlineLevel="0" collapsed="false">
      <c r="B2314" s="361"/>
      <c r="C2314" s="369"/>
      <c r="D2314" s="369"/>
      <c r="E2314" s="363"/>
      <c r="F2314" s="374"/>
      <c r="G2314" s="363"/>
      <c r="H2314" s="363"/>
      <c r="I2314" s="363"/>
      <c r="J2314" s="363"/>
      <c r="K2314" s="363"/>
      <c r="L2314" s="363"/>
      <c r="M2314" s="367"/>
    </row>
    <row r="2315" customFormat="false" ht="12.75" hidden="false" customHeight="true" outlineLevel="0" collapsed="false">
      <c r="B2315" s="361"/>
      <c r="C2315" s="369"/>
      <c r="D2315" s="369"/>
      <c r="E2315" s="363"/>
      <c r="F2315" s="374"/>
      <c r="G2315" s="363"/>
      <c r="H2315" s="363"/>
      <c r="I2315" s="363"/>
      <c r="J2315" s="363"/>
      <c r="K2315" s="363"/>
      <c r="L2315" s="363"/>
      <c r="M2315" s="367"/>
    </row>
    <row r="2316" customFormat="false" ht="12.75" hidden="false" customHeight="true" outlineLevel="0" collapsed="false">
      <c r="B2316" s="361"/>
      <c r="C2316" s="369"/>
      <c r="D2316" s="369"/>
      <c r="E2316" s="363"/>
      <c r="F2316" s="374"/>
      <c r="G2316" s="363"/>
      <c r="H2316" s="363"/>
      <c r="I2316" s="363"/>
      <c r="J2316" s="363"/>
      <c r="K2316" s="363"/>
      <c r="L2316" s="363"/>
      <c r="M2316" s="367"/>
    </row>
    <row r="2317" customFormat="false" ht="12.75" hidden="false" customHeight="true" outlineLevel="0" collapsed="false">
      <c r="B2317" s="361"/>
      <c r="C2317" s="369"/>
      <c r="D2317" s="369"/>
      <c r="E2317" s="363"/>
      <c r="F2317" s="374"/>
      <c r="G2317" s="363"/>
      <c r="H2317" s="363"/>
      <c r="I2317" s="363"/>
      <c r="J2317" s="363"/>
      <c r="K2317" s="363"/>
      <c r="L2317" s="363"/>
      <c r="M2317" s="367"/>
    </row>
    <row r="2318" customFormat="false" ht="12.75" hidden="false" customHeight="true" outlineLevel="0" collapsed="false">
      <c r="B2318" s="361"/>
      <c r="C2318" s="369"/>
      <c r="D2318" s="369"/>
      <c r="E2318" s="363"/>
      <c r="F2318" s="374"/>
      <c r="G2318" s="363"/>
      <c r="H2318" s="363"/>
      <c r="I2318" s="363"/>
      <c r="J2318" s="363"/>
      <c r="K2318" s="363"/>
      <c r="L2318" s="363"/>
      <c r="M2318" s="367"/>
    </row>
    <row r="2319" customFormat="false" ht="12.75" hidden="false" customHeight="true" outlineLevel="0" collapsed="false">
      <c r="B2319" s="361"/>
      <c r="C2319" s="369"/>
      <c r="D2319" s="369"/>
      <c r="E2319" s="363"/>
      <c r="F2319" s="374"/>
      <c r="G2319" s="363"/>
      <c r="H2319" s="363"/>
      <c r="I2319" s="363"/>
      <c r="J2319" s="363"/>
      <c r="K2319" s="363"/>
      <c r="L2319" s="363"/>
      <c r="M2319" s="367"/>
    </row>
    <row r="2320" customFormat="false" ht="12.75" hidden="false" customHeight="true" outlineLevel="0" collapsed="false">
      <c r="B2320" s="361"/>
      <c r="C2320" s="369"/>
      <c r="D2320" s="369"/>
      <c r="E2320" s="363"/>
      <c r="F2320" s="374"/>
      <c r="G2320" s="363"/>
      <c r="H2320" s="363"/>
      <c r="I2320" s="363"/>
      <c r="J2320" s="363"/>
      <c r="K2320" s="363"/>
      <c r="L2320" s="363"/>
      <c r="M2320" s="367"/>
    </row>
    <row r="2321" customFormat="false" ht="12.75" hidden="false" customHeight="true" outlineLevel="0" collapsed="false">
      <c r="B2321" s="368"/>
      <c r="C2321" s="369"/>
      <c r="D2321" s="369"/>
      <c r="E2321" s="370"/>
      <c r="F2321" s="375"/>
      <c r="G2321" s="370"/>
      <c r="H2321" s="363"/>
      <c r="I2321" s="370"/>
      <c r="J2321" s="370"/>
      <c r="K2321" s="370"/>
      <c r="L2321" s="370"/>
      <c r="M2321" s="384"/>
    </row>
    <row r="2322" customFormat="false" ht="12.75" hidden="false" customHeight="true" outlineLevel="0" collapsed="false">
      <c r="B2322" s="361"/>
      <c r="C2322" s="369"/>
      <c r="D2322" s="369"/>
      <c r="E2322" s="363"/>
      <c r="F2322" s="374"/>
      <c r="G2322" s="363"/>
      <c r="H2322" s="363"/>
      <c r="I2322" s="363"/>
      <c r="J2322" s="363"/>
      <c r="K2322" s="363"/>
      <c r="L2322" s="363"/>
      <c r="M2322" s="367"/>
    </row>
    <row r="2323" customFormat="false" ht="12.75" hidden="false" customHeight="true" outlineLevel="0" collapsed="false">
      <c r="B2323" s="361"/>
      <c r="C2323" s="369"/>
      <c r="D2323" s="369"/>
      <c r="E2323" s="363"/>
      <c r="F2323" s="374"/>
      <c r="G2323" s="363"/>
      <c r="H2323" s="363"/>
      <c r="I2323" s="363"/>
      <c r="J2323" s="363"/>
      <c r="K2323" s="363"/>
      <c r="L2323" s="363"/>
      <c r="M2323" s="367"/>
    </row>
    <row r="2324" customFormat="false" ht="12.75" hidden="false" customHeight="true" outlineLevel="0" collapsed="false">
      <c r="B2324" s="361"/>
      <c r="C2324" s="369"/>
      <c r="D2324" s="369"/>
      <c r="E2324" s="363"/>
      <c r="F2324" s="374"/>
      <c r="G2324" s="363"/>
      <c r="H2324" s="363"/>
      <c r="I2324" s="363"/>
      <c r="J2324" s="363"/>
      <c r="K2324" s="363"/>
      <c r="L2324" s="363"/>
      <c r="M2324" s="367"/>
    </row>
    <row r="2325" customFormat="false" ht="12.75" hidden="false" customHeight="true" outlineLevel="0" collapsed="false">
      <c r="B2325" s="361"/>
      <c r="C2325" s="369"/>
      <c r="D2325" s="369"/>
      <c r="E2325" s="363"/>
      <c r="F2325" s="374"/>
      <c r="G2325" s="363"/>
      <c r="H2325" s="363"/>
      <c r="I2325" s="363"/>
      <c r="J2325" s="363"/>
      <c r="K2325" s="363"/>
      <c r="L2325" s="363"/>
      <c r="M2325" s="367"/>
    </row>
    <row r="2326" customFormat="false" ht="12.75" hidden="false" customHeight="true" outlineLevel="0" collapsed="false">
      <c r="B2326" s="361"/>
      <c r="C2326" s="369"/>
      <c r="D2326" s="369"/>
      <c r="E2326" s="363"/>
      <c r="F2326" s="374"/>
      <c r="G2326" s="363"/>
      <c r="H2326" s="363"/>
      <c r="I2326" s="363"/>
      <c r="J2326" s="363"/>
      <c r="K2326" s="363"/>
      <c r="L2326" s="363"/>
      <c r="M2326" s="367"/>
    </row>
    <row r="2327" customFormat="false" ht="12.75" hidden="false" customHeight="true" outlineLevel="0" collapsed="false">
      <c r="B2327" s="361"/>
      <c r="C2327" s="369"/>
      <c r="D2327" s="369"/>
      <c r="E2327" s="363"/>
      <c r="F2327" s="374"/>
      <c r="G2327" s="363"/>
      <c r="H2327" s="363"/>
      <c r="I2327" s="363"/>
      <c r="J2327" s="363"/>
      <c r="K2327" s="363"/>
      <c r="L2327" s="363"/>
      <c r="M2327" s="367"/>
    </row>
    <row r="2328" customFormat="false" ht="12.75" hidden="false" customHeight="true" outlineLevel="0" collapsed="false">
      <c r="B2328" s="361"/>
      <c r="C2328" s="369"/>
      <c r="D2328" s="369"/>
      <c r="E2328" s="363"/>
      <c r="F2328" s="374"/>
      <c r="G2328" s="363"/>
      <c r="H2328" s="363"/>
      <c r="I2328" s="363"/>
      <c r="J2328" s="363"/>
      <c r="K2328" s="363"/>
      <c r="L2328" s="363"/>
      <c r="M2328" s="367"/>
    </row>
    <row r="2329" customFormat="false" ht="12.75" hidden="false" customHeight="true" outlineLevel="0" collapsed="false">
      <c r="B2329" s="361"/>
      <c r="C2329" s="369"/>
      <c r="D2329" s="369"/>
      <c r="E2329" s="363"/>
      <c r="F2329" s="374"/>
      <c r="G2329" s="363"/>
      <c r="H2329" s="363"/>
      <c r="I2329" s="363"/>
      <c r="J2329" s="363"/>
      <c r="K2329" s="363"/>
      <c r="L2329" s="363"/>
      <c r="M2329" s="367"/>
    </row>
    <row r="2330" customFormat="false" ht="12.75" hidden="false" customHeight="true" outlineLevel="0" collapsed="false">
      <c r="B2330" s="361"/>
      <c r="C2330" s="369"/>
      <c r="D2330" s="369"/>
      <c r="E2330" s="363"/>
      <c r="F2330" s="374"/>
      <c r="G2330" s="363"/>
      <c r="H2330" s="363"/>
      <c r="I2330" s="363"/>
      <c r="J2330" s="363"/>
      <c r="K2330" s="363"/>
      <c r="L2330" s="363"/>
      <c r="M2330" s="367"/>
    </row>
    <row r="2331" customFormat="false" ht="12.75" hidden="false" customHeight="true" outlineLevel="0" collapsed="false">
      <c r="B2331" s="361"/>
      <c r="C2331" s="369"/>
      <c r="D2331" s="369"/>
      <c r="E2331" s="363"/>
      <c r="F2331" s="374"/>
      <c r="G2331" s="363"/>
      <c r="H2331" s="363"/>
      <c r="I2331" s="363"/>
      <c r="J2331" s="363"/>
      <c r="K2331" s="363"/>
      <c r="L2331" s="363"/>
      <c r="M2331" s="367"/>
    </row>
    <row r="2332" customFormat="false" ht="12.75" hidden="false" customHeight="true" outlineLevel="0" collapsed="false">
      <c r="B2332" s="361"/>
      <c r="C2332" s="369"/>
      <c r="D2332" s="369"/>
      <c r="E2332" s="363"/>
      <c r="F2332" s="374"/>
      <c r="G2332" s="363"/>
      <c r="H2332" s="363"/>
      <c r="I2332" s="363"/>
      <c r="J2332" s="363"/>
      <c r="K2332" s="363"/>
      <c r="L2332" s="363"/>
      <c r="M2332" s="367"/>
    </row>
    <row r="2333" customFormat="false" ht="12.75" hidden="false" customHeight="true" outlineLevel="0" collapsed="false">
      <c r="B2333" s="361"/>
      <c r="C2333" s="369"/>
      <c r="D2333" s="369"/>
      <c r="E2333" s="363"/>
      <c r="F2333" s="374"/>
      <c r="G2333" s="363"/>
      <c r="H2333" s="363"/>
      <c r="I2333" s="363"/>
      <c r="J2333" s="363"/>
      <c r="K2333" s="363"/>
      <c r="L2333" s="363"/>
      <c r="M2333" s="367"/>
    </row>
    <row r="2334" customFormat="false" ht="12.75" hidden="false" customHeight="true" outlineLevel="0" collapsed="false">
      <c r="B2334" s="361"/>
      <c r="C2334" s="369"/>
      <c r="D2334" s="369"/>
      <c r="E2334" s="363"/>
      <c r="F2334" s="374"/>
      <c r="G2334" s="363"/>
      <c r="H2334" s="363"/>
      <c r="I2334" s="363"/>
      <c r="J2334" s="363"/>
      <c r="K2334" s="363"/>
      <c r="L2334" s="363"/>
      <c r="M2334" s="367"/>
    </row>
    <row r="2335" customFormat="false" ht="12.75" hidden="false" customHeight="true" outlineLevel="0" collapsed="false">
      <c r="B2335" s="361"/>
      <c r="C2335" s="369"/>
      <c r="D2335" s="369"/>
      <c r="E2335" s="363"/>
      <c r="F2335" s="374"/>
      <c r="G2335" s="363"/>
      <c r="H2335" s="363"/>
      <c r="I2335" s="363"/>
      <c r="J2335" s="363"/>
      <c r="K2335" s="363"/>
      <c r="L2335" s="363"/>
      <c r="M2335" s="367"/>
    </row>
    <row r="2336" customFormat="false" ht="12.75" hidden="false" customHeight="true" outlineLevel="0" collapsed="false">
      <c r="B2336" s="361"/>
      <c r="C2336" s="369"/>
      <c r="D2336" s="369"/>
      <c r="E2336" s="363"/>
      <c r="F2336" s="374"/>
      <c r="G2336" s="363"/>
      <c r="H2336" s="363"/>
      <c r="I2336" s="363"/>
      <c r="J2336" s="363"/>
      <c r="K2336" s="363"/>
      <c r="L2336" s="363"/>
      <c r="M2336" s="367"/>
    </row>
    <row r="2337" customFormat="false" ht="12.75" hidden="false" customHeight="true" outlineLevel="0" collapsed="false">
      <c r="B2337" s="361"/>
      <c r="C2337" s="369"/>
      <c r="D2337" s="369"/>
      <c r="E2337" s="363"/>
      <c r="F2337" s="374"/>
      <c r="G2337" s="363"/>
      <c r="H2337" s="363"/>
      <c r="I2337" s="363"/>
      <c r="J2337" s="363"/>
      <c r="K2337" s="363"/>
      <c r="L2337" s="363"/>
      <c r="M2337" s="367"/>
    </row>
    <row r="2338" customFormat="false" ht="12.75" hidden="false" customHeight="true" outlineLevel="0" collapsed="false">
      <c r="B2338" s="361"/>
      <c r="C2338" s="369"/>
      <c r="D2338" s="369"/>
      <c r="E2338" s="363"/>
      <c r="F2338" s="374"/>
      <c r="G2338" s="363"/>
      <c r="H2338" s="363"/>
      <c r="I2338" s="363"/>
      <c r="J2338" s="363"/>
      <c r="K2338" s="363"/>
      <c r="L2338" s="363"/>
      <c r="M2338" s="367"/>
    </row>
    <row r="2339" customFormat="false" ht="12.75" hidden="false" customHeight="true" outlineLevel="0" collapsed="false">
      <c r="B2339" s="361"/>
      <c r="C2339" s="369"/>
      <c r="D2339" s="369"/>
      <c r="E2339" s="363"/>
      <c r="F2339" s="374"/>
      <c r="G2339" s="363"/>
      <c r="H2339" s="363"/>
      <c r="I2339" s="363"/>
      <c r="J2339" s="363"/>
      <c r="K2339" s="363"/>
      <c r="L2339" s="363"/>
      <c r="M2339" s="367"/>
    </row>
    <row r="2340" customFormat="false" ht="12.75" hidden="false" customHeight="true" outlineLevel="0" collapsed="false">
      <c r="B2340" s="361"/>
      <c r="C2340" s="369"/>
      <c r="D2340" s="369"/>
      <c r="E2340" s="363"/>
      <c r="F2340" s="374"/>
      <c r="G2340" s="363"/>
      <c r="H2340" s="363"/>
      <c r="I2340" s="363"/>
      <c r="J2340" s="363"/>
      <c r="K2340" s="363"/>
      <c r="L2340" s="363"/>
      <c r="M2340" s="367"/>
    </row>
    <row r="2341" customFormat="false" ht="12.75" hidden="false" customHeight="true" outlineLevel="0" collapsed="false">
      <c r="B2341" s="361"/>
      <c r="C2341" s="369"/>
      <c r="D2341" s="369"/>
      <c r="E2341" s="363"/>
      <c r="F2341" s="374"/>
      <c r="G2341" s="363"/>
      <c r="H2341" s="363"/>
      <c r="I2341" s="363"/>
      <c r="J2341" s="363"/>
      <c r="K2341" s="363"/>
      <c r="L2341" s="363"/>
      <c r="M2341" s="367"/>
    </row>
    <row r="2342" customFormat="false" ht="12.75" hidden="false" customHeight="true" outlineLevel="0" collapsed="false">
      <c r="B2342" s="361"/>
      <c r="C2342" s="369"/>
      <c r="D2342" s="369"/>
      <c r="E2342" s="363"/>
      <c r="F2342" s="374"/>
      <c r="G2342" s="363"/>
      <c r="H2342" s="363"/>
      <c r="I2342" s="363"/>
      <c r="J2342" s="363"/>
      <c r="K2342" s="363"/>
      <c r="L2342" s="363"/>
      <c r="M2342" s="367"/>
    </row>
    <row r="2343" customFormat="false" ht="12.75" hidden="false" customHeight="true" outlineLevel="0" collapsed="false">
      <c r="B2343" s="361"/>
      <c r="C2343" s="369"/>
      <c r="D2343" s="369"/>
      <c r="E2343" s="363"/>
      <c r="F2343" s="374"/>
      <c r="G2343" s="363"/>
      <c r="H2343" s="363"/>
      <c r="I2343" s="363"/>
      <c r="J2343" s="363"/>
      <c r="K2343" s="363"/>
      <c r="L2343" s="363"/>
      <c r="M2343" s="367"/>
    </row>
    <row r="2344" customFormat="false" ht="12.75" hidden="false" customHeight="true" outlineLevel="0" collapsed="false">
      <c r="B2344" s="361"/>
      <c r="C2344" s="369"/>
      <c r="D2344" s="369"/>
      <c r="E2344" s="363"/>
      <c r="F2344" s="374"/>
      <c r="G2344" s="363"/>
      <c r="H2344" s="363"/>
      <c r="I2344" s="363"/>
      <c r="J2344" s="363"/>
      <c r="K2344" s="363"/>
      <c r="L2344" s="363"/>
      <c r="M2344" s="367"/>
    </row>
    <row r="2345" customFormat="false" ht="12.75" hidden="false" customHeight="true" outlineLevel="0" collapsed="false">
      <c r="B2345" s="368"/>
      <c r="C2345" s="369"/>
      <c r="D2345" s="369"/>
      <c r="E2345" s="370"/>
      <c r="F2345" s="375"/>
      <c r="G2345" s="370"/>
      <c r="H2345" s="370"/>
      <c r="I2345" s="370"/>
      <c r="J2345" s="370"/>
      <c r="K2345" s="370"/>
      <c r="L2345" s="370"/>
      <c r="M2345" s="384"/>
    </row>
    <row r="2346" customFormat="false" ht="12.75" hidden="false" customHeight="true" outlineLevel="0" collapsed="false">
      <c r="B2346" s="361"/>
      <c r="C2346" s="369"/>
      <c r="D2346" s="369"/>
      <c r="E2346" s="363"/>
      <c r="F2346" s="374"/>
      <c r="G2346" s="363"/>
      <c r="H2346" s="363"/>
      <c r="I2346" s="363"/>
      <c r="J2346" s="363"/>
      <c r="K2346" s="363"/>
      <c r="L2346" s="363"/>
      <c r="M2346" s="367"/>
    </row>
    <row r="2347" customFormat="false" ht="12.75" hidden="false" customHeight="true" outlineLevel="0" collapsed="false">
      <c r="B2347" s="361"/>
      <c r="C2347" s="369"/>
      <c r="D2347" s="369"/>
      <c r="E2347" s="363"/>
      <c r="F2347" s="374"/>
      <c r="G2347" s="363"/>
      <c r="H2347" s="363"/>
      <c r="I2347" s="363"/>
      <c r="J2347" s="363"/>
      <c r="K2347" s="363"/>
      <c r="L2347" s="363"/>
      <c r="M2347" s="367"/>
    </row>
    <row r="2348" customFormat="false" ht="12.75" hidden="false" customHeight="true" outlineLevel="0" collapsed="false">
      <c r="B2348" s="361"/>
      <c r="C2348" s="369"/>
      <c r="D2348" s="369"/>
      <c r="E2348" s="363"/>
      <c r="F2348" s="374"/>
      <c r="G2348" s="363"/>
      <c r="H2348" s="363"/>
      <c r="I2348" s="363"/>
      <c r="J2348" s="363"/>
      <c r="K2348" s="363"/>
      <c r="L2348" s="363"/>
      <c r="M2348" s="367"/>
    </row>
    <row r="2349" customFormat="false" ht="12.75" hidden="false" customHeight="true" outlineLevel="0" collapsed="false">
      <c r="B2349" s="361"/>
      <c r="C2349" s="369"/>
      <c r="D2349" s="369"/>
      <c r="E2349" s="363"/>
      <c r="F2349" s="374"/>
      <c r="G2349" s="363"/>
      <c r="H2349" s="363"/>
      <c r="I2349" s="363"/>
      <c r="J2349" s="363"/>
      <c r="K2349" s="363"/>
      <c r="L2349" s="363"/>
      <c r="M2349" s="367"/>
    </row>
    <row r="2350" customFormat="false" ht="12.75" hidden="false" customHeight="true" outlineLevel="0" collapsed="false">
      <c r="B2350" s="361"/>
      <c r="C2350" s="369"/>
      <c r="D2350" s="369"/>
      <c r="E2350" s="363"/>
      <c r="F2350" s="374"/>
      <c r="G2350" s="363"/>
      <c r="H2350" s="363"/>
      <c r="I2350" s="363"/>
      <c r="J2350" s="363"/>
      <c r="K2350" s="363"/>
      <c r="L2350" s="363"/>
      <c r="M2350" s="367"/>
    </row>
    <row r="2351" customFormat="false" ht="12.75" hidden="false" customHeight="true" outlineLevel="0" collapsed="false">
      <c r="B2351" s="361"/>
      <c r="C2351" s="369"/>
      <c r="D2351" s="369"/>
      <c r="E2351" s="363"/>
      <c r="F2351" s="374"/>
      <c r="G2351" s="363"/>
      <c r="H2351" s="363"/>
      <c r="I2351" s="363"/>
      <c r="J2351" s="363"/>
      <c r="K2351" s="363"/>
      <c r="L2351" s="363"/>
      <c r="M2351" s="367"/>
    </row>
    <row r="2352" customFormat="false" ht="12.75" hidden="false" customHeight="true" outlineLevel="0" collapsed="false">
      <c r="B2352" s="361"/>
      <c r="C2352" s="369"/>
      <c r="D2352" s="369"/>
      <c r="E2352" s="363"/>
      <c r="F2352" s="374"/>
      <c r="G2352" s="363"/>
      <c r="H2352" s="363"/>
      <c r="I2352" s="363"/>
      <c r="J2352" s="363"/>
      <c r="K2352" s="363"/>
      <c r="L2352" s="363"/>
      <c r="M2352" s="367"/>
    </row>
    <row r="2353" customFormat="false" ht="12.75" hidden="false" customHeight="true" outlineLevel="0" collapsed="false">
      <c r="B2353" s="361"/>
      <c r="C2353" s="369"/>
      <c r="D2353" s="369"/>
      <c r="E2353" s="363"/>
      <c r="F2353" s="374"/>
      <c r="G2353" s="363"/>
      <c r="H2353" s="363"/>
      <c r="I2353" s="363"/>
      <c r="J2353" s="363"/>
      <c r="K2353" s="363"/>
      <c r="L2353" s="363"/>
      <c r="M2353" s="367"/>
    </row>
    <row r="2354" customFormat="false" ht="12.75" hidden="false" customHeight="true" outlineLevel="0" collapsed="false">
      <c r="B2354" s="361"/>
      <c r="C2354" s="369"/>
      <c r="D2354" s="369"/>
      <c r="E2354" s="363"/>
      <c r="F2354" s="374"/>
      <c r="G2354" s="363"/>
      <c r="H2354" s="363"/>
      <c r="I2354" s="363"/>
      <c r="J2354" s="363"/>
      <c r="K2354" s="363"/>
      <c r="L2354" s="363"/>
      <c r="M2354" s="367"/>
    </row>
    <row r="2355" customFormat="false" ht="12.75" hidden="false" customHeight="true" outlineLevel="0" collapsed="false">
      <c r="B2355" s="361"/>
      <c r="C2355" s="369"/>
      <c r="D2355" s="369"/>
      <c r="E2355" s="363"/>
      <c r="F2355" s="374"/>
      <c r="G2355" s="363"/>
      <c r="H2355" s="363"/>
      <c r="I2355" s="363"/>
      <c r="J2355" s="363"/>
      <c r="K2355" s="363"/>
      <c r="L2355" s="363"/>
      <c r="M2355" s="367"/>
    </row>
    <row r="2356" customFormat="false" ht="12.75" hidden="false" customHeight="true" outlineLevel="0" collapsed="false">
      <c r="B2356" s="361"/>
      <c r="C2356" s="369"/>
      <c r="D2356" s="369"/>
      <c r="E2356" s="363"/>
      <c r="F2356" s="374"/>
      <c r="G2356" s="363"/>
      <c r="H2356" s="363"/>
      <c r="I2356" s="363"/>
      <c r="J2356" s="363"/>
      <c r="K2356" s="363"/>
      <c r="L2356" s="363"/>
      <c r="M2356" s="367"/>
    </row>
    <row r="2357" customFormat="false" ht="12.75" hidden="false" customHeight="true" outlineLevel="0" collapsed="false">
      <c r="B2357" s="361"/>
      <c r="C2357" s="369"/>
      <c r="D2357" s="369"/>
      <c r="E2357" s="363"/>
      <c r="F2357" s="374"/>
      <c r="G2357" s="363"/>
      <c r="H2357" s="363"/>
      <c r="I2357" s="363"/>
      <c r="J2357" s="363"/>
      <c r="K2357" s="363"/>
      <c r="L2357" s="363"/>
      <c r="M2357" s="367"/>
    </row>
    <row r="2358" customFormat="false" ht="12.75" hidden="false" customHeight="true" outlineLevel="0" collapsed="false">
      <c r="B2358" s="361"/>
      <c r="C2358" s="369"/>
      <c r="D2358" s="369"/>
      <c r="E2358" s="363"/>
      <c r="F2358" s="374"/>
      <c r="G2358" s="363"/>
      <c r="H2358" s="363"/>
      <c r="I2358" s="363"/>
      <c r="J2358" s="363"/>
      <c r="K2358" s="363"/>
      <c r="L2358" s="363"/>
      <c r="M2358" s="367"/>
    </row>
    <row r="2359" customFormat="false" ht="12.75" hidden="false" customHeight="true" outlineLevel="0" collapsed="false">
      <c r="B2359" s="361"/>
      <c r="C2359" s="369"/>
      <c r="D2359" s="369"/>
      <c r="E2359" s="363"/>
      <c r="F2359" s="374"/>
      <c r="G2359" s="363"/>
      <c r="H2359" s="363"/>
      <c r="I2359" s="363"/>
      <c r="J2359" s="363"/>
      <c r="K2359" s="363"/>
      <c r="L2359" s="363"/>
      <c r="M2359" s="367"/>
    </row>
    <row r="2360" customFormat="false" ht="12.75" hidden="false" customHeight="true" outlineLevel="0" collapsed="false">
      <c r="B2360" s="361"/>
      <c r="C2360" s="369"/>
      <c r="D2360" s="369"/>
      <c r="E2360" s="363"/>
      <c r="F2360" s="374"/>
      <c r="G2360" s="363"/>
      <c r="H2360" s="363"/>
      <c r="I2360" s="363"/>
      <c r="J2360" s="363"/>
      <c r="K2360" s="363"/>
      <c r="L2360" s="363"/>
      <c r="M2360" s="367"/>
    </row>
    <row r="2361" customFormat="false" ht="12.75" hidden="false" customHeight="true" outlineLevel="0" collapsed="false">
      <c r="B2361" s="361"/>
      <c r="C2361" s="369"/>
      <c r="D2361" s="369"/>
      <c r="E2361" s="363"/>
      <c r="F2361" s="374"/>
      <c r="G2361" s="363"/>
      <c r="H2361" s="363"/>
      <c r="I2361" s="363"/>
      <c r="J2361" s="363"/>
      <c r="K2361" s="363"/>
      <c r="L2361" s="363"/>
      <c r="M2361" s="367"/>
    </row>
    <row r="2362" customFormat="false" ht="12.75" hidden="false" customHeight="true" outlineLevel="0" collapsed="false">
      <c r="B2362" s="361"/>
      <c r="C2362" s="369"/>
      <c r="D2362" s="369"/>
      <c r="E2362" s="363"/>
      <c r="F2362" s="374"/>
      <c r="G2362" s="363"/>
      <c r="H2362" s="363"/>
      <c r="I2362" s="363"/>
      <c r="J2362" s="363"/>
      <c r="K2362" s="363"/>
      <c r="L2362" s="363"/>
      <c r="M2362" s="367"/>
    </row>
    <row r="2363" customFormat="false" ht="12.75" hidden="false" customHeight="true" outlineLevel="0" collapsed="false">
      <c r="B2363" s="361"/>
      <c r="C2363" s="369"/>
      <c r="D2363" s="369"/>
      <c r="E2363" s="363"/>
      <c r="F2363" s="374"/>
      <c r="G2363" s="363"/>
      <c r="H2363" s="363"/>
      <c r="I2363" s="363"/>
      <c r="J2363" s="363"/>
      <c r="K2363" s="363"/>
      <c r="L2363" s="363"/>
      <c r="M2363" s="367"/>
    </row>
    <row r="2364" customFormat="false" ht="12.75" hidden="false" customHeight="true" outlineLevel="0" collapsed="false">
      <c r="B2364" s="361"/>
      <c r="C2364" s="369"/>
      <c r="D2364" s="369"/>
      <c r="E2364" s="363"/>
      <c r="F2364" s="374"/>
      <c r="G2364" s="363"/>
      <c r="H2364" s="363"/>
      <c r="I2364" s="363"/>
      <c r="J2364" s="363"/>
      <c r="K2364" s="363"/>
      <c r="L2364" s="363"/>
      <c r="M2364" s="367"/>
    </row>
    <row r="2365" customFormat="false" ht="12.75" hidden="false" customHeight="true" outlineLevel="0" collapsed="false">
      <c r="B2365" s="361"/>
      <c r="C2365" s="369"/>
      <c r="D2365" s="369"/>
      <c r="E2365" s="363"/>
      <c r="F2365" s="374"/>
      <c r="G2365" s="363"/>
      <c r="H2365" s="363"/>
      <c r="I2365" s="363"/>
      <c r="J2365" s="363"/>
      <c r="K2365" s="363"/>
      <c r="L2365" s="363"/>
      <c r="M2365" s="367"/>
    </row>
    <row r="2366" customFormat="false" ht="12.75" hidden="false" customHeight="true" outlineLevel="0" collapsed="false">
      <c r="B2366" s="361"/>
      <c r="C2366" s="369"/>
      <c r="D2366" s="369"/>
      <c r="E2366" s="363"/>
      <c r="F2366" s="374"/>
      <c r="G2366" s="363"/>
      <c r="H2366" s="363"/>
      <c r="I2366" s="363"/>
      <c r="J2366" s="363"/>
      <c r="K2366" s="363"/>
      <c r="L2366" s="363"/>
      <c r="M2366" s="367"/>
    </row>
    <row r="2367" customFormat="false" ht="12.75" hidden="false" customHeight="true" outlineLevel="0" collapsed="false">
      <c r="B2367" s="368"/>
      <c r="C2367" s="369"/>
      <c r="D2367" s="369"/>
      <c r="E2367" s="370"/>
      <c r="F2367" s="375"/>
      <c r="G2367" s="370"/>
      <c r="H2367" s="363"/>
      <c r="I2367" s="370"/>
      <c r="J2367" s="370"/>
      <c r="K2367" s="370"/>
      <c r="L2367" s="370"/>
      <c r="M2367" s="384"/>
    </row>
    <row r="2368" customFormat="false" ht="12.75" hidden="false" customHeight="true" outlineLevel="0" collapsed="false">
      <c r="B2368" s="361"/>
      <c r="C2368" s="369"/>
      <c r="D2368" s="369"/>
      <c r="E2368" s="363"/>
      <c r="F2368" s="374"/>
      <c r="G2368" s="363"/>
      <c r="H2368" s="363"/>
      <c r="I2368" s="363"/>
      <c r="J2368" s="363"/>
      <c r="K2368" s="363"/>
      <c r="L2368" s="363"/>
      <c r="M2368" s="367"/>
    </row>
    <row r="2369" customFormat="false" ht="12.75" hidden="false" customHeight="true" outlineLevel="0" collapsed="false">
      <c r="B2369" s="361"/>
      <c r="C2369" s="369"/>
      <c r="D2369" s="369"/>
      <c r="E2369" s="363"/>
      <c r="F2369" s="374"/>
      <c r="G2369" s="363"/>
      <c r="H2369" s="363"/>
      <c r="I2369" s="363"/>
      <c r="J2369" s="363"/>
      <c r="K2369" s="363"/>
      <c r="L2369" s="363"/>
      <c r="M2369" s="367"/>
    </row>
    <row r="2370" customFormat="false" ht="12.75" hidden="false" customHeight="true" outlineLevel="0" collapsed="false">
      <c r="B2370" s="361"/>
      <c r="C2370" s="369"/>
      <c r="D2370" s="369"/>
      <c r="E2370" s="363"/>
      <c r="F2370" s="374"/>
      <c r="G2370" s="363"/>
      <c r="H2370" s="363"/>
      <c r="I2370" s="363"/>
      <c r="J2370" s="363"/>
      <c r="K2370" s="363"/>
      <c r="L2370" s="363"/>
      <c r="M2370" s="367"/>
    </row>
    <row r="2371" customFormat="false" ht="12.75" hidden="false" customHeight="true" outlineLevel="0" collapsed="false">
      <c r="B2371" s="361"/>
      <c r="C2371" s="369"/>
      <c r="D2371" s="369"/>
      <c r="E2371" s="363"/>
      <c r="F2371" s="374"/>
      <c r="G2371" s="363"/>
      <c r="H2371" s="363"/>
      <c r="I2371" s="363"/>
      <c r="J2371" s="363"/>
      <c r="K2371" s="363"/>
      <c r="L2371" s="363"/>
      <c r="M2371" s="367"/>
    </row>
    <row r="2372" customFormat="false" ht="12.75" hidden="false" customHeight="true" outlineLevel="0" collapsed="false">
      <c r="B2372" s="361"/>
      <c r="C2372" s="369"/>
      <c r="D2372" s="369"/>
      <c r="E2372" s="363"/>
      <c r="F2372" s="374"/>
      <c r="G2372" s="363"/>
      <c r="H2372" s="363"/>
      <c r="I2372" s="363"/>
      <c r="J2372" s="363"/>
      <c r="K2372" s="363"/>
      <c r="L2372" s="363"/>
      <c r="M2372" s="367"/>
    </row>
    <row r="2373" customFormat="false" ht="12.75" hidden="false" customHeight="true" outlineLevel="0" collapsed="false">
      <c r="B2373" s="361"/>
      <c r="C2373" s="369"/>
      <c r="D2373" s="369"/>
      <c r="E2373" s="363"/>
      <c r="F2373" s="374"/>
      <c r="G2373" s="363"/>
      <c r="H2373" s="363"/>
      <c r="I2373" s="363"/>
      <c r="J2373" s="363"/>
      <c r="K2373" s="363"/>
      <c r="L2373" s="363"/>
      <c r="M2373" s="367"/>
    </row>
    <row r="2374" customFormat="false" ht="12.75" hidden="false" customHeight="true" outlineLevel="0" collapsed="false">
      <c r="B2374" s="361"/>
      <c r="C2374" s="369"/>
      <c r="D2374" s="369"/>
      <c r="E2374" s="363"/>
      <c r="F2374" s="374"/>
      <c r="G2374" s="363"/>
      <c r="H2374" s="363"/>
      <c r="I2374" s="363"/>
      <c r="J2374" s="363"/>
      <c r="K2374" s="363"/>
      <c r="L2374" s="363"/>
      <c r="M2374" s="367"/>
    </row>
    <row r="2375" customFormat="false" ht="12.75" hidden="false" customHeight="true" outlineLevel="0" collapsed="false">
      <c r="B2375" s="361"/>
      <c r="C2375" s="369"/>
      <c r="D2375" s="369"/>
      <c r="E2375" s="363"/>
      <c r="F2375" s="374"/>
      <c r="G2375" s="363"/>
      <c r="H2375" s="363"/>
      <c r="I2375" s="363"/>
      <c r="J2375" s="363"/>
      <c r="K2375" s="363"/>
      <c r="L2375" s="363"/>
      <c r="M2375" s="367"/>
    </row>
    <row r="2376" customFormat="false" ht="12.75" hidden="false" customHeight="true" outlineLevel="0" collapsed="false">
      <c r="B2376" s="361"/>
      <c r="C2376" s="369"/>
      <c r="D2376" s="369"/>
      <c r="E2376" s="363"/>
      <c r="F2376" s="374"/>
      <c r="G2376" s="363"/>
      <c r="H2376" s="363"/>
      <c r="I2376" s="363"/>
      <c r="J2376" s="363"/>
      <c r="K2376" s="363"/>
      <c r="L2376" s="363"/>
      <c r="M2376" s="367"/>
    </row>
    <row r="2377" customFormat="false" ht="12.75" hidden="false" customHeight="true" outlineLevel="0" collapsed="false">
      <c r="B2377" s="361"/>
      <c r="C2377" s="369"/>
      <c r="D2377" s="369"/>
      <c r="E2377" s="363"/>
      <c r="F2377" s="374"/>
      <c r="G2377" s="363"/>
      <c r="H2377" s="363"/>
      <c r="I2377" s="363"/>
      <c r="J2377" s="363"/>
      <c r="K2377" s="363"/>
      <c r="L2377" s="363"/>
      <c r="M2377" s="367"/>
    </row>
    <row r="2378" customFormat="false" ht="12.75" hidden="false" customHeight="true" outlineLevel="0" collapsed="false">
      <c r="B2378" s="361"/>
      <c r="C2378" s="369"/>
      <c r="D2378" s="369"/>
      <c r="E2378" s="363"/>
      <c r="F2378" s="374"/>
      <c r="G2378" s="363"/>
      <c r="H2378" s="363"/>
      <c r="I2378" s="363"/>
      <c r="J2378" s="363"/>
      <c r="K2378" s="363"/>
      <c r="L2378" s="363"/>
      <c r="M2378" s="367"/>
    </row>
    <row r="2379" customFormat="false" ht="12.75" hidden="false" customHeight="true" outlineLevel="0" collapsed="false">
      <c r="B2379" s="361"/>
      <c r="C2379" s="369"/>
      <c r="D2379" s="369"/>
      <c r="E2379" s="363"/>
      <c r="F2379" s="374"/>
      <c r="G2379" s="363"/>
      <c r="H2379" s="363"/>
      <c r="I2379" s="363"/>
      <c r="J2379" s="363"/>
      <c r="K2379" s="363"/>
      <c r="L2379" s="363"/>
      <c r="M2379" s="367"/>
    </row>
    <row r="2380" customFormat="false" ht="12.75" hidden="false" customHeight="true" outlineLevel="0" collapsed="false">
      <c r="B2380" s="361"/>
      <c r="C2380" s="369"/>
      <c r="D2380" s="369"/>
      <c r="E2380" s="363"/>
      <c r="F2380" s="374"/>
      <c r="G2380" s="363"/>
      <c r="H2380" s="363"/>
      <c r="I2380" s="363"/>
      <c r="J2380" s="363"/>
      <c r="K2380" s="363"/>
      <c r="L2380" s="363"/>
      <c r="M2380" s="367"/>
    </row>
    <row r="2381" customFormat="false" ht="12.75" hidden="false" customHeight="true" outlineLevel="0" collapsed="false">
      <c r="B2381" s="361"/>
      <c r="C2381" s="369"/>
      <c r="D2381" s="369"/>
      <c r="E2381" s="363"/>
      <c r="F2381" s="374"/>
      <c r="G2381" s="363"/>
      <c r="H2381" s="363"/>
      <c r="I2381" s="363"/>
      <c r="J2381" s="363"/>
      <c r="K2381" s="363"/>
      <c r="L2381" s="363"/>
      <c r="M2381" s="367"/>
    </row>
    <row r="2382" customFormat="false" ht="12.75" hidden="false" customHeight="true" outlineLevel="0" collapsed="false">
      <c r="B2382" s="361"/>
      <c r="C2382" s="369"/>
      <c r="D2382" s="369"/>
      <c r="E2382" s="363"/>
      <c r="F2382" s="374"/>
      <c r="G2382" s="363"/>
      <c r="H2382" s="363"/>
      <c r="I2382" s="363"/>
      <c r="J2382" s="363"/>
      <c r="K2382" s="363"/>
      <c r="L2382" s="363"/>
      <c r="M2382" s="367"/>
    </row>
    <row r="2383" customFormat="false" ht="12.75" hidden="false" customHeight="true" outlineLevel="0" collapsed="false">
      <c r="B2383" s="361"/>
      <c r="C2383" s="369"/>
      <c r="D2383" s="369"/>
      <c r="E2383" s="363"/>
      <c r="F2383" s="374"/>
      <c r="G2383" s="363"/>
      <c r="H2383" s="363"/>
      <c r="I2383" s="363"/>
      <c r="J2383" s="363"/>
      <c r="K2383" s="363"/>
      <c r="L2383" s="363"/>
      <c r="M2383" s="367"/>
    </row>
    <row r="2384" customFormat="false" ht="12.75" hidden="false" customHeight="true" outlineLevel="0" collapsed="false">
      <c r="B2384" s="361"/>
      <c r="C2384" s="369"/>
      <c r="D2384" s="369"/>
      <c r="E2384" s="363"/>
      <c r="F2384" s="374"/>
      <c r="G2384" s="363"/>
      <c r="H2384" s="363"/>
      <c r="I2384" s="363"/>
      <c r="J2384" s="363"/>
      <c r="K2384" s="363"/>
      <c r="L2384" s="363"/>
      <c r="M2384" s="367"/>
    </row>
    <row r="2385" customFormat="false" ht="12.75" hidden="false" customHeight="true" outlineLevel="0" collapsed="false">
      <c r="B2385" s="361"/>
      <c r="C2385" s="369"/>
      <c r="D2385" s="369"/>
      <c r="E2385" s="363"/>
      <c r="F2385" s="374"/>
      <c r="G2385" s="363"/>
      <c r="H2385" s="363"/>
      <c r="I2385" s="363"/>
      <c r="J2385" s="363"/>
      <c r="K2385" s="363"/>
      <c r="L2385" s="363"/>
      <c r="M2385" s="367"/>
    </row>
    <row r="2386" customFormat="false" ht="12.75" hidden="false" customHeight="true" outlineLevel="0" collapsed="false">
      <c r="B2386" s="361"/>
      <c r="C2386" s="369"/>
      <c r="D2386" s="369"/>
      <c r="E2386" s="363"/>
      <c r="F2386" s="374"/>
      <c r="G2386" s="363"/>
      <c r="H2386" s="363"/>
      <c r="I2386" s="363"/>
      <c r="J2386" s="363"/>
      <c r="K2386" s="363"/>
      <c r="L2386" s="363"/>
      <c r="M2386" s="367"/>
    </row>
    <row r="2387" customFormat="false" ht="12.75" hidden="false" customHeight="true" outlineLevel="0" collapsed="false">
      <c r="B2387" s="361"/>
      <c r="C2387" s="369"/>
      <c r="D2387" s="369"/>
      <c r="E2387" s="363"/>
      <c r="F2387" s="374"/>
      <c r="G2387" s="363"/>
      <c r="H2387" s="363"/>
      <c r="I2387" s="363"/>
      <c r="J2387" s="363"/>
      <c r="K2387" s="363"/>
      <c r="L2387" s="363"/>
      <c r="M2387" s="367"/>
    </row>
    <row r="2388" customFormat="false" ht="12.75" hidden="false" customHeight="true" outlineLevel="0" collapsed="false">
      <c r="B2388" s="361"/>
      <c r="C2388" s="369"/>
      <c r="D2388" s="369"/>
      <c r="E2388" s="363"/>
      <c r="F2388" s="374"/>
      <c r="G2388" s="363"/>
      <c r="H2388" s="363"/>
      <c r="I2388" s="363"/>
      <c r="J2388" s="363"/>
      <c r="K2388" s="363"/>
      <c r="L2388" s="363"/>
      <c r="M2388" s="367"/>
    </row>
    <row r="2389" customFormat="false" ht="12.75" hidden="false" customHeight="true" outlineLevel="0" collapsed="false">
      <c r="B2389" s="361"/>
      <c r="C2389" s="369"/>
      <c r="D2389" s="369"/>
      <c r="E2389" s="363"/>
      <c r="F2389" s="374"/>
      <c r="G2389" s="363"/>
      <c r="H2389" s="363"/>
      <c r="I2389" s="363"/>
      <c r="J2389" s="363"/>
      <c r="K2389" s="363"/>
      <c r="L2389" s="363"/>
      <c r="M2389" s="367"/>
    </row>
    <row r="2390" customFormat="false" ht="12.75" hidden="false" customHeight="true" outlineLevel="0" collapsed="false">
      <c r="B2390" s="361"/>
      <c r="C2390" s="369"/>
      <c r="D2390" s="369"/>
      <c r="E2390" s="363"/>
      <c r="F2390" s="374"/>
      <c r="G2390" s="363"/>
      <c r="H2390" s="363"/>
      <c r="I2390" s="363"/>
      <c r="J2390" s="363"/>
      <c r="K2390" s="363"/>
      <c r="L2390" s="363"/>
      <c r="M2390" s="367"/>
    </row>
    <row r="2391" customFormat="false" ht="12.75" hidden="false" customHeight="true" outlineLevel="0" collapsed="false">
      <c r="B2391" s="361"/>
      <c r="C2391" s="369"/>
      <c r="D2391" s="369"/>
      <c r="E2391" s="363"/>
      <c r="F2391" s="374"/>
      <c r="G2391" s="363"/>
      <c r="H2391" s="363"/>
      <c r="I2391" s="363"/>
      <c r="J2391" s="363"/>
      <c r="K2391" s="363"/>
      <c r="L2391" s="363"/>
      <c r="M2391" s="367"/>
    </row>
    <row r="2392" customFormat="false" ht="12.75" hidden="false" customHeight="true" outlineLevel="0" collapsed="false">
      <c r="B2392" s="361"/>
      <c r="C2392" s="369"/>
      <c r="D2392" s="369"/>
      <c r="E2392" s="363"/>
      <c r="F2392" s="374"/>
      <c r="G2392" s="363"/>
      <c r="H2392" s="363"/>
      <c r="I2392" s="363"/>
      <c r="J2392" s="363"/>
      <c r="K2392" s="363"/>
      <c r="L2392" s="363"/>
      <c r="M2392" s="367"/>
    </row>
    <row r="2393" customFormat="false" ht="12.75" hidden="false" customHeight="true" outlineLevel="0" collapsed="false">
      <c r="B2393" s="361"/>
      <c r="C2393" s="369"/>
      <c r="D2393" s="369"/>
      <c r="E2393" s="363"/>
      <c r="F2393" s="374"/>
      <c r="G2393" s="363"/>
      <c r="H2393" s="363"/>
      <c r="I2393" s="363"/>
      <c r="J2393" s="363"/>
      <c r="K2393" s="363"/>
      <c r="L2393" s="363"/>
      <c r="M2393" s="367"/>
    </row>
    <row r="2394" customFormat="false" ht="12.75" hidden="false" customHeight="true" outlineLevel="0" collapsed="false">
      <c r="B2394" s="368"/>
      <c r="C2394" s="369"/>
      <c r="D2394" s="369"/>
      <c r="E2394" s="370"/>
      <c r="F2394" s="375"/>
      <c r="G2394" s="370"/>
      <c r="H2394" s="370"/>
      <c r="I2394" s="370"/>
      <c r="J2394" s="370"/>
      <c r="K2394" s="370"/>
      <c r="L2394" s="370"/>
      <c r="M2394" s="384"/>
    </row>
  </sheetData>
  <mergeCells count="5">
    <mergeCell ref="F3:K3"/>
    <mergeCell ref="F4:K4"/>
    <mergeCell ref="F5:K5"/>
    <mergeCell ref="F6:K6"/>
    <mergeCell ref="F7:J7"/>
  </mergeCells>
  <hyperlinks>
    <hyperlink ref="F12" r:id="rId1" display="6522"/>
  </hyperlinks>
  <printOptions headings="false" gridLines="false" gridLinesSet="true" horizontalCentered="false" verticalCentered="false"/>
  <pageMargins left="0.236111111111111" right="0.236111111111111" top="0.747916666666667" bottom="0.747916666666667" header="0.511811023622047" footer="0.511811023622047"/>
  <pageSetup paperSize="1" scale="25" fitToWidth="1" fitToHeight="1" pageOrder="downThenOver" orientation="landscape" blackAndWhite="false" draft="false" cellComments="none" horizontalDpi="300" verticalDpi="300" copies="1"/>
  <headerFooter differentFirst="false" differentOddEven="false">
    <oddHeader/>
    <oddFooter/>
  </headerFooter>
  <tableParts>
    <tablePart r:id="rId2"/>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108"/>
  <sheetViews>
    <sheetView showFormulas="false" showGridLines="true" showRowColHeaders="true" showZeros="true" rightToLeft="false" tabSelected="false" showOutlineSymbols="true" defaultGridColor="true" view="normal" topLeftCell="F4" colorId="64" zoomScale="100" zoomScaleNormal="100" zoomScalePageLayoutView="100" workbookViewId="0">
      <selection pane="topLeft" activeCell="R6" activeCellId="0" sqref="R6"/>
    </sheetView>
  </sheetViews>
  <sheetFormatPr defaultColWidth="10.859375" defaultRowHeight="15" zeroHeight="false" outlineLevelRow="0" outlineLevelCol="0"/>
  <cols>
    <col collapsed="false" customWidth="true" hidden="false" outlineLevel="0" max="1" min="1" style="27" width="10"/>
    <col collapsed="false" customWidth="true" hidden="false" outlineLevel="0" max="2" min="2" style="27" width="24.43"/>
    <col collapsed="false" customWidth="true" hidden="false" outlineLevel="0" max="3" min="3" style="27" width="104.72"/>
    <col collapsed="false" customWidth="true" hidden="false" outlineLevel="0" max="4" min="4" style="27" width="12.86"/>
    <col collapsed="false" customWidth="true" hidden="false" outlineLevel="0" max="5" min="5" style="27" width="12.14"/>
    <col collapsed="false" customWidth="true" hidden="false" outlineLevel="0" max="6" min="6" style="27" width="22"/>
    <col collapsed="false" customWidth="true" hidden="false" outlineLevel="0" max="8" min="7" style="27" width="16.57"/>
    <col collapsed="false" customWidth="true" hidden="false" outlineLevel="0" max="9" min="9" style="385" width="16.57"/>
    <col collapsed="false" customWidth="true" hidden="false" outlineLevel="0" max="10" min="10" style="27" width="60.72"/>
    <col collapsed="false" customWidth="true" hidden="false" outlineLevel="0" max="11" min="11" style="386" width="7.28"/>
    <col collapsed="false" customWidth="true" hidden="false" outlineLevel="0" max="12" min="12" style="27" width="28.43"/>
    <col collapsed="false" customWidth="true" hidden="false" outlineLevel="0" max="13" min="13" style="27" width="17"/>
    <col collapsed="false" customWidth="false" hidden="false" outlineLevel="0" max="14" min="14" style="27" width="10.86"/>
    <col collapsed="false" customWidth="true" hidden="false" outlineLevel="0" max="15" min="15" style="27" width="26.71"/>
    <col collapsed="false" customWidth="true" hidden="false" outlineLevel="0" max="16" min="16" style="27" width="16.72"/>
    <col collapsed="false" customWidth="false" hidden="false" outlineLevel="0" max="16384" min="17" style="27" width="10.86"/>
  </cols>
  <sheetData>
    <row r="1" customFormat="false" ht="15" hidden="false" customHeight="true" outlineLevel="0" collapsed="false">
      <c r="I1" s="27"/>
    </row>
    <row r="2" customFormat="false" ht="15" hidden="false" customHeight="true" outlineLevel="0" collapsed="false">
      <c r="I2" s="27"/>
      <c r="M2" s="272" t="n">
        <f aca="true">TODAY()</f>
        <v>46080</v>
      </c>
    </row>
    <row r="3" customFormat="false" ht="45.75" hidden="false" customHeight="true" outlineLevel="0" collapsed="false">
      <c r="B3" s="387" t="s">
        <v>665</v>
      </c>
      <c r="C3" s="388" t="s">
        <v>666</v>
      </c>
      <c r="D3" s="388" t="s">
        <v>667</v>
      </c>
      <c r="E3" s="388" t="s">
        <v>668</v>
      </c>
      <c r="F3" s="388" t="s">
        <v>112</v>
      </c>
      <c r="G3" s="388" t="s">
        <v>669</v>
      </c>
      <c r="H3" s="389" t="s">
        <v>670</v>
      </c>
      <c r="I3" s="389" t="s">
        <v>671</v>
      </c>
      <c r="J3" s="390" t="s">
        <v>672</v>
      </c>
      <c r="P3" s="272"/>
    </row>
    <row r="4" customFormat="false" ht="37.5" hidden="false" customHeight="true" outlineLevel="0" collapsed="false">
      <c r="B4" s="391" t="s">
        <v>673</v>
      </c>
      <c r="C4" s="392" t="s">
        <v>674</v>
      </c>
      <c r="D4" s="3" t="s">
        <v>675</v>
      </c>
      <c r="E4" s="3" t="s">
        <v>676</v>
      </c>
      <c r="F4" s="393" t="s">
        <v>677</v>
      </c>
      <c r="G4" s="394" t="n">
        <v>45480</v>
      </c>
      <c r="H4" s="395"/>
      <c r="I4" s="396"/>
      <c r="J4" s="397"/>
      <c r="L4" s="398" t="s">
        <v>678</v>
      </c>
      <c r="M4" s="399" t="n">
        <f aca="false">+COUNTIF(E:E,"Si")</f>
        <v>2</v>
      </c>
      <c r="O4" s="398" t="s">
        <v>679</v>
      </c>
      <c r="P4" s="399" t="n">
        <f aca="false">+SUM(P5:P6)+(1)</f>
        <v>4</v>
      </c>
    </row>
    <row r="5" customFormat="false" ht="37.5" hidden="false" customHeight="true" outlineLevel="0" collapsed="false">
      <c r="B5" s="400" t="s">
        <v>680</v>
      </c>
      <c r="C5" s="401" t="s">
        <v>681</v>
      </c>
      <c r="D5" s="10" t="s">
        <v>682</v>
      </c>
      <c r="E5" s="10" t="s">
        <v>683</v>
      </c>
      <c r="F5" s="402" t="s">
        <v>684</v>
      </c>
      <c r="G5" s="403" t="n">
        <v>45520</v>
      </c>
      <c r="H5" s="404"/>
      <c r="I5" s="405"/>
      <c r="J5" s="406" t="s">
        <v>685</v>
      </c>
      <c r="L5" s="407" t="s">
        <v>226</v>
      </c>
      <c r="M5" s="408" t="n">
        <f aca="false">+COUNTIF(F:F,"Respondida")</f>
        <v>1</v>
      </c>
      <c r="O5" s="407" t="s">
        <v>686</v>
      </c>
      <c r="P5" s="408" t="n">
        <f aca="false">+COUNTIF(D:D,"Respuesta")</f>
        <v>2</v>
      </c>
    </row>
    <row r="6" customFormat="false" ht="37.5" hidden="false" customHeight="true" outlineLevel="0" collapsed="false">
      <c r="B6" s="400" t="s">
        <v>687</v>
      </c>
      <c r="C6" s="401" t="s">
        <v>688</v>
      </c>
      <c r="D6" s="3" t="s">
        <v>675</v>
      </c>
      <c r="E6" s="3" t="s">
        <v>676</v>
      </c>
      <c r="F6" s="402" t="s">
        <v>689</v>
      </c>
      <c r="G6" s="403" t="n">
        <v>45691</v>
      </c>
      <c r="H6" s="404"/>
      <c r="I6" s="405" t="n">
        <f aca="true">TODAY()-G6</f>
        <v>389</v>
      </c>
      <c r="J6" s="409"/>
      <c r="K6" s="410"/>
      <c r="L6" s="411" t="s">
        <v>689</v>
      </c>
      <c r="M6" s="412" t="n">
        <f aca="false">+COUNTIF(F:F,"Pendiente")</f>
        <v>1</v>
      </c>
      <c r="O6" s="411" t="s">
        <v>690</v>
      </c>
      <c r="P6" s="412" t="n">
        <f aca="false">+COUNTIF(D:D,"Emitida")</f>
        <v>1</v>
      </c>
    </row>
    <row r="7" customFormat="false" ht="37.5" hidden="false" customHeight="true" outlineLevel="0" collapsed="false">
      <c r="B7" s="400"/>
      <c r="C7" s="401"/>
      <c r="D7" s="3"/>
      <c r="E7" s="3"/>
      <c r="F7" s="393"/>
      <c r="G7" s="394"/>
      <c r="H7" s="413"/>
      <c r="I7" s="405"/>
      <c r="J7" s="409"/>
      <c r="K7" s="410"/>
    </row>
    <row r="8" customFormat="false" ht="37.5" hidden="false" customHeight="true" outlineLevel="0" collapsed="false">
      <c r="B8" s="400"/>
      <c r="C8" s="401"/>
      <c r="D8" s="10"/>
      <c r="E8" s="3"/>
      <c r="F8" s="393"/>
      <c r="G8" s="403"/>
      <c r="H8" s="404"/>
      <c r="I8" s="405"/>
      <c r="J8" s="409"/>
    </row>
    <row r="9" customFormat="false" ht="37.5" hidden="false" customHeight="true" outlineLevel="0" collapsed="false">
      <c r="B9" s="400"/>
      <c r="C9" s="401"/>
      <c r="D9" s="10"/>
      <c r="E9" s="3"/>
      <c r="F9" s="393"/>
      <c r="G9" s="403"/>
      <c r="H9" s="404"/>
      <c r="I9" s="405"/>
      <c r="J9" s="409"/>
    </row>
    <row r="10" customFormat="false" ht="37.5" hidden="false" customHeight="true" outlineLevel="0" collapsed="false">
      <c r="B10" s="400"/>
      <c r="C10" s="401"/>
      <c r="D10" s="10"/>
      <c r="E10" s="10"/>
      <c r="F10" s="402"/>
      <c r="G10" s="403"/>
      <c r="H10" s="404"/>
      <c r="I10" s="405"/>
      <c r="J10" s="414"/>
    </row>
    <row r="11" customFormat="false" ht="37.5" hidden="false" customHeight="true" outlineLevel="0" collapsed="false">
      <c r="B11" s="400"/>
      <c r="C11" s="401"/>
      <c r="D11" s="10"/>
      <c r="E11" s="3"/>
      <c r="F11" s="393"/>
      <c r="G11" s="403"/>
      <c r="H11" s="404"/>
      <c r="I11" s="405"/>
      <c r="J11" s="409"/>
    </row>
    <row r="12" customFormat="false" ht="37.5" hidden="false" customHeight="true" outlineLevel="0" collapsed="false">
      <c r="B12" s="400"/>
      <c r="C12" s="401"/>
      <c r="D12" s="10"/>
      <c r="E12" s="3"/>
      <c r="F12" s="393"/>
      <c r="G12" s="403"/>
      <c r="H12" s="404"/>
      <c r="I12" s="405"/>
      <c r="J12" s="409"/>
      <c r="K12" s="410"/>
    </row>
    <row r="13" customFormat="false" ht="37.5" hidden="false" customHeight="true" outlineLevel="0" collapsed="false">
      <c r="B13" s="400"/>
      <c r="C13" s="401"/>
      <c r="D13" s="10"/>
      <c r="E13" s="10"/>
      <c r="F13" s="402"/>
      <c r="G13" s="403"/>
      <c r="H13" s="404"/>
      <c r="I13" s="405"/>
      <c r="J13" s="414"/>
    </row>
    <row r="14" customFormat="false" ht="37.5" hidden="false" customHeight="true" outlineLevel="0" collapsed="false">
      <c r="B14" s="400"/>
      <c r="C14" s="401"/>
      <c r="D14" s="10"/>
      <c r="E14" s="3"/>
      <c r="F14" s="393"/>
      <c r="G14" s="403"/>
      <c r="H14" s="404"/>
      <c r="I14" s="405"/>
      <c r="J14" s="409"/>
    </row>
    <row r="15" customFormat="false" ht="37.5" hidden="false" customHeight="true" outlineLevel="0" collapsed="false">
      <c r="B15" s="400"/>
      <c r="C15" s="401"/>
      <c r="D15" s="10"/>
      <c r="E15" s="3"/>
      <c r="F15" s="393"/>
      <c r="G15" s="403"/>
      <c r="H15" s="404"/>
      <c r="I15" s="405"/>
      <c r="J15" s="409"/>
      <c r="K15" s="410"/>
    </row>
    <row r="16" customFormat="false" ht="37.5" hidden="false" customHeight="true" outlineLevel="0" collapsed="false">
      <c r="B16" s="400"/>
      <c r="C16" s="401"/>
      <c r="D16" s="3"/>
      <c r="E16" s="10"/>
      <c r="F16" s="402"/>
      <c r="G16" s="403"/>
      <c r="H16" s="404"/>
      <c r="I16" s="405"/>
      <c r="J16" s="409"/>
    </row>
    <row r="17" customFormat="false" ht="37.5" hidden="false" customHeight="true" outlineLevel="0" collapsed="false">
      <c r="B17" s="400"/>
      <c r="C17" s="401"/>
      <c r="D17" s="10"/>
      <c r="E17" s="3"/>
      <c r="F17" s="393"/>
      <c r="G17" s="403"/>
      <c r="H17" s="404"/>
      <c r="I17" s="405"/>
      <c r="J17" s="409"/>
    </row>
    <row r="18" customFormat="false" ht="37.5" hidden="false" customHeight="true" outlineLevel="0" collapsed="false">
      <c r="B18" s="400"/>
      <c r="C18" s="401"/>
      <c r="D18" s="10"/>
      <c r="E18" s="3"/>
      <c r="F18" s="393"/>
      <c r="G18" s="403"/>
      <c r="H18" s="404"/>
      <c r="I18" s="405"/>
      <c r="J18" s="409"/>
    </row>
    <row r="19" customFormat="false" ht="37.5" hidden="false" customHeight="true" outlineLevel="0" collapsed="false">
      <c r="B19" s="400"/>
      <c r="C19" s="401"/>
      <c r="D19" s="10"/>
      <c r="E19" s="3"/>
      <c r="F19" s="393"/>
      <c r="G19" s="403"/>
      <c r="H19" s="404"/>
      <c r="I19" s="405"/>
      <c r="J19" s="409"/>
      <c r="K19" s="410"/>
    </row>
    <row r="20" customFormat="false" ht="37.5" hidden="false" customHeight="true" outlineLevel="0" collapsed="false">
      <c r="B20" s="400"/>
      <c r="C20" s="401"/>
      <c r="D20" s="10"/>
      <c r="E20" s="3"/>
      <c r="F20" s="393"/>
      <c r="G20" s="403"/>
      <c r="H20" s="404"/>
      <c r="I20" s="405"/>
      <c r="J20" s="409"/>
    </row>
    <row r="21" customFormat="false" ht="37.5" hidden="false" customHeight="true" outlineLevel="0" collapsed="false">
      <c r="B21" s="400"/>
      <c r="C21" s="401"/>
      <c r="D21" s="10"/>
      <c r="E21" s="3"/>
      <c r="F21" s="393"/>
      <c r="G21" s="403"/>
      <c r="H21" s="404"/>
      <c r="I21" s="405"/>
      <c r="J21" s="409"/>
      <c r="K21" s="410"/>
    </row>
    <row r="22" customFormat="false" ht="37.5" hidden="false" customHeight="true" outlineLevel="0" collapsed="false">
      <c r="B22" s="400"/>
      <c r="C22" s="401"/>
      <c r="D22" s="10"/>
      <c r="E22" s="3"/>
      <c r="F22" s="393"/>
      <c r="G22" s="403"/>
      <c r="H22" s="404"/>
      <c r="I22" s="405"/>
      <c r="J22" s="409"/>
    </row>
    <row r="23" customFormat="false" ht="37.5" hidden="false" customHeight="true" outlineLevel="0" collapsed="false">
      <c r="B23" s="400"/>
      <c r="C23" s="401"/>
      <c r="D23" s="10"/>
      <c r="E23" s="10"/>
      <c r="F23" s="402"/>
      <c r="G23" s="403"/>
      <c r="H23" s="404"/>
      <c r="I23" s="405"/>
      <c r="J23" s="409"/>
    </row>
    <row r="24" customFormat="false" ht="37.5" hidden="false" customHeight="true" outlineLevel="0" collapsed="false">
      <c r="B24" s="400"/>
      <c r="C24" s="401"/>
      <c r="D24" s="10"/>
      <c r="E24" s="3"/>
      <c r="F24" s="393"/>
      <c r="G24" s="403"/>
      <c r="H24" s="404"/>
      <c r="I24" s="405"/>
      <c r="J24" s="409"/>
    </row>
    <row r="25" customFormat="false" ht="37.5" hidden="false" customHeight="true" outlineLevel="0" collapsed="false">
      <c r="B25" s="400"/>
      <c r="C25" s="401"/>
      <c r="D25" s="10"/>
      <c r="E25" s="3"/>
      <c r="F25" s="393"/>
      <c r="G25" s="403"/>
      <c r="H25" s="404"/>
      <c r="I25" s="405"/>
      <c r="J25" s="409"/>
    </row>
    <row r="26" customFormat="false" ht="37.5" hidden="false" customHeight="true" outlineLevel="0" collapsed="false">
      <c r="B26" s="400"/>
      <c r="C26" s="415"/>
      <c r="D26" s="10"/>
      <c r="E26" s="3"/>
      <c r="F26" s="393"/>
      <c r="G26" s="403"/>
      <c r="H26" s="404"/>
      <c r="I26" s="405"/>
      <c r="J26" s="409"/>
    </row>
    <row r="27" customFormat="false" ht="37.5" hidden="false" customHeight="true" outlineLevel="0" collapsed="false">
      <c r="B27" s="400"/>
      <c r="C27" s="415"/>
      <c r="D27" s="3"/>
      <c r="E27" s="3"/>
      <c r="F27" s="393"/>
      <c r="G27" s="403"/>
      <c r="H27" s="413"/>
      <c r="I27" s="405"/>
      <c r="J27" s="409"/>
      <c r="K27" s="410"/>
    </row>
    <row r="28" customFormat="false" ht="37.5" hidden="false" customHeight="true" outlineLevel="0" collapsed="false">
      <c r="B28" s="400"/>
      <c r="C28" s="415"/>
      <c r="D28" s="10"/>
      <c r="E28" s="3"/>
      <c r="F28" s="393"/>
      <c r="G28" s="403"/>
      <c r="H28" s="413"/>
      <c r="I28" s="405"/>
      <c r="J28" s="409"/>
    </row>
    <row r="29" customFormat="false" ht="37.5" hidden="false" customHeight="true" outlineLevel="0" collapsed="false">
      <c r="B29" s="400"/>
      <c r="C29" s="415"/>
      <c r="D29" s="3"/>
      <c r="E29" s="3"/>
      <c r="F29" s="393"/>
      <c r="G29" s="403"/>
      <c r="H29" s="413"/>
      <c r="I29" s="405"/>
      <c r="J29" s="409"/>
    </row>
    <row r="30" customFormat="false" ht="37.5" hidden="false" customHeight="true" outlineLevel="0" collapsed="false">
      <c r="B30" s="400"/>
      <c r="C30" s="415"/>
      <c r="D30" s="3"/>
      <c r="E30" s="10"/>
      <c r="F30" s="402"/>
      <c r="G30" s="403"/>
      <c r="H30" s="404"/>
      <c r="I30" s="405"/>
      <c r="J30" s="409"/>
    </row>
    <row r="31" customFormat="false" ht="37.5" hidden="false" customHeight="true" outlineLevel="0" collapsed="false">
      <c r="B31" s="400"/>
      <c r="C31" s="415"/>
      <c r="D31" s="3"/>
      <c r="E31" s="10"/>
      <c r="F31" s="402"/>
      <c r="G31" s="403"/>
      <c r="H31" s="404"/>
      <c r="I31" s="405"/>
      <c r="J31" s="409"/>
    </row>
    <row r="32" customFormat="false" ht="37.5" hidden="false" customHeight="true" outlineLevel="0" collapsed="false">
      <c r="B32" s="400"/>
      <c r="C32" s="415"/>
      <c r="D32" s="10"/>
      <c r="E32" s="3"/>
      <c r="F32" s="393"/>
      <c r="G32" s="403"/>
      <c r="H32" s="413"/>
      <c r="I32" s="405"/>
      <c r="J32" s="409"/>
    </row>
    <row r="33" customFormat="false" ht="37.5" hidden="false" customHeight="true" outlineLevel="0" collapsed="false">
      <c r="B33" s="400"/>
      <c r="C33" s="415"/>
      <c r="D33" s="10"/>
      <c r="E33" s="3"/>
      <c r="F33" s="393"/>
      <c r="G33" s="403"/>
      <c r="H33" s="413"/>
      <c r="I33" s="405"/>
      <c r="J33" s="409"/>
    </row>
    <row r="34" customFormat="false" ht="37.5" hidden="false" customHeight="true" outlineLevel="0" collapsed="false">
      <c r="B34" s="400"/>
      <c r="C34" s="401"/>
      <c r="D34" s="10"/>
      <c r="E34" s="3"/>
      <c r="F34" s="393"/>
      <c r="G34" s="403"/>
      <c r="H34" s="416"/>
      <c r="I34" s="405"/>
      <c r="J34" s="409"/>
    </row>
    <row r="35" customFormat="false" ht="37.5" hidden="false" customHeight="true" outlineLevel="0" collapsed="false">
      <c r="B35" s="400"/>
      <c r="C35" s="401"/>
      <c r="D35" s="10"/>
      <c r="E35" s="3"/>
      <c r="F35" s="393"/>
      <c r="G35" s="403"/>
      <c r="H35" s="413"/>
      <c r="I35" s="405"/>
      <c r="J35" s="409"/>
    </row>
    <row r="36" customFormat="false" ht="37.5" hidden="false" customHeight="true" outlineLevel="0" collapsed="false">
      <c r="B36" s="400"/>
      <c r="C36" s="401"/>
      <c r="D36" s="10"/>
      <c r="E36" s="3"/>
      <c r="F36" s="393"/>
      <c r="G36" s="403"/>
      <c r="H36" s="416"/>
      <c r="I36" s="405"/>
      <c r="J36" s="409"/>
    </row>
    <row r="37" customFormat="false" ht="37.5" hidden="false" customHeight="true" outlineLevel="0" collapsed="false">
      <c r="B37" s="400"/>
      <c r="C37" s="401"/>
      <c r="D37" s="10"/>
      <c r="E37" s="3"/>
      <c r="F37" s="393"/>
      <c r="G37" s="403"/>
      <c r="H37" s="416"/>
      <c r="I37" s="405"/>
      <c r="J37" s="409"/>
    </row>
    <row r="38" customFormat="false" ht="37.5" hidden="false" customHeight="true" outlineLevel="0" collapsed="false">
      <c r="B38" s="400"/>
      <c r="C38" s="401"/>
      <c r="D38" s="10"/>
      <c r="E38" s="3"/>
      <c r="F38" s="393"/>
      <c r="G38" s="403"/>
      <c r="H38" s="416"/>
      <c r="I38" s="405"/>
      <c r="J38" s="409"/>
    </row>
    <row r="39" customFormat="false" ht="37.5" hidden="false" customHeight="true" outlineLevel="0" collapsed="false">
      <c r="B39" s="400"/>
      <c r="C39" s="401"/>
      <c r="D39" s="10"/>
      <c r="E39" s="3"/>
      <c r="F39" s="393"/>
      <c r="G39" s="403"/>
      <c r="H39" s="416"/>
      <c r="I39" s="405"/>
      <c r="J39" s="409"/>
    </row>
    <row r="40" customFormat="false" ht="37.5" hidden="false" customHeight="true" outlineLevel="0" collapsed="false">
      <c r="B40" s="400"/>
      <c r="C40" s="401"/>
      <c r="D40" s="3"/>
      <c r="E40" s="3"/>
      <c r="F40" s="393"/>
      <c r="G40" s="403"/>
      <c r="H40" s="413"/>
      <c r="I40" s="405"/>
      <c r="J40" s="409"/>
    </row>
    <row r="41" customFormat="false" ht="37.5" hidden="false" customHeight="true" outlineLevel="0" collapsed="false">
      <c r="B41" s="400"/>
      <c r="C41" s="401"/>
      <c r="D41" s="3"/>
      <c r="E41" s="3"/>
      <c r="F41" s="393"/>
      <c r="G41" s="403"/>
      <c r="H41" s="416"/>
      <c r="I41" s="405"/>
      <c r="J41" s="409"/>
    </row>
    <row r="42" customFormat="false" ht="37.5" hidden="false" customHeight="true" outlineLevel="0" collapsed="false">
      <c r="B42" s="400"/>
      <c r="C42" s="401"/>
      <c r="D42" s="10"/>
      <c r="E42" s="3"/>
      <c r="F42" s="393"/>
      <c r="G42" s="403"/>
      <c r="H42" s="413"/>
      <c r="I42" s="405"/>
      <c r="J42" s="409"/>
    </row>
    <row r="43" customFormat="false" ht="37.5" hidden="false" customHeight="true" outlineLevel="0" collapsed="false">
      <c r="B43" s="400"/>
      <c r="C43" s="401"/>
      <c r="D43" s="3"/>
      <c r="E43" s="3"/>
      <c r="F43" s="393"/>
      <c r="G43" s="403"/>
      <c r="H43" s="413"/>
      <c r="I43" s="405"/>
      <c r="J43" s="409"/>
    </row>
    <row r="44" customFormat="false" ht="37.5" hidden="false" customHeight="true" outlineLevel="0" collapsed="false">
      <c r="B44" s="400"/>
      <c r="C44" s="401"/>
      <c r="D44" s="10"/>
      <c r="E44" s="3"/>
      <c r="F44" s="393"/>
      <c r="G44" s="403"/>
      <c r="H44" s="404"/>
      <c r="I44" s="405"/>
      <c r="J44" s="409"/>
    </row>
    <row r="45" customFormat="false" ht="37.5" hidden="false" customHeight="true" outlineLevel="0" collapsed="false">
      <c r="B45" s="400"/>
      <c r="C45" s="401"/>
      <c r="D45" s="10"/>
      <c r="E45" s="3"/>
      <c r="F45" s="393"/>
      <c r="G45" s="403"/>
      <c r="H45" s="413"/>
      <c r="I45" s="405"/>
      <c r="J45" s="409"/>
    </row>
    <row r="46" customFormat="false" ht="37.5" hidden="false" customHeight="true" outlineLevel="0" collapsed="false">
      <c r="B46" s="400"/>
      <c r="C46" s="401"/>
      <c r="D46" s="3"/>
      <c r="E46" s="3"/>
      <c r="F46" s="393"/>
      <c r="G46" s="403"/>
      <c r="H46" s="416"/>
      <c r="I46" s="405"/>
      <c r="J46" s="409"/>
    </row>
    <row r="47" customFormat="false" ht="37.5" hidden="false" customHeight="true" outlineLevel="0" collapsed="false">
      <c r="B47" s="400"/>
      <c r="C47" s="401"/>
      <c r="D47" s="3"/>
      <c r="E47" s="3"/>
      <c r="F47" s="402"/>
      <c r="G47" s="403"/>
      <c r="H47" s="404"/>
      <c r="I47" s="405"/>
      <c r="J47" s="409"/>
    </row>
    <row r="48" customFormat="false" ht="37.5" hidden="false" customHeight="true" outlineLevel="0" collapsed="false">
      <c r="B48" s="400"/>
      <c r="C48" s="401"/>
      <c r="D48" s="10"/>
      <c r="E48" s="3"/>
      <c r="F48" s="393"/>
      <c r="G48" s="403"/>
      <c r="H48" s="416"/>
      <c r="I48" s="405"/>
      <c r="J48" s="409"/>
    </row>
    <row r="49" customFormat="false" ht="37.5" hidden="false" customHeight="true" outlineLevel="0" collapsed="false">
      <c r="B49" s="400"/>
      <c r="C49" s="401"/>
      <c r="D49" s="10"/>
      <c r="E49" s="3"/>
      <c r="F49" s="393"/>
      <c r="G49" s="403"/>
      <c r="H49" s="413"/>
      <c r="I49" s="405"/>
      <c r="J49" s="409"/>
    </row>
    <row r="50" customFormat="false" ht="37.5" hidden="false" customHeight="true" outlineLevel="0" collapsed="false">
      <c r="B50" s="400"/>
      <c r="C50" s="401"/>
      <c r="D50" s="10"/>
      <c r="E50" s="3"/>
      <c r="F50" s="393"/>
      <c r="G50" s="403"/>
      <c r="H50" s="404"/>
      <c r="I50" s="405"/>
      <c r="J50" s="409"/>
    </row>
    <row r="51" customFormat="false" ht="37.5" hidden="false" customHeight="true" outlineLevel="0" collapsed="false">
      <c r="B51" s="400"/>
      <c r="C51" s="401"/>
      <c r="D51" s="10"/>
      <c r="E51" s="3"/>
      <c r="F51" s="393"/>
      <c r="G51" s="403"/>
      <c r="H51" s="413"/>
      <c r="I51" s="405"/>
      <c r="J51" s="409"/>
    </row>
    <row r="52" customFormat="false" ht="37.5" hidden="false" customHeight="true" outlineLevel="0" collapsed="false">
      <c r="B52" s="400"/>
      <c r="C52" s="401"/>
      <c r="D52" s="10"/>
      <c r="E52" s="3"/>
      <c r="F52" s="393"/>
      <c r="G52" s="403"/>
      <c r="H52" s="413"/>
      <c r="I52" s="405"/>
      <c r="J52" s="409"/>
    </row>
    <row r="53" customFormat="false" ht="37.5" hidden="false" customHeight="true" outlineLevel="0" collapsed="false">
      <c r="B53" s="400"/>
      <c r="C53" s="401"/>
      <c r="D53" s="10"/>
      <c r="E53" s="3"/>
      <c r="F53" s="393"/>
      <c r="G53" s="403"/>
      <c r="H53" s="413"/>
      <c r="I53" s="405"/>
      <c r="J53" s="409"/>
    </row>
    <row r="54" customFormat="false" ht="37.5" hidden="false" customHeight="true" outlineLevel="0" collapsed="false">
      <c r="B54" s="400"/>
      <c r="C54" s="401"/>
      <c r="D54" s="10"/>
      <c r="E54" s="3"/>
      <c r="F54" s="393"/>
      <c r="G54" s="403"/>
      <c r="H54" s="413"/>
      <c r="I54" s="405"/>
      <c r="J54" s="409"/>
    </row>
    <row r="55" customFormat="false" ht="37.5" hidden="false" customHeight="true" outlineLevel="0" collapsed="false">
      <c r="B55" s="400"/>
      <c r="C55" s="401"/>
      <c r="D55" s="10"/>
      <c r="E55" s="3"/>
      <c r="F55" s="393"/>
      <c r="G55" s="403"/>
      <c r="H55" s="413"/>
      <c r="I55" s="405"/>
      <c r="J55" s="409"/>
    </row>
    <row r="56" customFormat="false" ht="37.5" hidden="false" customHeight="true" outlineLevel="0" collapsed="false">
      <c r="B56" s="400"/>
      <c r="C56" s="401"/>
      <c r="D56" s="10"/>
      <c r="E56" s="3"/>
      <c r="F56" s="393"/>
      <c r="G56" s="403"/>
      <c r="H56" s="413"/>
      <c r="I56" s="405"/>
      <c r="J56" s="409"/>
    </row>
    <row r="57" customFormat="false" ht="37.5" hidden="false" customHeight="true" outlineLevel="0" collapsed="false">
      <c r="A57" s="417"/>
      <c r="B57" s="400"/>
      <c r="C57" s="401"/>
      <c r="D57" s="10"/>
      <c r="E57" s="3"/>
      <c r="F57" s="393"/>
      <c r="G57" s="403"/>
      <c r="H57" s="404"/>
      <c r="I57" s="405"/>
      <c r="J57" s="409"/>
    </row>
    <row r="58" customFormat="false" ht="37.5" hidden="false" customHeight="true" outlineLevel="0" collapsed="false">
      <c r="B58" s="400"/>
      <c r="C58" s="401"/>
      <c r="D58" s="3"/>
      <c r="E58" s="3"/>
      <c r="F58" s="393"/>
      <c r="G58" s="403"/>
      <c r="H58" s="404"/>
      <c r="I58" s="405"/>
      <c r="J58" s="409"/>
    </row>
    <row r="59" customFormat="false" ht="37.5" hidden="false" customHeight="true" outlineLevel="0" collapsed="false">
      <c r="B59" s="400"/>
      <c r="C59" s="401"/>
      <c r="D59" s="10"/>
      <c r="E59" s="3"/>
      <c r="F59" s="393"/>
      <c r="G59" s="403"/>
      <c r="H59" s="416"/>
      <c r="I59" s="405"/>
      <c r="J59" s="409"/>
    </row>
    <row r="60" customFormat="false" ht="37.5" hidden="false" customHeight="true" outlineLevel="0" collapsed="false">
      <c r="B60" s="400"/>
      <c r="C60" s="401"/>
      <c r="D60" s="3"/>
      <c r="E60" s="3"/>
      <c r="F60" s="393"/>
      <c r="G60" s="418"/>
      <c r="H60" s="419"/>
      <c r="I60" s="405"/>
      <c r="J60" s="409"/>
    </row>
    <row r="61" customFormat="false" ht="37.5" hidden="false" customHeight="true" outlineLevel="0" collapsed="false">
      <c r="B61" s="400"/>
      <c r="C61" s="7"/>
      <c r="D61" s="3"/>
      <c r="E61" s="3"/>
      <c r="F61" s="402"/>
      <c r="G61" s="418"/>
      <c r="H61" s="419"/>
      <c r="I61" s="405"/>
      <c r="J61" s="409"/>
    </row>
    <row r="62" customFormat="false" ht="37.5" hidden="false" customHeight="true" outlineLevel="0" collapsed="false">
      <c r="B62" s="400"/>
      <c r="C62" s="9"/>
      <c r="D62" s="10"/>
      <c r="E62" s="3"/>
      <c r="F62" s="393"/>
      <c r="G62" s="418"/>
      <c r="H62" s="416"/>
      <c r="I62" s="405"/>
      <c r="J62" s="409"/>
    </row>
    <row r="63" customFormat="false" ht="37.5" hidden="false" customHeight="true" outlineLevel="0" collapsed="false">
      <c r="B63" s="400"/>
      <c r="C63" s="7"/>
      <c r="D63" s="3"/>
      <c r="E63" s="3"/>
      <c r="F63" s="402"/>
      <c r="G63" s="418"/>
      <c r="H63" s="419"/>
      <c r="I63" s="405"/>
      <c r="J63" s="409"/>
    </row>
    <row r="64" customFormat="false" ht="37.5" hidden="false" customHeight="true" outlineLevel="0" collapsed="false">
      <c r="B64" s="400"/>
      <c r="C64" s="9"/>
      <c r="D64" s="3"/>
      <c r="E64" s="10"/>
      <c r="F64" s="402"/>
      <c r="G64" s="418"/>
      <c r="H64" s="419"/>
      <c r="I64" s="405"/>
      <c r="J64" s="409"/>
    </row>
    <row r="65" customFormat="false" ht="37.5" hidden="false" customHeight="true" outlineLevel="0" collapsed="false">
      <c r="B65" s="10"/>
      <c r="C65" s="9"/>
      <c r="D65" s="10"/>
      <c r="E65" s="3"/>
      <c r="F65" s="402"/>
      <c r="G65" s="418"/>
      <c r="H65" s="419"/>
      <c r="I65" s="405"/>
      <c r="J65" s="409"/>
    </row>
    <row r="66" customFormat="false" ht="37.5" hidden="false" customHeight="true" outlineLevel="0" collapsed="false">
      <c r="B66" s="10"/>
      <c r="C66" s="7"/>
      <c r="D66" s="3"/>
      <c r="E66" s="3"/>
      <c r="F66" s="402"/>
      <c r="G66" s="418"/>
      <c r="H66" s="419"/>
      <c r="I66" s="405"/>
      <c r="J66" s="409"/>
    </row>
    <row r="67" customFormat="false" ht="39.75" hidden="false" customHeight="true" outlineLevel="0" collapsed="false">
      <c r="B67" s="10"/>
      <c r="C67" s="7"/>
      <c r="D67" s="3"/>
      <c r="E67" s="3"/>
      <c r="F67" s="402"/>
      <c r="G67" s="418"/>
      <c r="H67" s="419"/>
      <c r="I67" s="405"/>
      <c r="J67" s="409"/>
    </row>
    <row r="68" customFormat="false" ht="39.75" hidden="false" customHeight="true" outlineLevel="0" collapsed="false">
      <c r="B68" s="10"/>
      <c r="C68" s="7"/>
      <c r="D68" s="10"/>
      <c r="E68" s="3"/>
      <c r="F68" s="402"/>
      <c r="G68" s="418"/>
      <c r="H68" s="416"/>
      <c r="I68" s="405"/>
      <c r="J68" s="409"/>
    </row>
    <row r="69" customFormat="false" ht="39.75" hidden="false" customHeight="true" outlineLevel="0" collapsed="false">
      <c r="B69" s="10"/>
      <c r="C69" s="7"/>
      <c r="D69" s="10"/>
      <c r="E69" s="3"/>
      <c r="F69" s="402"/>
      <c r="G69" s="418"/>
      <c r="H69" s="416"/>
      <c r="I69" s="405"/>
      <c r="J69" s="409"/>
    </row>
    <row r="70" customFormat="false" ht="39.75" hidden="false" customHeight="true" outlineLevel="0" collapsed="false">
      <c r="B70" s="10"/>
      <c r="C70" s="7"/>
      <c r="D70" s="10"/>
      <c r="E70" s="3"/>
      <c r="F70" s="402"/>
      <c r="G70" s="418"/>
      <c r="H70" s="419"/>
      <c r="I70" s="405"/>
      <c r="J70" s="409"/>
    </row>
    <row r="71" customFormat="false" ht="39.75" hidden="false" customHeight="true" outlineLevel="0" collapsed="false">
      <c r="B71" s="10"/>
      <c r="C71" s="7"/>
      <c r="D71" s="10"/>
      <c r="E71" s="3"/>
      <c r="F71" s="402"/>
      <c r="G71" s="418"/>
      <c r="H71" s="419"/>
      <c r="I71" s="405"/>
      <c r="J71" s="409"/>
    </row>
    <row r="72" customFormat="false" ht="39.75" hidden="false" customHeight="true" outlineLevel="0" collapsed="false">
      <c r="B72" s="10"/>
      <c r="C72" s="7"/>
      <c r="D72" s="3"/>
      <c r="E72" s="3"/>
      <c r="F72" s="402"/>
      <c r="G72" s="418"/>
      <c r="H72" s="416"/>
      <c r="I72" s="405"/>
      <c r="J72" s="409"/>
    </row>
    <row r="73" customFormat="false" ht="39.75" hidden="false" customHeight="true" outlineLevel="0" collapsed="false">
      <c r="B73" s="10"/>
      <c r="C73" s="7"/>
      <c r="D73" s="3"/>
      <c r="E73" s="3"/>
      <c r="F73" s="402"/>
      <c r="G73" s="418"/>
      <c r="H73" s="419"/>
      <c r="I73" s="405"/>
      <c r="J73" s="409"/>
    </row>
    <row r="74" customFormat="false" ht="39.75" hidden="false" customHeight="true" outlineLevel="0" collapsed="false">
      <c r="B74" s="10"/>
      <c r="C74" s="7"/>
      <c r="D74" s="3"/>
      <c r="E74" s="3"/>
      <c r="F74" s="402"/>
      <c r="G74" s="418"/>
      <c r="H74" s="419"/>
      <c r="I74" s="405"/>
      <c r="J74" s="409"/>
    </row>
    <row r="75" customFormat="false" ht="39.75" hidden="false" customHeight="true" outlineLevel="0" collapsed="false">
      <c r="B75" s="10"/>
      <c r="C75" s="7"/>
      <c r="D75" s="10"/>
      <c r="E75" s="3"/>
      <c r="F75" s="402"/>
      <c r="G75" s="418"/>
      <c r="H75" s="419"/>
      <c r="I75" s="405"/>
      <c r="J75" s="409"/>
    </row>
    <row r="76" customFormat="false" ht="39.75" hidden="false" customHeight="true" outlineLevel="0" collapsed="false">
      <c r="B76" s="10"/>
      <c r="C76" s="7"/>
      <c r="D76" s="10"/>
      <c r="E76" s="3"/>
      <c r="F76" s="402"/>
      <c r="G76" s="418"/>
      <c r="H76" s="419"/>
      <c r="I76" s="405"/>
      <c r="J76" s="409"/>
    </row>
    <row r="77" customFormat="false" ht="39.75" hidden="false" customHeight="true" outlineLevel="0" collapsed="false">
      <c r="B77" s="10"/>
      <c r="C77" s="7"/>
      <c r="D77" s="10"/>
      <c r="E77" s="3"/>
      <c r="F77" s="402"/>
      <c r="G77" s="418"/>
      <c r="H77" s="419"/>
      <c r="I77" s="405"/>
      <c r="J77" s="409"/>
    </row>
    <row r="78" customFormat="false" ht="39.75" hidden="false" customHeight="true" outlineLevel="0" collapsed="false">
      <c r="B78" s="10"/>
      <c r="C78" s="7"/>
      <c r="D78" s="10"/>
      <c r="E78" s="3"/>
      <c r="F78" s="402"/>
      <c r="G78" s="418"/>
      <c r="H78" s="419"/>
      <c r="I78" s="405"/>
      <c r="J78" s="409"/>
    </row>
    <row r="79" customFormat="false" ht="39.75" hidden="false" customHeight="true" outlineLevel="0" collapsed="false">
      <c r="B79" s="10"/>
      <c r="C79" s="7"/>
      <c r="D79" s="10"/>
      <c r="E79" s="3"/>
      <c r="F79" s="402"/>
      <c r="G79" s="418"/>
      <c r="H79" s="419"/>
      <c r="I79" s="405"/>
      <c r="J79" s="409"/>
    </row>
    <row r="80" customFormat="false" ht="39.75" hidden="false" customHeight="true" outlineLevel="0" collapsed="false">
      <c r="B80" s="10"/>
      <c r="C80" s="7"/>
      <c r="D80" s="10"/>
      <c r="E80" s="3"/>
      <c r="F80" s="402"/>
      <c r="G80" s="418"/>
      <c r="H80" s="419"/>
      <c r="I80" s="405"/>
      <c r="J80" s="409"/>
    </row>
    <row r="81" customFormat="false" ht="39.75" hidden="false" customHeight="true" outlineLevel="0" collapsed="false">
      <c r="B81" s="10"/>
      <c r="C81" s="7"/>
      <c r="D81" s="10"/>
      <c r="E81" s="3"/>
      <c r="F81" s="402"/>
      <c r="G81" s="418"/>
      <c r="H81" s="419"/>
      <c r="I81" s="405"/>
      <c r="J81" s="409"/>
    </row>
    <row r="82" customFormat="false" ht="39.75" hidden="false" customHeight="true" outlineLevel="0" collapsed="false">
      <c r="B82" s="10"/>
      <c r="C82" s="420"/>
      <c r="D82" s="10"/>
      <c r="E82" s="3"/>
      <c r="F82" s="402"/>
      <c r="G82" s="418"/>
      <c r="H82" s="419"/>
      <c r="I82" s="405"/>
      <c r="J82" s="409"/>
    </row>
    <row r="83" customFormat="false" ht="39.75" hidden="false" customHeight="true" outlineLevel="0" collapsed="false">
      <c r="B83" s="10"/>
      <c r="C83" s="7"/>
      <c r="D83" s="10"/>
      <c r="E83" s="3"/>
      <c r="F83" s="402"/>
      <c r="G83" s="418"/>
      <c r="H83" s="419"/>
      <c r="I83" s="405"/>
      <c r="J83" s="409"/>
    </row>
    <row r="84" customFormat="false" ht="39.75" hidden="false" customHeight="true" outlineLevel="0" collapsed="false">
      <c r="B84" s="10"/>
      <c r="C84" s="7"/>
      <c r="D84" s="10"/>
      <c r="E84" s="3"/>
      <c r="F84" s="402"/>
      <c r="G84" s="418"/>
      <c r="H84" s="419"/>
      <c r="I84" s="405"/>
      <c r="J84" s="409"/>
    </row>
    <row r="85" customFormat="false" ht="39.75" hidden="false" customHeight="true" outlineLevel="0" collapsed="false">
      <c r="B85" s="10"/>
      <c r="C85" s="7"/>
      <c r="D85" s="10"/>
      <c r="E85" s="3"/>
      <c r="F85" s="402"/>
      <c r="G85" s="418"/>
      <c r="H85" s="419"/>
      <c r="I85" s="405"/>
      <c r="J85" s="409"/>
    </row>
    <row r="86" customFormat="false" ht="39.75" hidden="false" customHeight="true" outlineLevel="0" collapsed="false">
      <c r="B86" s="10"/>
      <c r="C86" s="7"/>
      <c r="D86" s="10"/>
      <c r="E86" s="10"/>
      <c r="F86" s="402"/>
      <c r="G86" s="418"/>
      <c r="H86" s="419"/>
      <c r="I86" s="405"/>
      <c r="J86" s="414"/>
    </row>
    <row r="87" customFormat="false" ht="39.75" hidden="false" customHeight="true" outlineLevel="0" collapsed="false">
      <c r="B87" s="10"/>
      <c r="C87" s="7"/>
      <c r="D87" s="10"/>
      <c r="E87" s="3"/>
      <c r="F87" s="402"/>
      <c r="G87" s="418"/>
      <c r="H87" s="419"/>
      <c r="I87" s="405"/>
      <c r="J87" s="409"/>
    </row>
    <row r="88" customFormat="false" ht="39.75" hidden="false" customHeight="true" outlineLevel="0" collapsed="false">
      <c r="B88" s="10"/>
      <c r="C88" s="7"/>
      <c r="D88" s="10"/>
      <c r="E88" s="3"/>
      <c r="F88" s="402"/>
      <c r="G88" s="418"/>
      <c r="H88" s="419"/>
      <c r="I88" s="405"/>
      <c r="J88" s="409"/>
    </row>
    <row r="89" customFormat="false" ht="39.75" hidden="false" customHeight="true" outlineLevel="0" collapsed="false">
      <c r="B89" s="10"/>
      <c r="C89" s="7"/>
      <c r="D89" s="3"/>
      <c r="E89" s="3"/>
      <c r="F89" s="402"/>
      <c r="G89" s="418"/>
      <c r="H89" s="419"/>
      <c r="I89" s="405"/>
      <c r="J89" s="409"/>
    </row>
    <row r="90" customFormat="false" ht="39.75" hidden="false" customHeight="true" outlineLevel="0" collapsed="false">
      <c r="B90" s="10"/>
      <c r="C90" s="7"/>
      <c r="D90" s="10"/>
      <c r="E90" s="3"/>
      <c r="F90" s="402"/>
      <c r="G90" s="418"/>
      <c r="H90" s="419"/>
      <c r="I90" s="405"/>
      <c r="J90" s="409"/>
    </row>
    <row r="91" customFormat="false" ht="39.75" hidden="false" customHeight="true" outlineLevel="0" collapsed="false">
      <c r="B91" s="10"/>
      <c r="C91" s="7"/>
      <c r="D91" s="10"/>
      <c r="E91" s="3"/>
      <c r="F91" s="402"/>
      <c r="G91" s="418"/>
      <c r="H91" s="419"/>
      <c r="I91" s="405"/>
      <c r="J91" s="409"/>
    </row>
    <row r="92" customFormat="false" ht="39.75" hidden="false" customHeight="true" outlineLevel="0" collapsed="false">
      <c r="B92" s="10"/>
      <c r="C92" s="7"/>
      <c r="D92" s="3"/>
      <c r="E92" s="3"/>
      <c r="F92" s="402"/>
      <c r="G92" s="418"/>
      <c r="H92" s="419"/>
      <c r="I92" s="405"/>
      <c r="J92" s="409"/>
    </row>
    <row r="93" customFormat="false" ht="39.75" hidden="false" customHeight="true" outlineLevel="0" collapsed="false">
      <c r="B93" s="10"/>
      <c r="C93" s="7"/>
      <c r="D93" s="3"/>
      <c r="E93" s="3"/>
      <c r="F93" s="402"/>
      <c r="G93" s="418"/>
      <c r="H93" s="419"/>
      <c r="I93" s="405"/>
      <c r="J93" s="409"/>
    </row>
    <row r="94" customFormat="false" ht="39.75" hidden="false" customHeight="true" outlineLevel="0" collapsed="false">
      <c r="B94" s="10"/>
      <c r="C94" s="7"/>
      <c r="D94" s="10"/>
      <c r="E94" s="3"/>
      <c r="F94" s="402"/>
      <c r="G94" s="418"/>
      <c r="H94" s="419"/>
      <c r="I94" s="405"/>
      <c r="J94" s="409"/>
    </row>
    <row r="95" customFormat="false" ht="39.75" hidden="false" customHeight="true" outlineLevel="0" collapsed="false">
      <c r="B95" s="10"/>
      <c r="C95" s="7"/>
      <c r="D95" s="3"/>
      <c r="E95" s="3"/>
      <c r="F95" s="402"/>
      <c r="G95" s="418"/>
      <c r="H95" s="419"/>
      <c r="I95" s="405"/>
      <c r="J95" s="409"/>
    </row>
    <row r="96" customFormat="false" ht="39.75" hidden="false" customHeight="true" outlineLevel="0" collapsed="false">
      <c r="B96" s="10"/>
      <c r="C96" s="7"/>
      <c r="D96" s="10"/>
      <c r="E96" s="3"/>
      <c r="F96" s="402"/>
      <c r="G96" s="418"/>
      <c r="H96" s="419"/>
      <c r="I96" s="405"/>
      <c r="J96" s="409"/>
    </row>
    <row r="97" customFormat="false" ht="39.75" hidden="false" customHeight="true" outlineLevel="0" collapsed="false">
      <c r="B97" s="10"/>
      <c r="C97" s="7"/>
      <c r="D97" s="10"/>
      <c r="E97" s="3"/>
      <c r="F97" s="402"/>
      <c r="G97" s="418"/>
      <c r="H97" s="419"/>
      <c r="I97" s="405"/>
      <c r="J97" s="409"/>
    </row>
    <row r="98" customFormat="false" ht="39.75" hidden="false" customHeight="true" outlineLevel="0" collapsed="false">
      <c r="B98" s="10"/>
      <c r="C98" s="7"/>
      <c r="D98" s="10"/>
      <c r="E98" s="3"/>
      <c r="F98" s="402"/>
      <c r="G98" s="418"/>
      <c r="H98" s="419"/>
      <c r="I98" s="405"/>
      <c r="J98" s="409"/>
    </row>
    <row r="99" customFormat="false" ht="39.75" hidden="false" customHeight="true" outlineLevel="0" collapsed="false"/>
    <row r="100" customFormat="false" ht="39.75" hidden="false" customHeight="true" outlineLevel="0" collapsed="false"/>
    <row r="101" customFormat="false" ht="39.75" hidden="false" customHeight="true" outlineLevel="0" collapsed="false"/>
    <row r="102" customFormat="false" ht="39.75" hidden="false" customHeight="true" outlineLevel="0" collapsed="false"/>
    <row r="103" customFormat="false" ht="39.75" hidden="false" customHeight="true" outlineLevel="0" collapsed="false"/>
    <row r="104" customFormat="false" ht="39.75" hidden="false" customHeight="true" outlineLevel="0" collapsed="false"/>
    <row r="105" customFormat="false" ht="39.75" hidden="false" customHeight="true" outlineLevel="0" collapsed="false"/>
    <row r="106" customFormat="false" ht="39.75" hidden="false" customHeight="true" outlineLevel="0" collapsed="false"/>
    <row r="107" customFormat="false" ht="39.75" hidden="false" customHeight="true" outlineLevel="0" collapsed="false"/>
    <row r="108" customFormat="false" ht="39.75" hidden="false" customHeight="true" outlineLevel="0" collapsed="false"/>
  </sheetData>
  <autoFilter ref="B3:J69"/>
  <conditionalFormatting sqref="F4:F1048576">
    <cfRule type="containsText" priority="2" operator="containsText" aboveAverage="0" equalAverage="0" bottom="0" percent="0" rank="0" text="Pendiente" dxfId="62">
      <formula>NOT(ISERROR(SEARCH("Pendiente",F4)))</formula>
    </cfRule>
    <cfRule type="containsText" priority="3" operator="containsText" aboveAverage="0" equalAverage="0" bottom="0" percent="0" rank="0" text="Informativa" dxfId="63">
      <formula>NOT(ISERROR(SEARCH("Informativa",F4)))</formula>
    </cfRule>
    <cfRule type="containsText" priority="4" operator="containsText" aboveAverage="0" equalAverage="0" bottom="0" percent="0" rank="0" text="Respondida" dxfId="64">
      <formula>NOT(ISERROR(SEARCH("Respondida",F4)))</formula>
    </cfRule>
  </conditionalFormatting>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Q103"/>
  <sheetViews>
    <sheetView showFormulas="false" showGridLines="true" showRowColHeaders="true" showZeros="true" rightToLeft="false" tabSelected="false" showOutlineSymbols="true" defaultGridColor="true" view="normal" topLeftCell="C1" colorId="64" zoomScale="80" zoomScaleNormal="80" zoomScalePageLayoutView="100" workbookViewId="0">
      <selection pane="topLeft" activeCell="T6" activeCellId="0" sqref="T6"/>
    </sheetView>
  </sheetViews>
  <sheetFormatPr defaultColWidth="11.4296875" defaultRowHeight="15" zeroHeight="false" outlineLevelRow="0" outlineLevelCol="0"/>
  <cols>
    <col collapsed="false" customWidth="true" hidden="false" outlineLevel="0" max="2" min="2" style="0" width="14.14"/>
    <col collapsed="false" customWidth="true" hidden="false" outlineLevel="0" max="3" min="3" style="0" width="106.86"/>
    <col collapsed="false" customWidth="true" hidden="false" outlineLevel="0" max="5" min="4" style="0" width="12"/>
    <col collapsed="false" customWidth="true" hidden="false" outlineLevel="0" max="6" min="6" style="0" width="19.15"/>
    <col collapsed="false" customWidth="true" hidden="false" outlineLevel="0" max="8" min="7" style="0" width="16.43"/>
    <col collapsed="false" customWidth="true" hidden="false" outlineLevel="0" max="10" min="10" style="421" width="10.86"/>
    <col collapsed="false" customWidth="true" hidden="false" outlineLevel="0" max="11" min="11" style="421" width="64.43"/>
    <col collapsed="false" customWidth="true" hidden="false" outlineLevel="0" max="13" min="13" style="0" width="24.57"/>
    <col collapsed="false" customWidth="true" hidden="false" outlineLevel="0" max="14" min="14" style="0" width="14.29"/>
    <col collapsed="false" customWidth="true" hidden="false" outlineLevel="0" max="16" min="16" style="0" width="28.57"/>
    <col collapsed="false" customWidth="true" hidden="false" outlineLevel="0" max="17" min="17" style="0" width="16"/>
  </cols>
  <sheetData>
    <row r="1" customFormat="false" ht="25.5" hidden="false" customHeight="true" outlineLevel="0" collapsed="false"/>
    <row r="2" customFormat="false" ht="25.5" hidden="false" customHeight="true" outlineLevel="0" collapsed="false"/>
    <row r="3" s="422" customFormat="true" ht="42" hidden="false" customHeight="true" outlineLevel="0" collapsed="false">
      <c r="B3" s="387" t="s">
        <v>691</v>
      </c>
      <c r="C3" s="388" t="s">
        <v>692</v>
      </c>
      <c r="D3" s="388" t="s">
        <v>693</v>
      </c>
      <c r="E3" s="388" t="s">
        <v>668</v>
      </c>
      <c r="F3" s="388" t="s">
        <v>112</v>
      </c>
      <c r="G3" s="388" t="s">
        <v>694</v>
      </c>
      <c r="H3" s="388" t="s">
        <v>670</v>
      </c>
      <c r="I3" s="388" t="s">
        <v>695</v>
      </c>
      <c r="J3" s="388" t="s">
        <v>696</v>
      </c>
      <c r="K3" s="390" t="s">
        <v>672</v>
      </c>
    </row>
    <row r="4" s="422" customFormat="true" ht="42" hidden="false" customHeight="true" outlineLevel="0" collapsed="false">
      <c r="B4" s="423" t="s">
        <v>697</v>
      </c>
      <c r="C4" s="424" t="s">
        <v>698</v>
      </c>
      <c r="D4" s="425" t="s">
        <v>682</v>
      </c>
      <c r="E4" s="425" t="s">
        <v>676</v>
      </c>
      <c r="F4" s="425" t="s">
        <v>689</v>
      </c>
      <c r="G4" s="423" t="n">
        <v>45482</v>
      </c>
      <c r="H4" s="423"/>
      <c r="I4" s="426" t="n">
        <f aca="true">+TODAY()-G4</f>
        <v>598</v>
      </c>
      <c r="J4" s="427" t="s">
        <v>699</v>
      </c>
      <c r="K4" s="423"/>
      <c r="M4" s="428" t="s">
        <v>678</v>
      </c>
      <c r="N4" s="429" t="n">
        <f aca="false">+COUNTIF(E:E,"Si")</f>
        <v>1</v>
      </c>
      <c r="P4" s="428" t="s">
        <v>700</v>
      </c>
      <c r="Q4" s="429" t="n">
        <f aca="false">SUM(Q6+Q5)</f>
        <v>1</v>
      </c>
    </row>
    <row r="5" s="422" customFormat="true" ht="42" hidden="false" customHeight="true" outlineLevel="0" collapsed="false">
      <c r="B5" s="416"/>
      <c r="C5" s="430"/>
      <c r="D5" s="425"/>
      <c r="E5" s="425"/>
      <c r="F5" s="431"/>
      <c r="G5" s="413"/>
      <c r="H5" s="403"/>
      <c r="I5" s="432"/>
      <c r="J5" s="433"/>
      <c r="K5" s="413"/>
      <c r="M5" s="434" t="s">
        <v>226</v>
      </c>
      <c r="N5" s="435" t="n">
        <f aca="false">+COUNTIF(F:F,"Respondida")</f>
        <v>0</v>
      </c>
      <c r="P5" s="434" t="s">
        <v>701</v>
      </c>
      <c r="Q5" s="436" t="n">
        <f aca="false">+COUNTIF(D:D,"Respuesta")</f>
        <v>0</v>
      </c>
    </row>
    <row r="6" s="422" customFormat="true" ht="42" hidden="false" customHeight="true" outlineLevel="0" collapsed="false">
      <c r="B6" s="413"/>
      <c r="C6" s="430"/>
      <c r="D6" s="425"/>
      <c r="E6" s="425"/>
      <c r="F6" s="431"/>
      <c r="G6" s="413"/>
      <c r="H6" s="403"/>
      <c r="I6" s="432"/>
      <c r="J6" s="433"/>
      <c r="K6" s="413"/>
      <c r="M6" s="437" t="s">
        <v>689</v>
      </c>
      <c r="N6" s="438" t="n">
        <f aca="false">+COUNTIF(F:F,"Pendiente")</f>
        <v>1</v>
      </c>
      <c r="P6" s="437" t="s">
        <v>702</v>
      </c>
      <c r="Q6" s="438" t="n">
        <f aca="false">+COUNTIF(D:D,"Emitida")</f>
        <v>1</v>
      </c>
    </row>
    <row r="7" s="422" customFormat="true" ht="42" hidden="false" customHeight="true" outlineLevel="0" collapsed="false">
      <c r="B7" s="413"/>
      <c r="C7" s="430"/>
      <c r="D7" s="425"/>
      <c r="E7" s="425"/>
      <c r="F7" s="431"/>
      <c r="G7" s="413"/>
      <c r="H7" s="394"/>
      <c r="I7" s="432"/>
      <c r="J7" s="433"/>
      <c r="K7" s="413"/>
    </row>
    <row r="8" s="422" customFormat="true" ht="42" hidden="false" customHeight="true" outlineLevel="0" collapsed="false">
      <c r="B8" s="413"/>
      <c r="C8" s="415"/>
      <c r="D8" s="37"/>
      <c r="E8" s="425"/>
      <c r="F8" s="425"/>
      <c r="G8" s="413"/>
      <c r="H8" s="413"/>
      <c r="I8" s="432"/>
      <c r="J8" s="433"/>
      <c r="K8" s="439"/>
    </row>
    <row r="9" s="422" customFormat="true" ht="42" hidden="false" customHeight="true" outlineLevel="0" collapsed="false">
      <c r="B9" s="413"/>
      <c r="C9" s="415"/>
      <c r="D9" s="37"/>
      <c r="E9" s="425"/>
      <c r="F9" s="431"/>
      <c r="G9" s="413"/>
      <c r="H9" s="403"/>
      <c r="I9" s="432"/>
      <c r="J9" s="433"/>
      <c r="K9" s="439"/>
    </row>
    <row r="10" s="422" customFormat="true" ht="42" hidden="false" customHeight="true" outlineLevel="0" collapsed="false">
      <c r="B10" s="413"/>
      <c r="C10" s="415"/>
      <c r="D10" s="425"/>
      <c r="E10" s="425"/>
      <c r="F10" s="425"/>
      <c r="G10" s="413"/>
      <c r="H10" s="413"/>
      <c r="I10" s="432"/>
      <c r="J10" s="433"/>
      <c r="K10" s="439"/>
    </row>
    <row r="11" s="422" customFormat="true" ht="42" hidden="false" customHeight="true" outlineLevel="0" collapsed="false">
      <c r="B11" s="413"/>
      <c r="C11" s="415"/>
      <c r="D11" s="425"/>
      <c r="E11" s="425"/>
      <c r="F11" s="425"/>
      <c r="G11" s="413"/>
      <c r="H11" s="413"/>
      <c r="I11" s="432"/>
      <c r="J11" s="433"/>
      <c r="K11" s="439"/>
    </row>
    <row r="12" s="422" customFormat="true" ht="42" hidden="false" customHeight="true" outlineLevel="0" collapsed="false">
      <c r="B12" s="413"/>
      <c r="C12" s="415"/>
      <c r="D12" s="425"/>
      <c r="E12" s="425"/>
      <c r="F12" s="425"/>
      <c r="G12" s="413"/>
      <c r="H12" s="413"/>
      <c r="I12" s="432"/>
      <c r="J12" s="433"/>
      <c r="K12" s="439"/>
    </row>
    <row r="13" s="422" customFormat="true" ht="42" hidden="false" customHeight="true" outlineLevel="0" collapsed="false">
      <c r="B13" s="413"/>
      <c r="C13" s="415"/>
      <c r="D13" s="37"/>
      <c r="E13" s="425"/>
      <c r="F13" s="431"/>
      <c r="G13" s="413"/>
      <c r="H13" s="403"/>
      <c r="I13" s="432"/>
      <c r="J13" s="433"/>
      <c r="K13" s="439"/>
    </row>
    <row r="14" s="422" customFormat="true" ht="42" hidden="false" customHeight="true" outlineLevel="0" collapsed="false">
      <c r="B14" s="413"/>
      <c r="C14" s="415"/>
      <c r="D14" s="425"/>
      <c r="E14" s="425"/>
      <c r="F14" s="425"/>
      <c r="G14" s="413"/>
      <c r="H14" s="413"/>
      <c r="I14" s="432"/>
      <c r="J14" s="433"/>
      <c r="K14" s="439"/>
    </row>
    <row r="15" s="422" customFormat="true" ht="42" hidden="false" customHeight="true" outlineLevel="0" collapsed="false">
      <c r="B15" s="413"/>
      <c r="C15" s="415"/>
      <c r="D15" s="425"/>
      <c r="E15" s="425"/>
      <c r="F15" s="431"/>
      <c r="G15" s="413"/>
      <c r="H15" s="403"/>
      <c r="I15" s="432"/>
      <c r="J15" s="433"/>
      <c r="K15" s="439"/>
    </row>
    <row r="16" s="422" customFormat="true" ht="42" hidden="false" customHeight="true" outlineLevel="0" collapsed="false">
      <c r="B16" s="413"/>
      <c r="C16" s="415"/>
      <c r="D16" s="425"/>
      <c r="E16" s="425"/>
      <c r="F16" s="431"/>
      <c r="G16" s="413"/>
      <c r="H16" s="403"/>
      <c r="I16" s="432"/>
      <c r="J16" s="433"/>
      <c r="K16" s="439"/>
    </row>
    <row r="17" s="422" customFormat="true" ht="42" hidden="false" customHeight="true" outlineLevel="0" collapsed="false">
      <c r="B17" s="413"/>
      <c r="C17" s="415"/>
      <c r="D17" s="425"/>
      <c r="E17" s="425"/>
      <c r="F17" s="425"/>
      <c r="G17" s="413"/>
      <c r="H17" s="413"/>
      <c r="I17" s="432"/>
      <c r="J17" s="433"/>
      <c r="K17" s="439"/>
    </row>
    <row r="18" s="422" customFormat="true" ht="42" hidden="false" customHeight="true" outlineLevel="0" collapsed="false">
      <c r="B18" s="413"/>
      <c r="C18" s="415"/>
      <c r="D18" s="425"/>
      <c r="E18" s="425"/>
      <c r="F18" s="431"/>
      <c r="G18" s="413"/>
      <c r="H18" s="403"/>
      <c r="I18" s="432"/>
      <c r="J18" s="433"/>
      <c r="K18" s="439"/>
    </row>
    <row r="19" s="422" customFormat="true" ht="42" hidden="false" customHeight="true" outlineLevel="0" collapsed="false">
      <c r="B19" s="413"/>
      <c r="C19" s="415"/>
      <c r="D19" s="37"/>
      <c r="E19" s="425"/>
      <c r="F19" s="431"/>
      <c r="G19" s="413"/>
      <c r="H19" s="403"/>
      <c r="I19" s="432"/>
      <c r="J19" s="433"/>
      <c r="K19" s="439"/>
    </row>
    <row r="20" s="422" customFormat="true" ht="42" hidden="false" customHeight="true" outlineLevel="0" collapsed="false">
      <c r="B20" s="413"/>
      <c r="C20" s="415"/>
      <c r="D20" s="37"/>
      <c r="E20" s="425"/>
      <c r="F20" s="431"/>
      <c r="G20" s="413"/>
      <c r="H20" s="403"/>
      <c r="I20" s="432"/>
      <c r="J20" s="433"/>
      <c r="K20" s="439"/>
    </row>
    <row r="21" s="422" customFormat="true" ht="42" hidden="false" customHeight="true" outlineLevel="0" collapsed="false">
      <c r="B21" s="413"/>
      <c r="C21" s="415"/>
      <c r="D21" s="425"/>
      <c r="E21" s="425"/>
      <c r="F21" s="431"/>
      <c r="G21" s="413"/>
      <c r="H21" s="403"/>
      <c r="I21" s="432"/>
      <c r="J21" s="433"/>
      <c r="K21" s="439"/>
    </row>
    <row r="22" s="422" customFormat="true" ht="42" hidden="false" customHeight="true" outlineLevel="0" collapsed="false">
      <c r="B22" s="306"/>
      <c r="C22" s="292"/>
      <c r="D22" s="37"/>
      <c r="E22" s="425"/>
      <c r="F22" s="425"/>
      <c r="G22" s="413"/>
      <c r="H22" s="413"/>
      <c r="I22" s="432"/>
      <c r="J22" s="433"/>
      <c r="K22" s="439"/>
    </row>
    <row r="23" s="422" customFormat="true" ht="42" hidden="false" customHeight="true" outlineLevel="0" collapsed="false">
      <c r="B23" s="306"/>
      <c r="C23" s="292"/>
      <c r="D23" s="425"/>
      <c r="E23" s="425"/>
      <c r="F23" s="431"/>
      <c r="G23" s="413"/>
      <c r="H23" s="413"/>
      <c r="I23" s="432"/>
      <c r="J23" s="433"/>
      <c r="K23" s="439"/>
    </row>
    <row r="24" s="422" customFormat="true" ht="42" hidden="false" customHeight="true" outlineLevel="0" collapsed="false">
      <c r="B24" s="306"/>
      <c r="C24" s="292"/>
      <c r="D24" s="37"/>
      <c r="E24" s="425"/>
      <c r="F24" s="425"/>
      <c r="G24" s="413"/>
      <c r="H24" s="413"/>
      <c r="I24" s="432"/>
      <c r="J24" s="433"/>
      <c r="K24" s="439"/>
    </row>
    <row r="25" s="422" customFormat="true" ht="42" hidden="false" customHeight="true" outlineLevel="0" collapsed="false">
      <c r="B25" s="306"/>
      <c r="C25" s="415"/>
      <c r="D25" s="37"/>
      <c r="E25" s="37"/>
      <c r="F25" s="431"/>
      <c r="G25" s="413"/>
      <c r="H25" s="413"/>
      <c r="I25" s="432"/>
      <c r="J25" s="433"/>
      <c r="K25" s="439"/>
    </row>
    <row r="26" s="422" customFormat="true" ht="42" hidden="false" customHeight="true" outlineLevel="0" collapsed="false">
      <c r="B26" s="306"/>
      <c r="C26" s="415"/>
      <c r="D26" s="425"/>
      <c r="E26" s="425"/>
      <c r="F26" s="431"/>
      <c r="G26" s="413"/>
      <c r="H26" s="403"/>
      <c r="I26" s="432"/>
      <c r="J26" s="433"/>
      <c r="K26" s="439"/>
    </row>
    <row r="27" s="422" customFormat="true" ht="42" hidden="false" customHeight="true" outlineLevel="0" collapsed="false">
      <c r="B27" s="439"/>
      <c r="C27" s="415"/>
      <c r="D27" s="425"/>
      <c r="E27" s="425"/>
      <c r="F27" s="431"/>
      <c r="G27" s="413"/>
      <c r="H27" s="403"/>
      <c r="I27" s="432"/>
      <c r="J27" s="433"/>
      <c r="K27" s="439"/>
    </row>
    <row r="28" s="422" customFormat="true" ht="42" hidden="false" customHeight="true" outlineLevel="0" collapsed="false">
      <c r="B28" s="439"/>
      <c r="C28" s="415"/>
      <c r="D28" s="425"/>
      <c r="E28" s="425"/>
      <c r="F28" s="431"/>
      <c r="G28" s="413"/>
      <c r="H28" s="413"/>
      <c r="I28" s="432"/>
      <c r="J28" s="433"/>
      <c r="K28" s="439"/>
    </row>
    <row r="29" s="422" customFormat="true" ht="42" hidden="false" customHeight="true" outlineLevel="0" collapsed="false">
      <c r="B29" s="439"/>
      <c r="C29" s="415"/>
      <c r="D29" s="37"/>
      <c r="E29" s="425"/>
      <c r="F29" s="431"/>
      <c r="G29" s="413"/>
      <c r="H29" s="418"/>
      <c r="I29" s="432"/>
      <c r="J29" s="433"/>
      <c r="K29" s="439"/>
    </row>
    <row r="30" s="422" customFormat="true" ht="42" hidden="false" customHeight="true" outlineLevel="0" collapsed="false">
      <c r="B30" s="439"/>
      <c r="C30" s="415"/>
      <c r="D30" s="425"/>
      <c r="E30" s="37"/>
      <c r="F30" s="431"/>
      <c r="G30" s="413"/>
      <c r="H30" s="413"/>
      <c r="I30" s="432"/>
      <c r="J30" s="433"/>
      <c r="K30" s="439"/>
    </row>
    <row r="31" s="422" customFormat="true" ht="42" hidden="false" customHeight="true" outlineLevel="0" collapsed="false">
      <c r="B31" s="439"/>
      <c r="C31" s="415"/>
      <c r="D31" s="37"/>
      <c r="E31" s="37"/>
      <c r="F31" s="431"/>
      <c r="G31" s="413"/>
      <c r="H31" s="413"/>
      <c r="I31" s="432"/>
      <c r="J31" s="433"/>
      <c r="K31" s="439"/>
    </row>
    <row r="32" s="422" customFormat="true" ht="42" hidden="false" customHeight="true" outlineLevel="0" collapsed="false">
      <c r="B32" s="439"/>
      <c r="C32" s="415"/>
      <c r="D32" s="425"/>
      <c r="E32" s="425"/>
      <c r="F32" s="431"/>
      <c r="G32" s="413"/>
      <c r="H32" s="403"/>
      <c r="I32" s="432"/>
      <c r="J32" s="433"/>
      <c r="K32" s="439"/>
    </row>
    <row r="33" s="422" customFormat="true" ht="42" hidden="false" customHeight="true" outlineLevel="0" collapsed="false">
      <c r="B33" s="439"/>
      <c r="C33" s="415"/>
      <c r="D33" s="37"/>
      <c r="E33" s="37"/>
      <c r="F33" s="431"/>
      <c r="G33" s="413"/>
      <c r="H33" s="413"/>
      <c r="I33" s="432"/>
      <c r="J33" s="433"/>
      <c r="K33" s="439"/>
    </row>
    <row r="34" s="422" customFormat="true" ht="42" hidden="false" customHeight="true" outlineLevel="0" collapsed="false">
      <c r="B34" s="439"/>
      <c r="C34" s="415"/>
      <c r="D34" s="37"/>
      <c r="E34" s="37"/>
      <c r="F34" s="431"/>
      <c r="G34" s="413"/>
      <c r="H34" s="413"/>
      <c r="I34" s="432"/>
      <c r="J34" s="433"/>
      <c r="K34" s="439"/>
    </row>
    <row r="35" s="422" customFormat="true" ht="42" hidden="false" customHeight="true" outlineLevel="0" collapsed="false">
      <c r="B35" s="439"/>
      <c r="C35" s="415"/>
      <c r="D35" s="37"/>
      <c r="E35" s="37"/>
      <c r="F35" s="431"/>
      <c r="G35" s="413"/>
      <c r="H35" s="413"/>
      <c r="I35" s="432"/>
      <c r="J35" s="433"/>
      <c r="K35" s="439"/>
    </row>
    <row r="36" s="422" customFormat="true" ht="42" hidden="false" customHeight="true" outlineLevel="0" collapsed="false">
      <c r="B36" s="439"/>
      <c r="C36" s="415"/>
      <c r="D36" s="37"/>
      <c r="E36" s="37"/>
      <c r="F36" s="431"/>
      <c r="G36" s="413"/>
      <c r="H36" s="413"/>
      <c r="I36" s="432"/>
      <c r="J36" s="433"/>
      <c r="K36" s="439"/>
    </row>
    <row r="37" s="422" customFormat="true" ht="42" hidden="false" customHeight="true" outlineLevel="0" collapsed="false">
      <c r="B37" s="439"/>
      <c r="C37" s="415"/>
      <c r="D37" s="37"/>
      <c r="E37" s="37"/>
      <c r="F37" s="431"/>
      <c r="G37" s="413"/>
      <c r="H37" s="413"/>
      <c r="I37" s="432"/>
      <c r="J37" s="433"/>
      <c r="K37" s="439"/>
    </row>
    <row r="38" s="422" customFormat="true" ht="42" hidden="false" customHeight="true" outlineLevel="0" collapsed="false">
      <c r="B38" s="439"/>
      <c r="C38" s="415"/>
      <c r="D38" s="37"/>
      <c r="E38" s="37"/>
      <c r="F38" s="431"/>
      <c r="G38" s="413"/>
      <c r="H38" s="413"/>
      <c r="I38" s="432"/>
      <c r="J38" s="433"/>
      <c r="K38" s="439"/>
    </row>
    <row r="39" s="422" customFormat="true" ht="42" hidden="false" customHeight="true" outlineLevel="0" collapsed="false">
      <c r="B39" s="439"/>
      <c r="C39" s="415"/>
      <c r="D39" s="37"/>
      <c r="E39" s="425"/>
      <c r="F39" s="425"/>
      <c r="G39" s="416"/>
      <c r="H39" s="416"/>
      <c r="I39" s="432"/>
      <c r="J39" s="440"/>
      <c r="K39" s="416"/>
    </row>
    <row r="40" s="422" customFormat="true" ht="53.25" hidden="false" customHeight="true" outlineLevel="0" collapsed="false">
      <c r="B40" s="439"/>
      <c r="C40" s="7"/>
      <c r="D40" s="425"/>
      <c r="E40" s="425"/>
      <c r="F40" s="431"/>
      <c r="G40" s="416"/>
      <c r="H40" s="416"/>
      <c r="I40" s="432"/>
      <c r="J40" s="440"/>
      <c r="K40" s="416"/>
    </row>
    <row r="41" s="422" customFormat="true" ht="42" hidden="false" customHeight="true" outlineLevel="0" collapsed="false">
      <c r="B41" s="439"/>
      <c r="C41" s="7"/>
      <c r="D41" s="37"/>
      <c r="E41" s="425"/>
      <c r="F41" s="431"/>
      <c r="G41" s="416"/>
      <c r="H41" s="418"/>
      <c r="I41" s="432"/>
      <c r="J41" s="440"/>
      <c r="K41" s="416"/>
    </row>
    <row r="42" s="422" customFormat="true" ht="42" hidden="false" customHeight="true" outlineLevel="0" collapsed="false">
      <c r="B42" s="439"/>
      <c r="C42" s="7"/>
      <c r="D42" s="425"/>
      <c r="E42" s="425"/>
      <c r="F42" s="431"/>
      <c r="G42" s="416"/>
      <c r="H42" s="418"/>
      <c r="I42" s="432"/>
      <c r="J42" s="440"/>
      <c r="K42" s="416"/>
    </row>
    <row r="43" s="422" customFormat="true" ht="42" hidden="false" customHeight="true" outlineLevel="0" collapsed="false">
      <c r="B43" s="439"/>
      <c r="C43" s="7"/>
      <c r="D43" s="425"/>
      <c r="E43" s="425"/>
      <c r="F43" s="425"/>
      <c r="G43" s="416"/>
      <c r="H43" s="416"/>
      <c r="I43" s="432"/>
      <c r="J43" s="440"/>
      <c r="K43" s="416"/>
    </row>
    <row r="44" s="422" customFormat="true" ht="42.75" hidden="false" customHeight="true" outlineLevel="0" collapsed="false">
      <c r="B44" s="439"/>
      <c r="C44" s="7"/>
      <c r="D44" s="425"/>
      <c r="E44" s="425"/>
      <c r="F44" s="431"/>
      <c r="G44" s="416"/>
      <c r="H44" s="416"/>
      <c r="I44" s="432"/>
      <c r="J44" s="440"/>
      <c r="K44" s="416"/>
    </row>
    <row r="45" customFormat="false" ht="42.75" hidden="false" customHeight="true" outlineLevel="0" collapsed="false">
      <c r="B45" s="439"/>
      <c r="C45" s="415"/>
      <c r="D45" s="37"/>
      <c r="E45" s="37"/>
      <c r="F45" s="431"/>
      <c r="G45" s="416"/>
      <c r="H45" s="416"/>
      <c r="I45" s="432"/>
      <c r="J45" s="440"/>
      <c r="K45" s="416"/>
    </row>
    <row r="46" customFormat="false" ht="42.75" hidden="false" customHeight="true" outlineLevel="0" collapsed="false">
      <c r="B46" s="439"/>
      <c r="C46" s="415"/>
      <c r="D46" s="37"/>
      <c r="E46" s="425"/>
      <c r="F46" s="431"/>
      <c r="G46" s="416"/>
      <c r="H46" s="416"/>
      <c r="I46" s="432"/>
      <c r="J46" s="440"/>
      <c r="K46" s="416"/>
    </row>
    <row r="47" customFormat="false" ht="42.75" hidden="false" customHeight="true" outlineLevel="0" collapsed="false">
      <c r="B47" s="439"/>
      <c r="C47" s="9"/>
      <c r="D47" s="425"/>
      <c r="E47" s="425"/>
      <c r="F47" s="425"/>
      <c r="G47" s="416"/>
      <c r="H47" s="416"/>
      <c r="I47" s="432"/>
      <c r="J47" s="440"/>
      <c r="K47" s="416"/>
    </row>
    <row r="48" customFormat="false" ht="42.75" hidden="false" customHeight="true" outlineLevel="0" collapsed="false">
      <c r="B48" s="439"/>
      <c r="C48" s="9"/>
      <c r="D48" s="425"/>
      <c r="E48" s="425"/>
      <c r="F48" s="425"/>
      <c r="G48" s="416"/>
      <c r="H48" s="416"/>
      <c r="I48" s="432"/>
      <c r="J48" s="440"/>
      <c r="K48" s="416"/>
    </row>
    <row r="49" customFormat="false" ht="42.75" hidden="false" customHeight="true" outlineLevel="0" collapsed="false">
      <c r="B49" s="439"/>
      <c r="C49" s="415"/>
      <c r="D49" s="37"/>
      <c r="E49" s="425"/>
      <c r="F49" s="425"/>
      <c r="G49" s="416"/>
      <c r="H49" s="416"/>
      <c r="I49" s="432"/>
      <c r="J49" s="440"/>
      <c r="K49" s="416"/>
    </row>
    <row r="50" customFormat="false" ht="42.75" hidden="false" customHeight="true" outlineLevel="0" collapsed="false">
      <c r="B50" s="439"/>
      <c r="C50" s="9"/>
      <c r="D50" s="37"/>
      <c r="E50" s="425"/>
      <c r="F50" s="425"/>
      <c r="G50" s="416"/>
      <c r="H50" s="416"/>
      <c r="I50" s="432"/>
      <c r="J50" s="440"/>
      <c r="K50" s="416"/>
    </row>
    <row r="51" customFormat="false" ht="42.75" hidden="false" customHeight="true" outlineLevel="0" collapsed="false">
      <c r="B51" s="439"/>
      <c r="C51" s="9"/>
      <c r="D51" s="37"/>
      <c r="E51" s="425"/>
      <c r="F51" s="425"/>
      <c r="G51" s="416"/>
      <c r="H51" s="416"/>
      <c r="I51" s="432"/>
      <c r="J51" s="440"/>
      <c r="K51" s="416"/>
    </row>
    <row r="52" customFormat="false" ht="42.75" hidden="false" customHeight="true" outlineLevel="0" collapsed="false">
      <c r="B52" s="439"/>
      <c r="C52" s="9"/>
      <c r="D52" s="425"/>
      <c r="E52" s="425"/>
      <c r="F52" s="431"/>
      <c r="G52" s="416"/>
      <c r="H52" s="416"/>
      <c r="I52" s="432"/>
      <c r="J52" s="440"/>
      <c r="K52" s="416"/>
    </row>
    <row r="53" customFormat="false" ht="42.75" hidden="false" customHeight="true" outlineLevel="0" collapsed="false">
      <c r="B53" s="439"/>
      <c r="C53" s="9"/>
      <c r="D53" s="425"/>
      <c r="E53" s="425"/>
      <c r="F53" s="431"/>
      <c r="G53" s="416"/>
      <c r="H53" s="416"/>
      <c r="I53" s="432"/>
      <c r="J53" s="440"/>
      <c r="K53" s="416"/>
    </row>
    <row r="54" customFormat="false" ht="42.75" hidden="false" customHeight="true" outlineLevel="0" collapsed="false">
      <c r="B54" s="439"/>
      <c r="C54" s="9"/>
      <c r="D54" s="425"/>
      <c r="E54" s="425"/>
      <c r="F54" s="431"/>
      <c r="G54" s="416"/>
      <c r="H54" s="416"/>
      <c r="I54" s="432"/>
      <c r="J54" s="440"/>
      <c r="K54" s="416"/>
    </row>
    <row r="55" customFormat="false" ht="42.75" hidden="false" customHeight="true" outlineLevel="0" collapsed="false">
      <c r="B55" s="439"/>
      <c r="C55" s="9"/>
      <c r="D55" s="425"/>
      <c r="E55" s="425"/>
      <c r="F55" s="431"/>
      <c r="G55" s="416"/>
      <c r="H55" s="416"/>
      <c r="I55" s="432"/>
      <c r="J55" s="440"/>
      <c r="K55" s="416"/>
    </row>
    <row r="56" customFormat="false" ht="42.75" hidden="false" customHeight="true" outlineLevel="0" collapsed="false">
      <c r="B56" s="439"/>
      <c r="C56" s="9"/>
      <c r="D56" s="425"/>
      <c r="E56" s="425"/>
      <c r="F56" s="431"/>
      <c r="G56" s="416"/>
      <c r="H56" s="416"/>
      <c r="I56" s="432"/>
      <c r="J56" s="440"/>
      <c r="K56" s="416"/>
    </row>
    <row r="57" customFormat="false" ht="42.75" hidden="false" customHeight="true" outlineLevel="0" collapsed="false">
      <c r="B57" s="439"/>
      <c r="C57" s="9"/>
      <c r="D57" s="37"/>
      <c r="E57" s="425"/>
      <c r="F57" s="425"/>
      <c r="G57" s="416"/>
      <c r="H57" s="416"/>
      <c r="I57" s="432"/>
      <c r="J57" s="440"/>
      <c r="K57" s="416"/>
    </row>
    <row r="58" customFormat="false" ht="42.75" hidden="false" customHeight="true" outlineLevel="0" collapsed="false">
      <c r="B58" s="439"/>
      <c r="C58" s="9"/>
      <c r="D58" s="37"/>
      <c r="E58" s="425"/>
      <c r="F58" s="425"/>
      <c r="G58" s="416"/>
      <c r="H58" s="416"/>
      <c r="I58" s="432"/>
      <c r="J58" s="440"/>
      <c r="K58" s="416"/>
    </row>
    <row r="59" customFormat="false" ht="42.75" hidden="false" customHeight="true" outlineLevel="0" collapsed="false">
      <c r="B59" s="439"/>
      <c r="C59" s="9"/>
      <c r="D59" s="37"/>
      <c r="E59" s="425"/>
      <c r="F59" s="425"/>
      <c r="G59" s="416"/>
      <c r="H59" s="416"/>
      <c r="I59" s="432"/>
      <c r="J59" s="440"/>
      <c r="K59" s="416"/>
    </row>
    <row r="60" customFormat="false" ht="42.75" hidden="false" customHeight="true" outlineLevel="0" collapsed="false">
      <c r="B60" s="439"/>
      <c r="C60" s="9"/>
      <c r="D60" s="37"/>
      <c r="E60" s="425"/>
      <c r="F60" s="425"/>
      <c r="G60" s="416"/>
      <c r="H60" s="416"/>
      <c r="I60" s="432"/>
      <c r="J60" s="440"/>
      <c r="K60" s="416"/>
    </row>
    <row r="61" customFormat="false" ht="42.75" hidden="false" customHeight="true" outlineLevel="0" collapsed="false">
      <c r="B61" s="439"/>
      <c r="C61" s="9"/>
      <c r="D61" s="425"/>
      <c r="E61" s="425"/>
      <c r="F61" s="425"/>
      <c r="G61" s="416"/>
      <c r="H61" s="416"/>
      <c r="I61" s="432"/>
      <c r="J61" s="440"/>
      <c r="K61" s="416"/>
    </row>
    <row r="62" customFormat="false" ht="42.75" hidden="false" customHeight="true" outlineLevel="0" collapsed="false">
      <c r="B62" s="439"/>
      <c r="C62" s="9"/>
      <c r="D62" s="425"/>
      <c r="E62" s="425"/>
      <c r="F62" s="431"/>
      <c r="G62" s="416"/>
      <c r="H62" s="416"/>
      <c r="I62" s="432"/>
      <c r="J62" s="440"/>
      <c r="K62" s="416"/>
    </row>
    <row r="63" customFormat="false" ht="42.75" hidden="false" customHeight="true" outlineLevel="0" collapsed="false">
      <c r="B63" s="439"/>
      <c r="C63" s="9"/>
      <c r="D63" s="425"/>
      <c r="E63" s="425"/>
      <c r="F63" s="425"/>
      <c r="G63" s="416"/>
      <c r="H63" s="416"/>
      <c r="I63" s="432"/>
      <c r="J63" s="440"/>
      <c r="K63" s="416"/>
    </row>
    <row r="64" customFormat="false" ht="42.75" hidden="false" customHeight="true" outlineLevel="0" collapsed="false">
      <c r="B64" s="439"/>
      <c r="C64" s="7"/>
      <c r="D64" s="425"/>
      <c r="E64" s="425"/>
      <c r="F64" s="425"/>
      <c r="G64" s="416"/>
      <c r="H64" s="416"/>
      <c r="I64" s="432"/>
      <c r="J64" s="440"/>
      <c r="K64" s="416"/>
    </row>
    <row r="65" customFormat="false" ht="42.75" hidden="false" customHeight="true" outlineLevel="0" collapsed="false">
      <c r="B65" s="439"/>
      <c r="C65" s="7"/>
      <c r="D65" s="425"/>
      <c r="E65" s="425"/>
      <c r="F65" s="425"/>
      <c r="G65" s="416"/>
      <c r="H65" s="416"/>
      <c r="I65" s="432"/>
      <c r="J65" s="440"/>
      <c r="K65" s="416"/>
    </row>
    <row r="66" customFormat="false" ht="42.75" hidden="false" customHeight="true" outlineLevel="0" collapsed="false">
      <c r="B66" s="439"/>
      <c r="C66" s="7"/>
      <c r="D66" s="425"/>
      <c r="E66" s="425"/>
      <c r="F66" s="425"/>
      <c r="G66" s="416"/>
      <c r="H66" s="416"/>
      <c r="I66" s="432"/>
      <c r="J66" s="440"/>
      <c r="K66" s="416"/>
    </row>
    <row r="67" customFormat="false" ht="42.75" hidden="false" customHeight="true" outlineLevel="0" collapsed="false">
      <c r="B67" s="439"/>
      <c r="C67" s="7"/>
      <c r="D67" s="425"/>
      <c r="E67" s="425"/>
      <c r="F67" s="425"/>
      <c r="G67" s="416"/>
      <c r="H67" s="416"/>
      <c r="I67" s="432"/>
      <c r="J67" s="440"/>
      <c r="K67" s="416"/>
    </row>
    <row r="68" customFormat="false" ht="42.75" hidden="false" customHeight="true" outlineLevel="0" collapsed="false"/>
    <row r="69" customFormat="false" ht="42.75" hidden="false" customHeight="true" outlineLevel="0" collapsed="false"/>
    <row r="70" customFormat="false" ht="42.75" hidden="false" customHeight="true" outlineLevel="0" collapsed="false"/>
    <row r="71" customFormat="false" ht="42.75" hidden="false" customHeight="true" outlineLevel="0" collapsed="false"/>
    <row r="72" customFormat="false" ht="42.75" hidden="false" customHeight="true" outlineLevel="0" collapsed="false"/>
    <row r="73" customFormat="false" ht="42.75" hidden="false" customHeight="true" outlineLevel="0" collapsed="false"/>
    <row r="74" customFormat="false" ht="42.75" hidden="false" customHeight="true" outlineLevel="0" collapsed="false"/>
    <row r="75" customFormat="false" ht="42.75" hidden="false" customHeight="true" outlineLevel="0" collapsed="false"/>
    <row r="76" customFormat="false" ht="42.75" hidden="false" customHeight="true" outlineLevel="0" collapsed="false"/>
    <row r="77" customFormat="false" ht="42.75" hidden="false" customHeight="true" outlineLevel="0" collapsed="false"/>
    <row r="78" customFormat="false" ht="42.75" hidden="false" customHeight="true" outlineLevel="0" collapsed="false"/>
    <row r="79" customFormat="false" ht="42.75" hidden="false" customHeight="true" outlineLevel="0" collapsed="false"/>
    <row r="80" customFormat="false" ht="42.75" hidden="false" customHeight="true" outlineLevel="0" collapsed="false"/>
    <row r="81" customFormat="false" ht="42.75" hidden="false" customHeight="true" outlineLevel="0" collapsed="false"/>
    <row r="82" customFormat="false" ht="42.75" hidden="false" customHeight="true" outlineLevel="0" collapsed="false"/>
    <row r="83" customFormat="false" ht="42.75" hidden="false" customHeight="true" outlineLevel="0" collapsed="false"/>
    <row r="84" customFormat="false" ht="42.75" hidden="false" customHeight="true" outlineLevel="0" collapsed="false"/>
    <row r="85" customFormat="false" ht="42.75" hidden="false" customHeight="true" outlineLevel="0" collapsed="false"/>
    <row r="86" customFormat="false" ht="42.75" hidden="false" customHeight="true" outlineLevel="0" collapsed="false"/>
    <row r="87" customFormat="false" ht="42.75" hidden="false" customHeight="true" outlineLevel="0" collapsed="false"/>
    <row r="88" customFormat="false" ht="42.75" hidden="false" customHeight="true" outlineLevel="0" collapsed="false"/>
    <row r="89" customFormat="false" ht="42.75" hidden="false" customHeight="true" outlineLevel="0" collapsed="false"/>
    <row r="90" customFormat="false" ht="42.75" hidden="false" customHeight="true" outlineLevel="0" collapsed="false"/>
    <row r="91" customFormat="false" ht="42.75" hidden="false" customHeight="true" outlineLevel="0" collapsed="false"/>
    <row r="92" customFormat="false" ht="42.75" hidden="false" customHeight="true" outlineLevel="0" collapsed="false"/>
    <row r="93" customFormat="false" ht="42.75" hidden="false" customHeight="true" outlineLevel="0" collapsed="false"/>
    <row r="94" customFormat="false" ht="42.75" hidden="false" customHeight="true" outlineLevel="0" collapsed="false"/>
    <row r="95" customFormat="false" ht="42.75" hidden="false" customHeight="true" outlineLevel="0" collapsed="false"/>
    <row r="96" customFormat="false" ht="42.75" hidden="false" customHeight="true" outlineLevel="0" collapsed="false"/>
    <row r="97" customFormat="false" ht="42.75" hidden="false" customHeight="true" outlineLevel="0" collapsed="false"/>
    <row r="98" customFormat="false" ht="42.75" hidden="false" customHeight="true" outlineLevel="0" collapsed="false"/>
    <row r="99" customFormat="false" ht="42.75" hidden="false" customHeight="true" outlineLevel="0" collapsed="false"/>
    <row r="100" customFormat="false" ht="42.75" hidden="false" customHeight="true" outlineLevel="0" collapsed="false"/>
    <row r="101" customFormat="false" ht="42.75" hidden="false" customHeight="true" outlineLevel="0" collapsed="false"/>
    <row r="102" customFormat="false" ht="42.75" hidden="false" customHeight="true" outlineLevel="0" collapsed="false"/>
    <row r="103" customFormat="false" ht="42.75" hidden="false" customHeight="true" outlineLevel="0" collapsed="false"/>
  </sheetData>
  <autoFilter ref="B3:K47"/>
  <conditionalFormatting sqref="F4:F1048576">
    <cfRule type="containsText" priority="2" operator="containsText" aboveAverage="0" equalAverage="0" bottom="0" percent="0" rank="0" text="Informativa" dxfId="65">
      <formula>NOT(ISERROR(SEARCH("Informativa",F4)))</formula>
    </cfRule>
    <cfRule type="containsText" priority="3" operator="containsText" aboveAverage="0" equalAverage="0" bottom="0" percent="0" rank="0" text="Respondida" dxfId="66">
      <formula>NOT(ISERROR(SEARCH("Respondida",F4)))</formula>
    </cfRule>
    <cfRule type="containsText" priority="4" operator="containsText" aboveAverage="0" equalAverage="0" bottom="0" percent="0" rank="0" text="Pendiente" dxfId="67">
      <formula>NOT(ISERROR(SEARCH("Pendiente",F4)))</formula>
    </cfRule>
  </conditionalFormatting>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0000"/>
    <pageSetUpPr fitToPage="true"/>
  </sheetPr>
  <dimension ref="B1:R165"/>
  <sheetViews>
    <sheetView showFormulas="false" showGridLines="true" showRowColHeaders="true" showZeros="true" rightToLeft="false" tabSelected="false" showOutlineSymbols="true" defaultGridColor="true" view="normal" topLeftCell="C1" colorId="64" zoomScale="70" zoomScaleNormal="70" zoomScalePageLayoutView="100" workbookViewId="0">
      <pane xSplit="0" ySplit="2" topLeftCell="A36" activePane="bottomLeft" state="frozen"/>
      <selection pane="topLeft" activeCell="C1" activeCellId="0" sqref="C1"/>
      <selection pane="bottomLeft" activeCell="S6" activeCellId="0" sqref="S6"/>
    </sheetView>
  </sheetViews>
  <sheetFormatPr defaultColWidth="10.859375" defaultRowHeight="15" zeroHeight="false" outlineLevelRow="0" outlineLevelCol="0"/>
  <cols>
    <col collapsed="false" customWidth="true" hidden="false" outlineLevel="0" max="1" min="1" style="27" width="4.29"/>
    <col collapsed="false" customWidth="true" hidden="false" outlineLevel="0" max="2" min="2" style="27" width="9.71"/>
    <col collapsed="false" customWidth="true" hidden="false" outlineLevel="0" max="3" min="3" style="27" width="104.72"/>
    <col collapsed="false" customWidth="true" hidden="false" outlineLevel="0" max="5" min="4" style="27" width="12.72"/>
    <col collapsed="false" customWidth="true" hidden="false" outlineLevel="0" max="8" min="6" style="27" width="15.28"/>
    <col collapsed="false" customWidth="true" hidden="true" outlineLevel="0" max="10" min="9" style="441" width="15.28"/>
    <col collapsed="false" customWidth="true" hidden="false" outlineLevel="0" max="12" min="11" style="417" width="16.43"/>
    <col collapsed="false" customWidth="true" hidden="false" outlineLevel="0" max="13" min="13" style="49" width="110.57"/>
    <col collapsed="false" customWidth="false" hidden="false" outlineLevel="0" max="14" min="14" style="27" width="10.86"/>
    <col collapsed="false" customWidth="true" hidden="false" outlineLevel="0" max="15" min="15" style="27" width="16.86"/>
    <col collapsed="false" customWidth="true" hidden="false" outlineLevel="0" max="16" min="16" style="27" width="19.15"/>
    <col collapsed="false" customWidth="false" hidden="false" outlineLevel="0" max="16384" min="17" style="27" width="10.86"/>
  </cols>
  <sheetData>
    <row r="1" s="27" customFormat="true" ht="15" hidden="false" customHeight="true" outlineLevel="0" collapsed="false">
      <c r="I1" s="385"/>
      <c r="J1" s="385"/>
    </row>
    <row r="2" customFormat="false" ht="38.25" hidden="false" customHeight="true" outlineLevel="0" collapsed="false">
      <c r="B2" s="387" t="s">
        <v>703</v>
      </c>
      <c r="C2" s="388" t="s">
        <v>4</v>
      </c>
      <c r="D2" s="388" t="s">
        <v>704</v>
      </c>
      <c r="E2" s="388" t="s">
        <v>705</v>
      </c>
      <c r="F2" s="388" t="s">
        <v>706</v>
      </c>
      <c r="G2" s="388" t="s">
        <v>707</v>
      </c>
      <c r="H2" s="442" t="s">
        <v>695</v>
      </c>
      <c r="I2" s="442" t="s">
        <v>708</v>
      </c>
      <c r="J2" s="442" t="s">
        <v>709</v>
      </c>
      <c r="K2" s="388" t="s">
        <v>107</v>
      </c>
      <c r="L2" s="389" t="s">
        <v>710</v>
      </c>
      <c r="M2" s="390" t="s">
        <v>711</v>
      </c>
    </row>
    <row r="3" customFormat="false" ht="76.5" hidden="false" customHeight="true" outlineLevel="0" collapsed="false">
      <c r="B3" s="3" t="n">
        <v>1</v>
      </c>
      <c r="C3" s="6" t="s">
        <v>712</v>
      </c>
      <c r="D3" s="3" t="s">
        <v>226</v>
      </c>
      <c r="E3" s="3" t="s">
        <v>226</v>
      </c>
      <c r="F3" s="443" t="n">
        <v>45502</v>
      </c>
      <c r="G3" s="443" t="n">
        <v>45590</v>
      </c>
      <c r="H3" s="444" t="n">
        <f aca="true">+IF(D3="Cerrada",G3-F3,TODAY()-F3)</f>
        <v>88</v>
      </c>
      <c r="I3" s="445" t="n">
        <v>5717</v>
      </c>
      <c r="J3" s="445" t="n">
        <v>6905</v>
      </c>
      <c r="K3" s="446" t="s">
        <v>713</v>
      </c>
      <c r="L3" s="446"/>
      <c r="M3" s="6"/>
      <c r="O3" s="447" t="s">
        <v>689</v>
      </c>
      <c r="P3" s="448" t="n">
        <f aca="false">+COUNTIF(D:D,"Pendiente")</f>
        <v>3</v>
      </c>
    </row>
    <row r="4" customFormat="false" ht="76.5" hidden="false" customHeight="true" outlineLevel="0" collapsed="false">
      <c r="B4" s="10" t="n">
        <v>2</v>
      </c>
      <c r="C4" s="9" t="s">
        <v>714</v>
      </c>
      <c r="D4" s="48" t="s">
        <v>689</v>
      </c>
      <c r="E4" s="48" t="s">
        <v>715</v>
      </c>
      <c r="F4" s="449" t="n">
        <v>45595</v>
      </c>
      <c r="G4" s="449"/>
      <c r="H4" s="444" t="n">
        <f aca="true">+IF(D4="Cerrada",G4-F4,TODAY()-F4)</f>
        <v>485</v>
      </c>
      <c r="I4" s="450"/>
      <c r="J4" s="450"/>
      <c r="K4" s="451" t="s">
        <v>716</v>
      </c>
      <c r="L4" s="451" t="s">
        <v>717</v>
      </c>
      <c r="M4" s="7" t="s">
        <v>718</v>
      </c>
      <c r="O4" s="452" t="s">
        <v>715</v>
      </c>
      <c r="P4" s="453" t="n">
        <f aca="false">+COUNTIF(E:E,"Rechazada")</f>
        <v>1</v>
      </c>
    </row>
    <row r="5" customFormat="false" ht="76.5" hidden="false" customHeight="true" outlineLevel="0" collapsed="false">
      <c r="B5" s="10" t="n">
        <v>3</v>
      </c>
      <c r="C5" s="9" t="s">
        <v>719</v>
      </c>
      <c r="D5" s="48" t="s">
        <v>689</v>
      </c>
      <c r="E5" s="48"/>
      <c r="F5" s="454" t="n">
        <v>45607</v>
      </c>
      <c r="G5" s="454"/>
      <c r="H5" s="444" t="n">
        <f aca="true">+IF(D5="Cerrada",G5-F5,TODAY()-F5)</f>
        <v>473</v>
      </c>
      <c r="I5" s="450"/>
      <c r="J5" s="450"/>
      <c r="K5" s="455" t="s">
        <v>716</v>
      </c>
      <c r="L5" s="455" t="s">
        <v>720</v>
      </c>
      <c r="M5" s="7" t="s">
        <v>721</v>
      </c>
      <c r="O5" s="456" t="s">
        <v>722</v>
      </c>
      <c r="P5" s="453" t="n">
        <f aca="false">+COUNTIF(D:D,"Cerrada")</f>
        <v>1</v>
      </c>
    </row>
    <row r="6" customFormat="false" ht="76.5" hidden="false" customHeight="true" outlineLevel="0" collapsed="false">
      <c r="B6" s="10" t="n">
        <v>4</v>
      </c>
      <c r="C6" s="9" t="s">
        <v>723</v>
      </c>
      <c r="D6" s="48" t="s">
        <v>689</v>
      </c>
      <c r="E6" s="48" t="s">
        <v>677</v>
      </c>
      <c r="F6" s="454" t="n">
        <v>45712</v>
      </c>
      <c r="G6" s="454"/>
      <c r="H6" s="444" t="n">
        <f aca="true">+IF(D6="Cerrada",G6-F6,TODAY()-F6)</f>
        <v>368</v>
      </c>
      <c r="I6" s="450"/>
      <c r="J6" s="450"/>
      <c r="K6" s="455" t="s">
        <v>716</v>
      </c>
      <c r="L6" s="455" t="s">
        <v>724</v>
      </c>
      <c r="M6" s="7" t="s">
        <v>725</v>
      </c>
      <c r="O6" s="457" t="s">
        <v>677</v>
      </c>
      <c r="P6" s="458" t="n">
        <f aca="false">+COUNTIF(E:E,O6)</f>
        <v>1</v>
      </c>
    </row>
    <row r="7" customFormat="false" ht="76.5" hidden="false" customHeight="true" outlineLevel="0" collapsed="false">
      <c r="B7" s="10" t="n">
        <v>5</v>
      </c>
      <c r="C7" s="9"/>
      <c r="D7" s="48"/>
      <c r="E7" s="3"/>
      <c r="F7" s="454"/>
      <c r="G7" s="454"/>
      <c r="H7" s="444"/>
      <c r="I7" s="450"/>
      <c r="J7" s="450"/>
      <c r="K7" s="455"/>
      <c r="L7" s="455"/>
      <c r="M7" s="9"/>
      <c r="O7" s="457" t="s">
        <v>124</v>
      </c>
      <c r="P7" s="458" t="n">
        <f aca="false">P3+P5</f>
        <v>4</v>
      </c>
    </row>
    <row r="8" customFormat="false" ht="76.5" hidden="false" customHeight="true" outlineLevel="0" collapsed="false">
      <c r="B8" s="10" t="n">
        <v>6</v>
      </c>
      <c r="C8" s="9"/>
      <c r="D8" s="48"/>
      <c r="E8" s="3"/>
      <c r="F8" s="454"/>
      <c r="G8" s="454"/>
      <c r="H8" s="444"/>
      <c r="I8" s="450"/>
      <c r="J8" s="450"/>
      <c r="K8" s="455"/>
      <c r="L8" s="455"/>
      <c r="M8" s="9"/>
    </row>
    <row r="9" customFormat="false" ht="76.5" hidden="false" customHeight="true" outlineLevel="0" collapsed="false">
      <c r="B9" s="10" t="n">
        <v>7</v>
      </c>
      <c r="C9" s="9"/>
      <c r="D9" s="48"/>
      <c r="E9" s="3"/>
      <c r="F9" s="454"/>
      <c r="G9" s="454"/>
      <c r="H9" s="444"/>
      <c r="I9" s="450"/>
      <c r="J9" s="450"/>
      <c r="K9" s="455"/>
      <c r="L9" s="455"/>
      <c r="M9" s="9"/>
      <c r="O9" s="428" t="s">
        <v>0</v>
      </c>
      <c r="P9" s="459" t="s">
        <v>689</v>
      </c>
    </row>
    <row r="10" customFormat="false" ht="76.5" hidden="false" customHeight="true" outlineLevel="0" collapsed="false">
      <c r="B10" s="10" t="n">
        <v>8</v>
      </c>
      <c r="C10" s="9"/>
      <c r="D10" s="48"/>
      <c r="E10" s="3"/>
      <c r="F10" s="454"/>
      <c r="G10" s="454"/>
      <c r="H10" s="444"/>
      <c r="I10" s="450"/>
      <c r="J10" s="450"/>
      <c r="K10" s="455"/>
      <c r="L10" s="455"/>
      <c r="M10" s="9"/>
      <c r="O10" s="460" t="s">
        <v>716</v>
      </c>
      <c r="P10" s="461" t="n">
        <f aca="false">+COUNTIFS(K:K,O10,$D:$D,"Pendiente")</f>
        <v>3</v>
      </c>
    </row>
    <row r="11" customFormat="false" ht="76.5" hidden="false" customHeight="true" outlineLevel="0" collapsed="false">
      <c r="B11" s="10" t="n">
        <v>9</v>
      </c>
      <c r="C11" s="9"/>
      <c r="D11" s="48"/>
      <c r="E11" s="3"/>
      <c r="F11" s="454"/>
      <c r="G11" s="454"/>
      <c r="H11" s="444"/>
      <c r="I11" s="450"/>
      <c r="J11" s="450"/>
      <c r="K11" s="455"/>
      <c r="L11" s="455"/>
      <c r="M11" s="9"/>
      <c r="O11" s="462" t="s">
        <v>713</v>
      </c>
      <c r="P11" s="463" t="n">
        <f aca="false">+COUNTIFS(K:K,O11,$D:$D,$P$9)</f>
        <v>0</v>
      </c>
    </row>
    <row r="12" customFormat="false" ht="76.5" hidden="false" customHeight="true" outlineLevel="0" collapsed="false">
      <c r="B12" s="10" t="n">
        <v>10</v>
      </c>
      <c r="C12" s="9"/>
      <c r="D12" s="48"/>
      <c r="E12" s="3"/>
      <c r="F12" s="454"/>
      <c r="G12" s="454"/>
      <c r="H12" s="444"/>
      <c r="I12" s="450"/>
      <c r="J12" s="450"/>
      <c r="K12" s="455"/>
      <c r="L12" s="455"/>
      <c r="M12" s="9"/>
      <c r="O12" s="464" t="s">
        <v>726</v>
      </c>
      <c r="P12" s="463" t="n">
        <f aca="false">+COUNTIFS(K:K,O12,$D:$D,$P$9)</f>
        <v>0</v>
      </c>
    </row>
    <row r="13" customFormat="false" ht="76.5" hidden="false" customHeight="true" outlineLevel="0" collapsed="false">
      <c r="B13" s="10" t="n">
        <v>11</v>
      </c>
      <c r="C13" s="9"/>
      <c r="D13" s="48"/>
      <c r="E13" s="3"/>
      <c r="F13" s="454"/>
      <c r="G13" s="454"/>
      <c r="H13" s="444"/>
      <c r="I13" s="450"/>
      <c r="J13" s="450"/>
      <c r="K13" s="455"/>
      <c r="L13" s="455"/>
      <c r="M13" s="9"/>
      <c r="O13" s="464" t="s">
        <v>5</v>
      </c>
      <c r="P13" s="463" t="n">
        <f aca="false">+COUNTIFS(K:K,"PCI",$D:$D,"Pendiente")</f>
        <v>0</v>
      </c>
    </row>
    <row r="14" customFormat="false" ht="76.5" hidden="false" customHeight="true" outlineLevel="0" collapsed="false">
      <c r="B14" s="10" t="n">
        <v>12</v>
      </c>
      <c r="C14" s="9"/>
      <c r="D14" s="48"/>
      <c r="E14" s="3"/>
      <c r="F14" s="454"/>
      <c r="G14" s="454"/>
      <c r="H14" s="444"/>
      <c r="I14" s="450"/>
      <c r="J14" s="450"/>
      <c r="K14" s="455"/>
      <c r="L14" s="455"/>
      <c r="M14" s="9"/>
      <c r="O14" s="464" t="s">
        <v>127</v>
      </c>
      <c r="P14" s="463" t="n">
        <f aca="false">+COUNTIFS(K:K,O14,$D:$D,$P$9)</f>
        <v>0</v>
      </c>
    </row>
    <row r="15" customFormat="false" ht="76.5" hidden="false" customHeight="true" outlineLevel="0" collapsed="false">
      <c r="B15" s="10" t="n">
        <v>13</v>
      </c>
      <c r="C15" s="9"/>
      <c r="D15" s="48"/>
      <c r="E15" s="3"/>
      <c r="F15" s="454"/>
      <c r="G15" s="454"/>
      <c r="H15" s="444"/>
      <c r="I15" s="450"/>
      <c r="J15" s="450"/>
      <c r="K15" s="455"/>
      <c r="L15" s="455"/>
      <c r="M15" s="9"/>
      <c r="O15" s="464" t="s">
        <v>116</v>
      </c>
      <c r="P15" s="463" t="n">
        <f aca="false">+COUNTIFS(K:K,O15,$D:$D,$P$9)</f>
        <v>0</v>
      </c>
    </row>
    <row r="16" customFormat="false" ht="76.5" hidden="false" customHeight="true" outlineLevel="0" collapsed="false">
      <c r="B16" s="10" t="n">
        <v>14</v>
      </c>
      <c r="C16" s="9"/>
      <c r="D16" s="48"/>
      <c r="E16" s="3"/>
      <c r="F16" s="454"/>
      <c r="G16" s="454"/>
      <c r="H16" s="444"/>
      <c r="I16" s="450"/>
      <c r="J16" s="450"/>
      <c r="K16" s="455"/>
      <c r="L16" s="455"/>
      <c r="M16" s="9"/>
      <c r="O16" s="465" t="s">
        <v>727</v>
      </c>
      <c r="P16" s="466" t="n">
        <f aca="false">+COUNTIFS(K:K,"General",$D:$D,$P$9)</f>
        <v>0</v>
      </c>
    </row>
    <row r="17" customFormat="false" ht="76.5" hidden="false" customHeight="true" outlineLevel="0" collapsed="false">
      <c r="B17" s="10" t="n">
        <v>15</v>
      </c>
      <c r="C17" s="9"/>
      <c r="D17" s="48"/>
      <c r="E17" s="3"/>
      <c r="F17" s="454"/>
      <c r="G17" s="454"/>
      <c r="H17" s="444"/>
      <c r="I17" s="450"/>
      <c r="J17" s="450"/>
      <c r="K17" s="455"/>
      <c r="L17" s="455"/>
      <c r="M17" s="9"/>
    </row>
    <row r="18" customFormat="false" ht="76.5" hidden="false" customHeight="true" outlineLevel="0" collapsed="false">
      <c r="B18" s="10" t="n">
        <v>16</v>
      </c>
      <c r="C18" s="9"/>
      <c r="D18" s="48"/>
      <c r="E18" s="3"/>
      <c r="F18" s="454"/>
      <c r="G18" s="454"/>
      <c r="H18" s="444"/>
      <c r="I18" s="450"/>
      <c r="J18" s="450"/>
      <c r="K18" s="455"/>
      <c r="L18" s="455"/>
      <c r="M18" s="9"/>
    </row>
    <row r="19" customFormat="false" ht="76.5" hidden="false" customHeight="true" outlineLevel="0" collapsed="false">
      <c r="B19" s="10" t="n">
        <v>17</v>
      </c>
      <c r="C19" s="9"/>
      <c r="D19" s="48"/>
      <c r="E19" s="3"/>
      <c r="F19" s="454"/>
      <c r="G19" s="454"/>
      <c r="H19" s="444"/>
      <c r="I19" s="450"/>
      <c r="J19" s="450"/>
      <c r="K19" s="455"/>
      <c r="L19" s="455"/>
      <c r="M19" s="9"/>
    </row>
    <row r="20" customFormat="false" ht="76.5" hidden="false" customHeight="true" outlineLevel="0" collapsed="false">
      <c r="B20" s="10" t="n">
        <v>18</v>
      </c>
      <c r="C20" s="467"/>
      <c r="D20" s="468"/>
      <c r="E20" s="469"/>
      <c r="F20" s="470"/>
      <c r="G20" s="470"/>
      <c r="H20" s="471"/>
      <c r="I20" s="472"/>
      <c r="J20" s="472"/>
      <c r="K20" s="473"/>
      <c r="L20" s="473"/>
      <c r="M20" s="467"/>
    </row>
    <row r="21" customFormat="false" ht="81.75" hidden="false" customHeight="true" outlineLevel="0" collapsed="false">
      <c r="B21" s="474" t="n">
        <v>19</v>
      </c>
      <c r="C21" s="10"/>
      <c r="D21" s="10"/>
      <c r="E21" s="10"/>
      <c r="F21" s="10"/>
      <c r="G21" s="10"/>
      <c r="H21" s="10"/>
      <c r="I21" s="475"/>
      <c r="J21" s="475"/>
      <c r="K21" s="37"/>
      <c r="L21" s="37"/>
      <c r="M21" s="9"/>
    </row>
    <row r="22" customFormat="false" ht="85.5" hidden="false" customHeight="true" outlineLevel="0" collapsed="false">
      <c r="B22" s="474" t="n">
        <v>20</v>
      </c>
      <c r="C22" s="9"/>
      <c r="D22" s="48"/>
      <c r="E22" s="48"/>
      <c r="F22" s="454"/>
      <c r="G22" s="454"/>
      <c r="H22" s="476"/>
      <c r="I22" s="450"/>
      <c r="J22" s="450"/>
      <c r="K22" s="455"/>
      <c r="L22" s="455"/>
      <c r="M22" s="7"/>
    </row>
    <row r="23" customFormat="false" ht="61.5" hidden="false" customHeight="true" outlineLevel="0" collapsed="false">
      <c r="B23" s="474" t="n">
        <v>21</v>
      </c>
      <c r="C23" s="9"/>
      <c r="D23" s="48"/>
      <c r="E23" s="48"/>
      <c r="F23" s="454"/>
      <c r="G23" s="454"/>
      <c r="H23" s="476"/>
      <c r="I23" s="450"/>
      <c r="J23" s="450"/>
      <c r="K23" s="455"/>
      <c r="L23" s="455"/>
      <c r="M23" s="7"/>
    </row>
    <row r="24" customFormat="false" ht="72" hidden="false" customHeight="true" outlineLevel="0" collapsed="false">
      <c r="B24" s="474" t="n">
        <v>22</v>
      </c>
      <c r="C24" s="9"/>
      <c r="D24" s="48"/>
      <c r="E24" s="48"/>
      <c r="F24" s="454"/>
      <c r="G24" s="454"/>
      <c r="H24" s="476"/>
      <c r="I24" s="450"/>
      <c r="J24" s="450"/>
      <c r="K24" s="455"/>
      <c r="L24" s="455"/>
      <c r="M24" s="9"/>
    </row>
    <row r="25" customFormat="false" ht="72" hidden="false" customHeight="true" outlineLevel="0" collapsed="false">
      <c r="B25" s="474" t="n">
        <v>23</v>
      </c>
      <c r="C25" s="10"/>
      <c r="D25" s="10"/>
      <c r="E25" s="10"/>
      <c r="F25" s="10"/>
      <c r="G25" s="10"/>
      <c r="H25" s="10"/>
      <c r="I25" s="475"/>
      <c r="J25" s="475"/>
      <c r="K25" s="37"/>
      <c r="L25" s="37"/>
      <c r="M25" s="9"/>
    </row>
    <row r="26" customFormat="false" ht="98.25" hidden="false" customHeight="true" outlineLevel="0" collapsed="false">
      <c r="B26" s="474" t="n">
        <v>24</v>
      </c>
      <c r="C26" s="10"/>
      <c r="D26" s="10"/>
      <c r="E26" s="10"/>
      <c r="F26" s="10"/>
      <c r="G26" s="10"/>
      <c r="H26" s="10"/>
      <c r="I26" s="475"/>
      <c r="J26" s="475"/>
      <c r="K26" s="37"/>
      <c r="L26" s="37"/>
      <c r="M26" s="9"/>
    </row>
    <row r="27" customFormat="false" ht="76.5" hidden="false" customHeight="true" outlineLevel="0" collapsed="false">
      <c r="B27" s="474" t="n">
        <v>25</v>
      </c>
      <c r="C27" s="10"/>
      <c r="D27" s="10"/>
      <c r="E27" s="10"/>
      <c r="F27" s="10"/>
      <c r="G27" s="10"/>
      <c r="H27" s="10"/>
      <c r="I27" s="475"/>
      <c r="J27" s="475"/>
      <c r="K27" s="37"/>
      <c r="L27" s="37"/>
      <c r="M27" s="9"/>
    </row>
    <row r="28" customFormat="false" ht="86.25" hidden="false" customHeight="true" outlineLevel="0" collapsed="false">
      <c r="B28" s="474" t="n">
        <v>26</v>
      </c>
      <c r="C28" s="9"/>
      <c r="D28" s="48"/>
      <c r="E28" s="48"/>
      <c r="F28" s="454"/>
      <c r="G28" s="454"/>
      <c r="H28" s="476"/>
      <c r="I28" s="450"/>
      <c r="J28" s="450"/>
      <c r="K28" s="455"/>
      <c r="L28" s="455"/>
      <c r="M28" s="7"/>
    </row>
    <row r="29" customFormat="false" ht="69.75" hidden="false" customHeight="true" outlineLevel="0" collapsed="false">
      <c r="B29" s="474" t="n">
        <v>27</v>
      </c>
      <c r="C29" s="9"/>
      <c r="D29" s="48"/>
      <c r="E29" s="48"/>
      <c r="F29" s="454"/>
      <c r="G29" s="454"/>
      <c r="H29" s="476"/>
      <c r="I29" s="450"/>
      <c r="J29" s="450"/>
      <c r="K29" s="455"/>
      <c r="L29" s="455"/>
      <c r="M29" s="7"/>
    </row>
    <row r="30" customFormat="false" ht="186.75" hidden="false" customHeight="true" outlineLevel="0" collapsed="false">
      <c r="B30" s="402" t="n">
        <v>28</v>
      </c>
      <c r="C30" s="9"/>
      <c r="D30" s="48"/>
      <c r="E30" s="48"/>
      <c r="F30" s="454"/>
      <c r="G30" s="454"/>
      <c r="H30" s="476"/>
      <c r="I30" s="450"/>
      <c r="J30" s="450"/>
      <c r="K30" s="455"/>
      <c r="L30" s="455"/>
      <c r="M30" s="7"/>
    </row>
    <row r="31" customFormat="false" ht="108.75" hidden="false" customHeight="true" outlineLevel="0" collapsed="false">
      <c r="B31" s="474" t="n">
        <v>29</v>
      </c>
      <c r="C31" s="9"/>
      <c r="D31" s="48"/>
      <c r="E31" s="48"/>
      <c r="F31" s="454"/>
      <c r="G31" s="454"/>
      <c r="H31" s="476"/>
      <c r="I31" s="450"/>
      <c r="J31" s="450"/>
      <c r="K31" s="455"/>
      <c r="L31" s="455"/>
      <c r="M31" s="7"/>
    </row>
    <row r="32" customFormat="false" ht="144.75" hidden="false" customHeight="true" outlineLevel="0" collapsed="false">
      <c r="B32" s="474" t="n">
        <v>30</v>
      </c>
      <c r="C32" s="9"/>
      <c r="D32" s="48"/>
      <c r="E32" s="48"/>
      <c r="F32" s="454"/>
      <c r="G32" s="454"/>
      <c r="H32" s="476"/>
      <c r="I32" s="450"/>
      <c r="J32" s="450"/>
      <c r="K32" s="455"/>
      <c r="L32" s="455"/>
      <c r="M32" s="9"/>
    </row>
    <row r="33" customFormat="false" ht="92.25" hidden="false" customHeight="true" outlineLevel="0" collapsed="false">
      <c r="B33" s="474" t="n">
        <v>31</v>
      </c>
      <c r="C33" s="9"/>
      <c r="D33" s="48"/>
      <c r="E33" s="48"/>
      <c r="F33" s="454"/>
      <c r="G33" s="454"/>
      <c r="H33" s="476"/>
      <c r="I33" s="450"/>
      <c r="J33" s="450"/>
      <c r="K33" s="455"/>
      <c r="L33" s="455"/>
      <c r="M33" s="9"/>
    </row>
    <row r="34" customFormat="false" ht="76.5" hidden="false" customHeight="true" outlineLevel="0" collapsed="false">
      <c r="B34" s="474" t="n">
        <v>32</v>
      </c>
      <c r="C34" s="9"/>
      <c r="D34" s="48"/>
      <c r="E34" s="48"/>
      <c r="F34" s="454"/>
      <c r="G34" s="454"/>
      <c r="H34" s="476"/>
      <c r="I34" s="450"/>
      <c r="J34" s="450"/>
      <c r="K34" s="455"/>
      <c r="L34" s="455"/>
      <c r="M34" s="9"/>
    </row>
    <row r="35" customFormat="false" ht="76.5" hidden="false" customHeight="true" outlineLevel="0" collapsed="false">
      <c r="B35" s="474" t="n">
        <v>33</v>
      </c>
      <c r="C35" s="9"/>
      <c r="D35" s="48"/>
      <c r="E35" s="48"/>
      <c r="F35" s="454"/>
      <c r="G35" s="454"/>
      <c r="H35" s="476"/>
      <c r="I35" s="450"/>
      <c r="J35" s="450"/>
      <c r="K35" s="455"/>
      <c r="L35" s="455"/>
      <c r="M35" s="9"/>
    </row>
    <row r="36" customFormat="false" ht="76.5" hidden="false" customHeight="true" outlineLevel="0" collapsed="false">
      <c r="B36" s="474" t="n">
        <v>34</v>
      </c>
      <c r="C36" s="9"/>
      <c r="D36" s="48"/>
      <c r="E36" s="48"/>
      <c r="F36" s="454"/>
      <c r="G36" s="454"/>
      <c r="H36" s="476"/>
      <c r="I36" s="450"/>
      <c r="J36" s="450"/>
      <c r="K36" s="455"/>
      <c r="L36" s="455"/>
      <c r="M36" s="7"/>
    </row>
    <row r="37" customFormat="false" ht="76.5" hidden="false" customHeight="true" outlineLevel="0" collapsed="false">
      <c r="B37" s="474" t="n">
        <v>35</v>
      </c>
      <c r="C37" s="9"/>
      <c r="D37" s="48"/>
      <c r="E37" s="48"/>
      <c r="F37" s="454"/>
      <c r="G37" s="454"/>
      <c r="H37" s="476"/>
      <c r="I37" s="450"/>
      <c r="J37" s="450"/>
      <c r="K37" s="455"/>
      <c r="L37" s="455"/>
      <c r="M37" s="9"/>
    </row>
    <row r="38" customFormat="false" ht="97.5" hidden="false" customHeight="true" outlineLevel="0" collapsed="false">
      <c r="B38" s="474" t="n">
        <v>36</v>
      </c>
      <c r="C38" s="9"/>
      <c r="D38" s="48"/>
      <c r="E38" s="48"/>
      <c r="F38" s="454"/>
      <c r="G38" s="454"/>
      <c r="H38" s="476"/>
      <c r="I38" s="450"/>
      <c r="J38" s="450"/>
      <c r="K38" s="455"/>
      <c r="L38" s="455"/>
      <c r="M38" s="9"/>
    </row>
    <row r="39" customFormat="false" ht="76.5" hidden="false" customHeight="true" outlineLevel="0" collapsed="false">
      <c r="B39" s="474" t="n">
        <v>37</v>
      </c>
      <c r="C39" s="9"/>
      <c r="D39" s="48"/>
      <c r="E39" s="48"/>
      <c r="F39" s="454"/>
      <c r="G39" s="454"/>
      <c r="H39" s="476"/>
      <c r="I39" s="450"/>
      <c r="J39" s="450"/>
      <c r="K39" s="455"/>
      <c r="L39" s="455"/>
      <c r="M39" s="9"/>
    </row>
    <row r="40" customFormat="false" ht="76.5" hidden="false" customHeight="true" outlineLevel="0" collapsed="false">
      <c r="B40" s="474" t="n">
        <v>38</v>
      </c>
      <c r="C40" s="9"/>
      <c r="D40" s="48"/>
      <c r="E40" s="48"/>
      <c r="F40" s="477"/>
      <c r="G40" s="477"/>
      <c r="H40" s="476"/>
      <c r="I40" s="450"/>
      <c r="J40" s="450"/>
      <c r="K40" s="478"/>
      <c r="L40" s="478"/>
      <c r="M40" s="9"/>
    </row>
    <row r="41" customFormat="false" ht="76.5" hidden="false" customHeight="true" outlineLevel="0" collapsed="false">
      <c r="B41" s="474" t="n">
        <v>39</v>
      </c>
      <c r="C41" s="9"/>
      <c r="D41" s="48"/>
      <c r="E41" s="48"/>
      <c r="F41" s="454"/>
      <c r="G41" s="454"/>
      <c r="H41" s="476"/>
      <c r="I41" s="450"/>
      <c r="J41" s="450"/>
      <c r="K41" s="455"/>
      <c r="L41" s="455"/>
      <c r="M41" s="9"/>
    </row>
    <row r="42" customFormat="false" ht="76.5" hidden="false" customHeight="true" outlineLevel="0" collapsed="false">
      <c r="B42" s="474" t="n">
        <v>40</v>
      </c>
      <c r="C42" s="9"/>
      <c r="D42" s="48"/>
      <c r="E42" s="48"/>
      <c r="F42" s="454"/>
      <c r="G42" s="454"/>
      <c r="H42" s="476"/>
      <c r="I42" s="450"/>
      <c r="J42" s="450"/>
      <c r="K42" s="455"/>
      <c r="L42" s="455"/>
      <c r="M42" s="9"/>
    </row>
    <row r="43" customFormat="false" ht="76.5" hidden="false" customHeight="true" outlineLevel="0" collapsed="false">
      <c r="B43" s="474" t="n">
        <v>41</v>
      </c>
      <c r="C43" s="9"/>
      <c r="D43" s="48"/>
      <c r="E43" s="48"/>
      <c r="F43" s="454"/>
      <c r="G43" s="454"/>
      <c r="H43" s="476"/>
      <c r="I43" s="450"/>
      <c r="J43" s="450"/>
      <c r="K43" s="455"/>
      <c r="L43" s="455"/>
      <c r="M43" s="7"/>
    </row>
    <row r="44" customFormat="false" ht="76.5" hidden="false" customHeight="true" outlineLevel="0" collapsed="false">
      <c r="B44" s="474" t="n">
        <v>42</v>
      </c>
      <c r="C44" s="9"/>
      <c r="D44" s="48"/>
      <c r="E44" s="48"/>
      <c r="F44" s="454"/>
      <c r="G44" s="454"/>
      <c r="H44" s="476"/>
      <c r="I44" s="450"/>
      <c r="J44" s="450"/>
      <c r="K44" s="455"/>
      <c r="L44" s="455"/>
      <c r="M44" s="7"/>
    </row>
    <row r="45" customFormat="false" ht="94.5" hidden="false" customHeight="true" outlineLevel="0" collapsed="false">
      <c r="B45" s="474" t="n">
        <v>43</v>
      </c>
      <c r="C45" s="9"/>
      <c r="D45" s="48"/>
      <c r="E45" s="48"/>
      <c r="F45" s="454"/>
      <c r="G45" s="454"/>
      <c r="H45" s="476"/>
      <c r="I45" s="450"/>
      <c r="J45" s="450"/>
      <c r="K45" s="455"/>
      <c r="L45" s="455"/>
      <c r="M45" s="9"/>
    </row>
    <row r="46" customFormat="false" ht="94.5" hidden="false" customHeight="true" outlineLevel="0" collapsed="false">
      <c r="B46" s="474" t="n">
        <v>44</v>
      </c>
      <c r="C46" s="9"/>
      <c r="D46" s="48"/>
      <c r="E46" s="48"/>
      <c r="F46" s="454"/>
      <c r="G46" s="454"/>
      <c r="H46" s="476"/>
      <c r="I46" s="450"/>
      <c r="J46" s="450"/>
      <c r="K46" s="455"/>
      <c r="L46" s="455"/>
      <c r="M46" s="9"/>
    </row>
    <row r="47" customFormat="false" ht="91.5" hidden="false" customHeight="true" outlineLevel="0" collapsed="false">
      <c r="B47" s="474" t="n">
        <v>45</v>
      </c>
      <c r="C47" s="9"/>
      <c r="D47" s="48"/>
      <c r="E47" s="48"/>
      <c r="F47" s="454"/>
      <c r="G47" s="454"/>
      <c r="H47" s="476"/>
      <c r="I47" s="450"/>
      <c r="J47" s="450"/>
      <c r="K47" s="455"/>
      <c r="L47" s="455"/>
      <c r="M47" s="7"/>
    </row>
    <row r="48" customFormat="false" ht="76.5" hidden="false" customHeight="true" outlineLevel="0" collapsed="false">
      <c r="B48" s="474" t="n">
        <v>46</v>
      </c>
      <c r="C48" s="9"/>
      <c r="D48" s="48"/>
      <c r="E48" s="48"/>
      <c r="F48" s="454"/>
      <c r="G48" s="454"/>
      <c r="H48" s="476"/>
      <c r="I48" s="450"/>
      <c r="J48" s="450"/>
      <c r="K48" s="455"/>
      <c r="L48" s="455"/>
      <c r="M48" s="7"/>
    </row>
    <row r="49" customFormat="false" ht="84" hidden="false" customHeight="true" outlineLevel="0" collapsed="false">
      <c r="B49" s="474" t="n">
        <v>47</v>
      </c>
      <c r="C49" s="9"/>
      <c r="D49" s="48"/>
      <c r="E49" s="48"/>
      <c r="F49" s="454"/>
      <c r="G49" s="454"/>
      <c r="H49" s="476"/>
      <c r="I49" s="450"/>
      <c r="J49" s="450"/>
      <c r="K49" s="455"/>
      <c r="L49" s="455"/>
      <c r="M49" s="9"/>
    </row>
    <row r="50" customFormat="false" ht="84" hidden="false" customHeight="true" outlineLevel="0" collapsed="false">
      <c r="B50" s="474" t="n">
        <v>48</v>
      </c>
      <c r="C50" s="9"/>
      <c r="D50" s="48"/>
      <c r="E50" s="48"/>
      <c r="F50" s="454"/>
      <c r="G50" s="454"/>
      <c r="H50" s="476"/>
      <c r="I50" s="450"/>
      <c r="J50" s="450"/>
      <c r="K50" s="455"/>
      <c r="L50" s="455"/>
      <c r="M50" s="9"/>
    </row>
    <row r="51" customFormat="false" ht="76.5" hidden="false" customHeight="true" outlineLevel="0" collapsed="false">
      <c r="B51" s="474" t="n">
        <v>49</v>
      </c>
      <c r="C51" s="9"/>
      <c r="D51" s="48"/>
      <c r="E51" s="48"/>
      <c r="F51" s="454"/>
      <c r="G51" s="454"/>
      <c r="H51" s="476"/>
      <c r="I51" s="450"/>
      <c r="J51" s="450"/>
      <c r="K51" s="455"/>
      <c r="L51" s="455"/>
      <c r="M51" s="7"/>
    </row>
    <row r="52" customFormat="false" ht="76.5" hidden="false" customHeight="true" outlineLevel="0" collapsed="false">
      <c r="B52" s="474" t="n">
        <v>50</v>
      </c>
      <c r="C52" s="9"/>
      <c r="D52" s="48"/>
      <c r="E52" s="48"/>
      <c r="F52" s="454"/>
      <c r="G52" s="454"/>
      <c r="H52" s="476"/>
      <c r="I52" s="450"/>
      <c r="J52" s="450"/>
      <c r="K52" s="455"/>
      <c r="L52" s="455"/>
      <c r="M52" s="9"/>
    </row>
    <row r="53" customFormat="false" ht="116.25" hidden="false" customHeight="true" outlineLevel="0" collapsed="false">
      <c r="B53" s="474" t="n">
        <v>51</v>
      </c>
      <c r="C53" s="9"/>
      <c r="D53" s="48"/>
      <c r="E53" s="48"/>
      <c r="F53" s="454"/>
      <c r="G53" s="454"/>
      <c r="H53" s="476"/>
      <c r="I53" s="450"/>
      <c r="J53" s="450"/>
      <c r="K53" s="455"/>
      <c r="L53" s="455"/>
      <c r="M53" s="7"/>
    </row>
    <row r="54" customFormat="false" ht="76.5" hidden="false" customHeight="true" outlineLevel="0" collapsed="false">
      <c r="B54" s="474" t="n">
        <v>52</v>
      </c>
      <c r="C54" s="9"/>
      <c r="D54" s="48"/>
      <c r="E54" s="48"/>
      <c r="F54" s="454"/>
      <c r="G54" s="454"/>
      <c r="H54" s="476"/>
      <c r="I54" s="450"/>
      <c r="J54" s="450"/>
      <c r="K54" s="455"/>
      <c r="L54" s="455"/>
      <c r="M54" s="9"/>
    </row>
    <row r="55" customFormat="false" ht="87" hidden="false" customHeight="true" outlineLevel="0" collapsed="false">
      <c r="B55" s="474" t="n">
        <v>53</v>
      </c>
      <c r="C55" s="9"/>
      <c r="D55" s="48"/>
      <c r="E55" s="48"/>
      <c r="F55" s="454"/>
      <c r="G55" s="454"/>
      <c r="H55" s="476"/>
      <c r="I55" s="450"/>
      <c r="J55" s="450"/>
      <c r="K55" s="455"/>
      <c r="L55" s="455"/>
      <c r="M55" s="7"/>
    </row>
    <row r="56" customFormat="false" ht="76.5" hidden="false" customHeight="true" outlineLevel="0" collapsed="false">
      <c r="B56" s="474" t="n">
        <v>54</v>
      </c>
      <c r="C56" s="9"/>
      <c r="D56" s="48"/>
      <c r="E56" s="48"/>
      <c r="F56" s="454"/>
      <c r="G56" s="454"/>
      <c r="H56" s="476"/>
      <c r="I56" s="450"/>
      <c r="J56" s="450"/>
      <c r="K56" s="455"/>
      <c r="L56" s="455"/>
      <c r="M56" s="9"/>
    </row>
    <row r="57" customFormat="false" ht="107.25" hidden="false" customHeight="true" outlineLevel="0" collapsed="false">
      <c r="B57" s="474" t="n">
        <v>55</v>
      </c>
      <c r="C57" s="9"/>
      <c r="D57" s="48"/>
      <c r="E57" s="48"/>
      <c r="F57" s="454"/>
      <c r="G57" s="454"/>
      <c r="H57" s="476"/>
      <c r="I57" s="450"/>
      <c r="J57" s="450"/>
      <c r="K57" s="455"/>
      <c r="L57" s="455"/>
      <c r="M57" s="7"/>
    </row>
    <row r="58" customFormat="false" ht="76.5" hidden="false" customHeight="true" outlineLevel="0" collapsed="false">
      <c r="B58" s="474" t="n">
        <v>56</v>
      </c>
      <c r="C58" s="9"/>
      <c r="D58" s="48"/>
      <c r="E58" s="48"/>
      <c r="F58" s="454"/>
      <c r="G58" s="454"/>
      <c r="H58" s="476"/>
      <c r="I58" s="450"/>
      <c r="J58" s="450"/>
      <c r="K58" s="455"/>
      <c r="L58" s="455"/>
      <c r="M58" s="7"/>
    </row>
    <row r="59" customFormat="false" ht="136.5" hidden="false" customHeight="true" outlineLevel="0" collapsed="false">
      <c r="B59" s="474" t="n">
        <v>57</v>
      </c>
      <c r="C59" s="9"/>
      <c r="D59" s="48"/>
      <c r="E59" s="48"/>
      <c r="F59" s="454"/>
      <c r="G59" s="454"/>
      <c r="H59" s="476"/>
      <c r="I59" s="450"/>
      <c r="J59" s="450"/>
      <c r="K59" s="455"/>
      <c r="L59" s="455"/>
      <c r="M59" s="7"/>
    </row>
    <row r="60" customFormat="false" ht="144.75" hidden="false" customHeight="true" outlineLevel="0" collapsed="false">
      <c r="B60" s="474" t="n">
        <v>58</v>
      </c>
      <c r="C60" s="9"/>
      <c r="D60" s="48"/>
      <c r="E60" s="48"/>
      <c r="F60" s="454"/>
      <c r="G60" s="454"/>
      <c r="H60" s="476"/>
      <c r="I60" s="450"/>
      <c r="J60" s="450"/>
      <c r="K60" s="455"/>
      <c r="L60" s="455"/>
      <c r="M60" s="9"/>
    </row>
    <row r="61" customFormat="false" ht="183.75" hidden="false" customHeight="true" outlineLevel="0" collapsed="false">
      <c r="B61" s="474" t="n">
        <v>59</v>
      </c>
      <c r="C61" s="10"/>
      <c r="D61" s="10"/>
      <c r="E61" s="10"/>
      <c r="F61" s="10"/>
      <c r="G61" s="10"/>
      <c r="H61" s="10"/>
      <c r="I61" s="475"/>
      <c r="J61" s="475"/>
      <c r="K61" s="37"/>
      <c r="L61" s="37"/>
      <c r="M61" s="9"/>
    </row>
    <row r="62" customFormat="false" ht="23.25" hidden="false" customHeight="true" outlineLevel="0" collapsed="false">
      <c r="B62" s="474" t="n">
        <v>60</v>
      </c>
      <c r="C62" s="9"/>
      <c r="D62" s="48"/>
      <c r="E62" s="48"/>
      <c r="F62" s="454"/>
      <c r="G62" s="454"/>
      <c r="H62" s="476"/>
      <c r="I62" s="450"/>
      <c r="J62" s="450"/>
      <c r="K62" s="455"/>
      <c r="L62" s="455"/>
      <c r="M62" s="9"/>
    </row>
    <row r="63" customFormat="false" ht="80.25" hidden="false" customHeight="true" outlineLevel="0" collapsed="false">
      <c r="B63" s="474" t="n">
        <v>61</v>
      </c>
      <c r="C63" s="9"/>
      <c r="D63" s="48"/>
      <c r="E63" s="48"/>
      <c r="F63" s="454"/>
      <c r="G63" s="454"/>
      <c r="H63" s="476"/>
      <c r="I63" s="450"/>
      <c r="J63" s="450"/>
      <c r="K63" s="455"/>
      <c r="L63" s="455"/>
      <c r="M63" s="7"/>
    </row>
    <row r="64" customFormat="false" ht="76.5" hidden="false" customHeight="true" outlineLevel="0" collapsed="false">
      <c r="B64" s="474" t="n">
        <v>62</v>
      </c>
      <c r="C64" s="9"/>
      <c r="D64" s="48"/>
      <c r="E64" s="48"/>
      <c r="F64" s="454"/>
      <c r="G64" s="454"/>
      <c r="H64" s="476"/>
      <c r="I64" s="450"/>
      <c r="J64" s="450"/>
      <c r="K64" s="455"/>
      <c r="L64" s="455"/>
      <c r="M64" s="7"/>
    </row>
    <row r="65" customFormat="false" ht="266.25" hidden="false" customHeight="true" outlineLevel="0" collapsed="false">
      <c r="B65" s="474" t="n">
        <v>63</v>
      </c>
      <c r="C65" s="9"/>
      <c r="D65" s="48"/>
      <c r="E65" s="48"/>
      <c r="F65" s="454"/>
      <c r="G65" s="454"/>
      <c r="H65" s="476"/>
      <c r="I65" s="450"/>
      <c r="J65" s="450"/>
      <c r="K65" s="455"/>
      <c r="L65" s="455"/>
      <c r="M65" s="7"/>
    </row>
    <row r="66" customFormat="false" ht="147" hidden="false" customHeight="true" outlineLevel="0" collapsed="false">
      <c r="B66" s="474" t="n">
        <v>64</v>
      </c>
      <c r="C66" s="9"/>
      <c r="D66" s="48"/>
      <c r="E66" s="48"/>
      <c r="F66" s="454"/>
      <c r="G66" s="454"/>
      <c r="H66" s="476"/>
      <c r="I66" s="450"/>
      <c r="J66" s="450"/>
      <c r="K66" s="455"/>
      <c r="L66" s="455"/>
      <c r="M66" s="7"/>
    </row>
    <row r="67" customFormat="false" ht="98.25" hidden="false" customHeight="true" outlineLevel="0" collapsed="false">
      <c r="B67" s="474" t="n">
        <v>65</v>
      </c>
      <c r="C67" s="9"/>
      <c r="D67" s="48"/>
      <c r="E67" s="48"/>
      <c r="F67" s="454"/>
      <c r="G67" s="454"/>
      <c r="H67" s="476"/>
      <c r="I67" s="450"/>
      <c r="J67" s="450"/>
      <c r="K67" s="455"/>
      <c r="L67" s="455"/>
      <c r="M67" s="7"/>
    </row>
    <row r="68" customFormat="false" ht="129" hidden="false" customHeight="true" outlineLevel="0" collapsed="false">
      <c r="B68" s="474" t="n">
        <v>66</v>
      </c>
      <c r="C68" s="9"/>
      <c r="D68" s="48"/>
      <c r="E68" s="48"/>
      <c r="F68" s="454"/>
      <c r="G68" s="454"/>
      <c r="H68" s="476"/>
      <c r="I68" s="450"/>
      <c r="J68" s="450"/>
      <c r="K68" s="455"/>
      <c r="L68" s="455"/>
      <c r="M68" s="7"/>
    </row>
    <row r="69" customFormat="false" ht="63.75" hidden="false" customHeight="true" outlineLevel="0" collapsed="false">
      <c r="B69" s="474" t="n">
        <v>67</v>
      </c>
      <c r="C69" s="9"/>
      <c r="D69" s="48"/>
      <c r="E69" s="48"/>
      <c r="F69" s="454"/>
      <c r="G69" s="454"/>
      <c r="H69" s="476"/>
      <c r="I69" s="450"/>
      <c r="J69" s="450"/>
      <c r="K69" s="455"/>
      <c r="L69" s="455"/>
      <c r="M69" s="7"/>
    </row>
    <row r="70" customFormat="false" ht="63.75" hidden="false" customHeight="true" outlineLevel="0" collapsed="false">
      <c r="B70" s="474" t="n">
        <v>68</v>
      </c>
      <c r="C70" s="9"/>
      <c r="D70" s="48"/>
      <c r="E70" s="48"/>
      <c r="F70" s="454"/>
      <c r="G70" s="454"/>
      <c r="H70" s="476"/>
      <c r="I70" s="450"/>
      <c r="J70" s="450"/>
      <c r="K70" s="455"/>
      <c r="L70" s="455"/>
      <c r="M70" s="9"/>
    </row>
    <row r="71" customFormat="false" ht="120.75" hidden="false" customHeight="true" outlineLevel="0" collapsed="false">
      <c r="B71" s="474" t="n">
        <v>69</v>
      </c>
      <c r="C71" s="9"/>
      <c r="D71" s="48"/>
      <c r="E71" s="48"/>
      <c r="F71" s="454"/>
      <c r="G71" s="454"/>
      <c r="H71" s="476"/>
      <c r="I71" s="450"/>
      <c r="J71" s="450"/>
      <c r="K71" s="455"/>
      <c r="L71" s="455"/>
      <c r="M71" s="7"/>
    </row>
    <row r="72" customFormat="false" ht="76.5" hidden="false" customHeight="true" outlineLevel="0" collapsed="false">
      <c r="B72" s="474" t="n">
        <v>70</v>
      </c>
      <c r="C72" s="9"/>
      <c r="D72" s="48"/>
      <c r="E72" s="48"/>
      <c r="F72" s="454"/>
      <c r="G72" s="454"/>
      <c r="H72" s="476"/>
      <c r="I72" s="450"/>
      <c r="J72" s="450"/>
      <c r="K72" s="455"/>
      <c r="L72" s="455"/>
      <c r="M72" s="7"/>
    </row>
    <row r="73" customFormat="false" ht="104.25" hidden="false" customHeight="true" outlineLevel="0" collapsed="false">
      <c r="B73" s="474" t="n">
        <v>71</v>
      </c>
      <c r="C73" s="9"/>
      <c r="D73" s="48"/>
      <c r="E73" s="48"/>
      <c r="F73" s="454"/>
      <c r="G73" s="454"/>
      <c r="H73" s="476"/>
      <c r="I73" s="450"/>
      <c r="J73" s="450"/>
      <c r="K73" s="455"/>
      <c r="L73" s="455"/>
      <c r="M73" s="7"/>
    </row>
    <row r="74" customFormat="false" ht="76.5" hidden="false" customHeight="true" outlineLevel="0" collapsed="false">
      <c r="B74" s="474" t="n">
        <v>72</v>
      </c>
      <c r="C74" s="9"/>
      <c r="D74" s="48"/>
      <c r="E74" s="48"/>
      <c r="F74" s="454"/>
      <c r="G74" s="454"/>
      <c r="H74" s="476"/>
      <c r="I74" s="450"/>
      <c r="J74" s="450"/>
      <c r="K74" s="455"/>
      <c r="L74" s="455"/>
      <c r="M74" s="7"/>
    </row>
    <row r="75" customFormat="false" ht="76.5" hidden="false" customHeight="true" outlineLevel="0" collapsed="false">
      <c r="B75" s="474" t="n">
        <v>73</v>
      </c>
      <c r="C75" s="9"/>
      <c r="D75" s="48"/>
      <c r="E75" s="48"/>
      <c r="F75" s="454"/>
      <c r="G75" s="454"/>
      <c r="H75" s="476"/>
      <c r="I75" s="450"/>
      <c r="J75" s="450"/>
      <c r="K75" s="455"/>
      <c r="L75" s="455"/>
      <c r="M75" s="7"/>
    </row>
    <row r="76" customFormat="false" ht="128.25" hidden="false" customHeight="true" outlineLevel="0" collapsed="false">
      <c r="B76" s="474" t="n">
        <v>74</v>
      </c>
      <c r="C76" s="9"/>
      <c r="D76" s="48"/>
      <c r="E76" s="48"/>
      <c r="F76" s="479"/>
      <c r="G76" s="454"/>
      <c r="H76" s="476"/>
      <c r="I76" s="475"/>
      <c r="J76" s="475"/>
      <c r="K76" s="455"/>
      <c r="L76" s="455"/>
      <c r="M76" s="9"/>
    </row>
    <row r="77" customFormat="false" ht="76.5" hidden="false" customHeight="true" outlineLevel="0" collapsed="false">
      <c r="B77" s="474" t="n">
        <v>75</v>
      </c>
      <c r="C77" s="9"/>
      <c r="D77" s="48"/>
      <c r="E77" s="48"/>
      <c r="F77" s="419"/>
      <c r="G77" s="454"/>
      <c r="H77" s="476"/>
      <c r="I77" s="475"/>
      <c r="J77" s="475"/>
      <c r="K77" s="455"/>
      <c r="L77" s="455"/>
      <c r="M77" s="480"/>
    </row>
    <row r="78" customFormat="false" ht="76.5" hidden="false" customHeight="true" outlineLevel="0" collapsed="false">
      <c r="B78" s="474" t="n">
        <v>76</v>
      </c>
      <c r="C78" s="9"/>
      <c r="D78" s="48"/>
      <c r="E78" s="48"/>
      <c r="F78" s="419"/>
      <c r="G78" s="454"/>
      <c r="H78" s="476"/>
      <c r="I78" s="475"/>
      <c r="J78" s="475"/>
      <c r="K78" s="455"/>
      <c r="L78" s="455"/>
      <c r="M78" s="7"/>
    </row>
    <row r="79" customFormat="false" ht="101.25" hidden="false" customHeight="true" outlineLevel="0" collapsed="false">
      <c r="B79" s="474" t="n">
        <v>77</v>
      </c>
      <c r="C79" s="9"/>
      <c r="D79" s="48"/>
      <c r="E79" s="48"/>
      <c r="F79" s="419"/>
      <c r="G79" s="454"/>
      <c r="H79" s="476"/>
      <c r="I79" s="475"/>
      <c r="J79" s="475"/>
      <c r="K79" s="455"/>
      <c r="L79" s="455"/>
      <c r="M79" s="7"/>
    </row>
    <row r="80" customFormat="false" ht="126.75" hidden="false" customHeight="true" outlineLevel="0" collapsed="false">
      <c r="B80" s="474" t="n">
        <v>78</v>
      </c>
      <c r="C80" s="9"/>
      <c r="D80" s="48"/>
      <c r="E80" s="48"/>
      <c r="F80" s="419"/>
      <c r="G80" s="419"/>
      <c r="H80" s="476"/>
      <c r="I80" s="475"/>
      <c r="J80" s="475"/>
      <c r="K80" s="37"/>
      <c r="L80" s="37"/>
      <c r="M80" s="7"/>
    </row>
    <row r="81" customFormat="false" ht="57" hidden="false" customHeight="true" outlineLevel="0" collapsed="false">
      <c r="B81" s="474" t="n">
        <v>79</v>
      </c>
      <c r="C81" s="9"/>
      <c r="D81" s="48"/>
      <c r="E81" s="48"/>
      <c r="F81" s="419"/>
      <c r="G81" s="419"/>
      <c r="H81" s="476"/>
      <c r="I81" s="475"/>
      <c r="J81" s="475"/>
      <c r="K81" s="455"/>
      <c r="L81" s="455"/>
      <c r="M81" s="379"/>
    </row>
    <row r="82" customFormat="false" ht="0.75" hidden="false" customHeight="true" outlineLevel="0" collapsed="false">
      <c r="B82" s="474" t="n">
        <v>80</v>
      </c>
      <c r="C82" s="9"/>
      <c r="D82" s="48"/>
      <c r="E82" s="48"/>
      <c r="F82" s="419"/>
      <c r="G82" s="419"/>
      <c r="H82" s="476"/>
      <c r="I82" s="475"/>
      <c r="J82" s="475"/>
      <c r="K82" s="455"/>
      <c r="L82" s="455"/>
      <c r="M82" s="379"/>
    </row>
    <row r="83" customFormat="false" ht="68.25" hidden="false" customHeight="true" outlineLevel="0" collapsed="false">
      <c r="B83" s="474" t="n">
        <v>81</v>
      </c>
      <c r="C83" s="9"/>
      <c r="D83" s="48"/>
      <c r="E83" s="48"/>
      <c r="F83" s="419"/>
      <c r="G83" s="419"/>
      <c r="H83" s="476"/>
      <c r="I83" s="475"/>
      <c r="J83" s="475"/>
      <c r="K83" s="37"/>
      <c r="L83" s="37"/>
      <c r="M83" s="7"/>
    </row>
    <row r="84" customFormat="false" ht="128.25" hidden="false" customHeight="true" outlineLevel="0" collapsed="false">
      <c r="B84" s="474" t="n">
        <v>82</v>
      </c>
      <c r="C84" s="9"/>
      <c r="D84" s="48"/>
      <c r="E84" s="48"/>
      <c r="F84" s="419"/>
      <c r="G84" s="419"/>
      <c r="H84" s="476"/>
      <c r="I84" s="475"/>
      <c r="J84" s="475"/>
      <c r="K84" s="37"/>
      <c r="L84" s="37"/>
      <c r="M84" s="9"/>
    </row>
    <row r="85" customFormat="false" ht="76.5" hidden="false" customHeight="true" outlineLevel="0" collapsed="false">
      <c r="B85" s="474" t="n">
        <v>83</v>
      </c>
      <c r="C85" s="9"/>
      <c r="D85" s="48"/>
      <c r="E85" s="48"/>
      <c r="F85" s="419"/>
      <c r="G85" s="419"/>
      <c r="H85" s="476"/>
      <c r="I85" s="475"/>
      <c r="J85" s="475"/>
      <c r="K85" s="37"/>
      <c r="L85" s="37"/>
      <c r="M85" s="9"/>
    </row>
    <row r="86" customFormat="false" ht="76.5" hidden="false" customHeight="true" outlineLevel="0" collapsed="false">
      <c r="B86" s="474" t="n">
        <v>84</v>
      </c>
      <c r="C86" s="9"/>
      <c r="D86" s="48"/>
      <c r="E86" s="48"/>
      <c r="F86" s="419"/>
      <c r="G86" s="419"/>
      <c r="H86" s="476"/>
      <c r="I86" s="475"/>
      <c r="J86" s="475"/>
      <c r="K86" s="37"/>
      <c r="L86" s="37"/>
      <c r="M86" s="9"/>
    </row>
    <row r="87" customFormat="false" ht="76.5" hidden="false" customHeight="true" outlineLevel="0" collapsed="false">
      <c r="B87" s="474" t="n">
        <v>85</v>
      </c>
      <c r="C87" s="9"/>
      <c r="D87" s="48"/>
      <c r="E87" s="48"/>
      <c r="F87" s="419"/>
      <c r="G87" s="419"/>
      <c r="H87" s="476"/>
      <c r="I87" s="475"/>
      <c r="J87" s="475"/>
      <c r="K87" s="37"/>
      <c r="L87" s="37"/>
      <c r="M87" s="9"/>
    </row>
    <row r="88" customFormat="false" ht="76.5" hidden="false" customHeight="true" outlineLevel="0" collapsed="false">
      <c r="B88" s="474" t="n">
        <v>86</v>
      </c>
      <c r="C88" s="9"/>
      <c r="D88" s="48"/>
      <c r="E88" s="48"/>
      <c r="F88" s="419"/>
      <c r="G88" s="419"/>
      <c r="H88" s="476"/>
      <c r="I88" s="475"/>
      <c r="J88" s="475"/>
      <c r="K88" s="37"/>
      <c r="L88" s="37"/>
      <c r="M88" s="7"/>
    </row>
    <row r="89" customFormat="false" ht="78" hidden="false" customHeight="true" outlineLevel="0" collapsed="false">
      <c r="B89" s="474" t="n">
        <v>87</v>
      </c>
      <c r="C89" s="9"/>
      <c r="D89" s="48"/>
      <c r="E89" s="48"/>
      <c r="F89" s="419"/>
      <c r="G89" s="419"/>
      <c r="H89" s="476"/>
      <c r="I89" s="475"/>
      <c r="J89" s="475"/>
      <c r="K89" s="37"/>
      <c r="L89" s="37"/>
      <c r="M89" s="9"/>
    </row>
    <row r="90" customFormat="false" ht="153" hidden="false" customHeight="true" outlineLevel="0" collapsed="false">
      <c r="B90" s="474" t="n">
        <v>88</v>
      </c>
      <c r="C90" s="9"/>
      <c r="D90" s="48"/>
      <c r="E90" s="48"/>
      <c r="F90" s="419"/>
      <c r="G90" s="419"/>
      <c r="H90" s="476"/>
      <c r="I90" s="475"/>
      <c r="J90" s="475"/>
      <c r="K90" s="37"/>
      <c r="L90" s="37"/>
      <c r="M90" s="7"/>
    </row>
    <row r="91" customFormat="false" ht="78" hidden="false" customHeight="true" outlineLevel="0" collapsed="false">
      <c r="B91" s="474" t="n">
        <v>89</v>
      </c>
      <c r="C91" s="9"/>
      <c r="D91" s="48"/>
      <c r="E91" s="48"/>
      <c r="F91" s="419"/>
      <c r="G91" s="419"/>
      <c r="H91" s="476"/>
      <c r="I91" s="475"/>
      <c r="J91" s="475"/>
      <c r="K91" s="37"/>
      <c r="L91" s="37"/>
      <c r="M91" s="7"/>
    </row>
    <row r="92" customFormat="false" ht="78" hidden="false" customHeight="true" outlineLevel="0" collapsed="false">
      <c r="B92" s="474" t="n">
        <v>90</v>
      </c>
      <c r="C92" s="9"/>
      <c r="D92" s="48"/>
      <c r="E92" s="48"/>
      <c r="F92" s="419"/>
      <c r="G92" s="419"/>
      <c r="H92" s="476"/>
      <c r="I92" s="475"/>
      <c r="J92" s="475"/>
      <c r="K92" s="37"/>
      <c r="L92" s="37"/>
      <c r="M92" s="9"/>
    </row>
    <row r="93" customFormat="false" ht="78" hidden="false" customHeight="true" outlineLevel="0" collapsed="false">
      <c r="B93" s="474" t="n">
        <v>91</v>
      </c>
      <c r="C93" s="9"/>
      <c r="D93" s="48"/>
      <c r="E93" s="48"/>
      <c r="F93" s="419"/>
      <c r="G93" s="419"/>
      <c r="H93" s="476"/>
      <c r="I93" s="475"/>
      <c r="J93" s="475"/>
      <c r="K93" s="37"/>
      <c r="L93" s="37"/>
      <c r="M93" s="9"/>
    </row>
    <row r="94" customFormat="false" ht="78" hidden="false" customHeight="true" outlineLevel="0" collapsed="false">
      <c r="B94" s="474" t="n">
        <v>92</v>
      </c>
      <c r="C94" s="9"/>
      <c r="D94" s="48"/>
      <c r="E94" s="48"/>
      <c r="F94" s="419"/>
      <c r="G94" s="419"/>
      <c r="H94" s="476"/>
      <c r="I94" s="475"/>
      <c r="J94" s="475"/>
      <c r="K94" s="37"/>
      <c r="L94" s="37"/>
      <c r="M94" s="9"/>
    </row>
    <row r="95" customFormat="false" ht="100.5" hidden="false" customHeight="true" outlineLevel="0" collapsed="false">
      <c r="B95" s="474" t="n">
        <v>93</v>
      </c>
      <c r="C95" s="9"/>
      <c r="D95" s="48"/>
      <c r="E95" s="48"/>
      <c r="F95" s="419"/>
      <c r="G95" s="419"/>
      <c r="H95" s="476"/>
      <c r="I95" s="475"/>
      <c r="J95" s="475"/>
      <c r="K95" s="37"/>
      <c r="L95" s="37"/>
      <c r="M95" s="7"/>
      <c r="R95" s="342"/>
    </row>
    <row r="96" customFormat="false" ht="78" hidden="false" customHeight="true" outlineLevel="0" collapsed="false">
      <c r="B96" s="474" t="n">
        <v>94</v>
      </c>
      <c r="C96" s="9"/>
      <c r="D96" s="48"/>
      <c r="E96" s="48"/>
      <c r="F96" s="419"/>
      <c r="G96" s="419"/>
      <c r="H96" s="476"/>
      <c r="I96" s="475"/>
      <c r="J96" s="475"/>
      <c r="K96" s="37"/>
      <c r="L96" s="37"/>
      <c r="M96" s="481"/>
    </row>
    <row r="97" customFormat="false" ht="78" hidden="false" customHeight="true" outlineLevel="0" collapsed="false">
      <c r="B97" s="474" t="n">
        <v>95</v>
      </c>
      <c r="C97" s="9"/>
      <c r="D97" s="48"/>
      <c r="E97" s="48"/>
      <c r="F97" s="419"/>
      <c r="G97" s="419"/>
      <c r="H97" s="476"/>
      <c r="I97" s="475"/>
      <c r="J97" s="475"/>
      <c r="K97" s="37"/>
      <c r="L97" s="37"/>
      <c r="M97" s="481"/>
      <c r="R97" s="342"/>
    </row>
    <row r="98" customFormat="false" ht="78" hidden="false" customHeight="true" outlineLevel="0" collapsed="false">
      <c r="B98" s="474" t="n">
        <v>96</v>
      </c>
      <c r="C98" s="9"/>
      <c r="D98" s="48"/>
      <c r="E98" s="48"/>
      <c r="F98" s="419"/>
      <c r="G98" s="419"/>
      <c r="H98" s="476"/>
      <c r="I98" s="475"/>
      <c r="J98" s="475"/>
      <c r="K98" s="37"/>
      <c r="L98" s="37"/>
      <c r="M98" s="9"/>
    </row>
    <row r="99" customFormat="false" ht="69.75" hidden="false" customHeight="true" outlineLevel="0" collapsed="false">
      <c r="B99" s="474" t="n">
        <v>97</v>
      </c>
      <c r="C99" s="9"/>
      <c r="D99" s="48"/>
      <c r="E99" s="48"/>
      <c r="F99" s="419"/>
      <c r="G99" s="419"/>
      <c r="H99" s="476"/>
      <c r="I99" s="475"/>
      <c r="J99" s="475"/>
      <c r="K99" s="37"/>
      <c r="L99" s="37"/>
      <c r="M99" s="481"/>
      <c r="R99" s="342"/>
    </row>
    <row r="100" customFormat="false" ht="69.75" hidden="false" customHeight="true" outlineLevel="0" collapsed="false">
      <c r="B100" s="474" t="n">
        <v>98</v>
      </c>
      <c r="C100" s="9"/>
      <c r="D100" s="48"/>
      <c r="E100" s="48"/>
      <c r="F100" s="419"/>
      <c r="G100" s="419"/>
      <c r="H100" s="476"/>
      <c r="I100" s="475"/>
      <c r="J100" s="475"/>
      <c r="K100" s="37"/>
      <c r="L100" s="37"/>
      <c r="M100" s="481"/>
    </row>
    <row r="101" customFormat="false" ht="69.75" hidden="false" customHeight="true" outlineLevel="0" collapsed="false">
      <c r="B101" s="474" t="n">
        <v>99</v>
      </c>
      <c r="C101" s="9"/>
      <c r="D101" s="48"/>
      <c r="E101" s="48"/>
      <c r="F101" s="419"/>
      <c r="G101" s="419"/>
      <c r="H101" s="476"/>
      <c r="I101" s="475"/>
      <c r="J101" s="475"/>
      <c r="K101" s="37"/>
      <c r="L101" s="37"/>
      <c r="M101" s="481"/>
    </row>
    <row r="102" customFormat="false" ht="78" hidden="false" customHeight="true" outlineLevel="0" collapsed="false">
      <c r="B102" s="474" t="n">
        <v>100</v>
      </c>
      <c r="C102" s="9"/>
      <c r="D102" s="48"/>
      <c r="E102" s="48"/>
      <c r="F102" s="419"/>
      <c r="G102" s="419"/>
      <c r="H102" s="476"/>
      <c r="I102" s="475"/>
      <c r="J102" s="475"/>
      <c r="K102" s="37"/>
      <c r="L102" s="37"/>
      <c r="M102" s="9"/>
    </row>
    <row r="103" customFormat="false" ht="78" hidden="false" customHeight="true" outlineLevel="0" collapsed="false">
      <c r="B103" s="474" t="n">
        <v>101</v>
      </c>
      <c r="C103" s="9"/>
      <c r="D103" s="48"/>
      <c r="E103" s="48"/>
      <c r="F103" s="419"/>
      <c r="G103" s="419"/>
      <c r="H103" s="476"/>
      <c r="I103" s="475"/>
      <c r="J103" s="475"/>
      <c r="K103" s="37"/>
      <c r="L103" s="37"/>
      <c r="M103" s="9"/>
    </row>
    <row r="104" customFormat="false" ht="78" hidden="false" customHeight="true" outlineLevel="0" collapsed="false">
      <c r="B104" s="474" t="n">
        <v>102</v>
      </c>
      <c r="C104" s="9"/>
      <c r="D104" s="48"/>
      <c r="E104" s="48"/>
      <c r="F104" s="419"/>
      <c r="G104" s="419"/>
      <c r="H104" s="476"/>
      <c r="I104" s="475"/>
      <c r="J104" s="475"/>
      <c r="K104" s="37"/>
      <c r="L104" s="37"/>
      <c r="M104" s="9"/>
    </row>
    <row r="105" customFormat="false" ht="56.25" hidden="false" customHeight="true" outlineLevel="0" collapsed="false">
      <c r="B105" s="474" t="n">
        <v>103</v>
      </c>
      <c r="C105" s="482"/>
      <c r="D105" s="48"/>
      <c r="E105" s="48"/>
      <c r="F105" s="419"/>
      <c r="G105" s="419"/>
      <c r="H105" s="476"/>
      <c r="I105" s="475"/>
      <c r="J105" s="475"/>
      <c r="K105" s="37"/>
      <c r="L105" s="37"/>
      <c r="M105" s="481"/>
    </row>
    <row r="106" customFormat="false" ht="56.25" hidden="false" customHeight="true" outlineLevel="0" collapsed="false">
      <c r="B106" s="474" t="n">
        <v>104</v>
      </c>
      <c r="C106" s="482"/>
      <c r="D106" s="48"/>
      <c r="E106" s="479"/>
      <c r="F106" s="419"/>
      <c r="G106" s="419"/>
      <c r="H106" s="476"/>
      <c r="I106" s="475"/>
      <c r="J106" s="475"/>
      <c r="K106" s="37"/>
      <c r="L106" s="37"/>
      <c r="M106" s="481"/>
    </row>
    <row r="107" customFormat="false" ht="56.25" hidden="false" customHeight="true" outlineLevel="0" collapsed="false">
      <c r="B107" s="474" t="n">
        <v>105</v>
      </c>
      <c r="C107" s="482"/>
      <c r="D107" s="48"/>
      <c r="E107" s="479"/>
      <c r="F107" s="419"/>
      <c r="G107" s="419"/>
      <c r="H107" s="476"/>
      <c r="I107" s="475"/>
      <c r="J107" s="475"/>
      <c r="K107" s="37"/>
      <c r="L107" s="37"/>
      <c r="M107" s="481"/>
    </row>
    <row r="108" customFormat="false" ht="56.25" hidden="false" customHeight="true" outlineLevel="0" collapsed="false">
      <c r="B108" s="474" t="n">
        <v>106</v>
      </c>
      <c r="C108" s="482"/>
      <c r="D108" s="48"/>
      <c r="E108" s="48"/>
      <c r="F108" s="419"/>
      <c r="G108" s="419"/>
      <c r="H108" s="476"/>
      <c r="I108" s="475"/>
      <c r="J108" s="475"/>
      <c r="K108" s="37"/>
      <c r="L108" s="37"/>
      <c r="M108" s="481"/>
    </row>
    <row r="109" customFormat="false" ht="56.25" hidden="false" customHeight="true" outlineLevel="0" collapsed="false">
      <c r="B109" s="474" t="n">
        <v>107</v>
      </c>
      <c r="C109" s="482"/>
      <c r="D109" s="48"/>
      <c r="E109" s="48"/>
      <c r="F109" s="419"/>
      <c r="G109" s="419"/>
      <c r="H109" s="476"/>
      <c r="I109" s="475"/>
      <c r="J109" s="475"/>
      <c r="K109" s="37"/>
      <c r="L109" s="37"/>
      <c r="M109" s="9"/>
    </row>
    <row r="110" customFormat="false" ht="56.25" hidden="false" customHeight="true" outlineLevel="0" collapsed="false">
      <c r="B110" s="474" t="n">
        <v>108</v>
      </c>
      <c r="C110" s="482"/>
      <c r="D110" s="48"/>
      <c r="E110" s="479"/>
      <c r="F110" s="419"/>
      <c r="G110" s="419"/>
      <c r="H110" s="476"/>
      <c r="I110" s="475"/>
      <c r="J110" s="475"/>
      <c r="K110" s="37"/>
      <c r="L110" s="37"/>
      <c r="M110" s="481"/>
    </row>
    <row r="111" customFormat="false" ht="56.25" hidden="false" customHeight="true" outlineLevel="0" collapsed="false">
      <c r="B111" s="474" t="n">
        <v>109</v>
      </c>
      <c r="C111" s="482"/>
      <c r="D111" s="48"/>
      <c r="E111" s="479"/>
      <c r="F111" s="419"/>
      <c r="G111" s="419"/>
      <c r="H111" s="476"/>
      <c r="I111" s="475"/>
      <c r="J111" s="475"/>
      <c r="K111" s="37"/>
      <c r="L111" s="37"/>
      <c r="M111" s="481"/>
    </row>
    <row r="112" customFormat="false" ht="56.25" hidden="false" customHeight="true" outlineLevel="0" collapsed="false">
      <c r="B112" s="474" t="n">
        <v>110</v>
      </c>
      <c r="C112" s="482"/>
      <c r="D112" s="48"/>
      <c r="E112" s="48"/>
      <c r="F112" s="419"/>
      <c r="G112" s="419"/>
      <c r="H112" s="476"/>
      <c r="I112" s="475"/>
      <c r="J112" s="475"/>
      <c r="K112" s="37"/>
      <c r="L112" s="37"/>
      <c r="M112" s="481"/>
    </row>
    <row r="113" customFormat="false" ht="78" hidden="false" customHeight="true" outlineLevel="0" collapsed="false">
      <c r="B113" s="474" t="n">
        <v>111</v>
      </c>
      <c r="C113" s="482"/>
      <c r="D113" s="48"/>
      <c r="E113" s="479"/>
      <c r="F113" s="419"/>
      <c r="G113" s="419"/>
      <c r="H113" s="476"/>
      <c r="I113" s="475"/>
      <c r="J113" s="475"/>
      <c r="K113" s="455"/>
      <c r="L113" s="37"/>
      <c r="M113" s="481"/>
    </row>
    <row r="114" customFormat="false" ht="78" hidden="false" customHeight="true" outlineLevel="0" collapsed="false">
      <c r="B114" s="474" t="n">
        <v>112</v>
      </c>
      <c r="C114" s="482"/>
      <c r="D114" s="48"/>
      <c r="E114" s="48"/>
      <c r="F114" s="419"/>
      <c r="G114" s="419"/>
      <c r="H114" s="476"/>
      <c r="I114" s="475"/>
      <c r="J114" s="475"/>
      <c r="K114" s="37"/>
      <c r="L114" s="37"/>
      <c r="M114" s="9"/>
    </row>
    <row r="115" customFormat="false" ht="129.75" hidden="false" customHeight="true" outlineLevel="0" collapsed="false">
      <c r="B115" s="474" t="n">
        <v>113</v>
      </c>
      <c r="C115" s="482"/>
      <c r="D115" s="48"/>
      <c r="E115" s="48"/>
      <c r="F115" s="419"/>
      <c r="G115" s="419"/>
      <c r="H115" s="476"/>
      <c r="I115" s="475"/>
      <c r="J115" s="475"/>
      <c r="K115" s="37"/>
      <c r="L115" s="37"/>
      <c r="M115" s="483"/>
    </row>
    <row r="116" customFormat="false" ht="69" hidden="false" customHeight="true" outlineLevel="0" collapsed="false">
      <c r="B116" s="474" t="n">
        <v>114</v>
      </c>
      <c r="C116" s="482"/>
      <c r="D116" s="48"/>
      <c r="E116" s="48"/>
      <c r="F116" s="419"/>
      <c r="G116" s="419"/>
      <c r="H116" s="476"/>
      <c r="I116" s="475"/>
      <c r="J116" s="475"/>
      <c r="K116" s="37"/>
      <c r="L116" s="37"/>
      <c r="M116" s="483"/>
    </row>
    <row r="117" customFormat="false" ht="129.75" hidden="false" customHeight="true" outlineLevel="0" collapsed="false">
      <c r="B117" s="474" t="n">
        <v>115</v>
      </c>
      <c r="C117" s="482"/>
      <c r="D117" s="48"/>
      <c r="E117" s="479"/>
      <c r="F117" s="419"/>
      <c r="G117" s="419"/>
      <c r="H117" s="476"/>
      <c r="I117" s="475"/>
      <c r="J117" s="475"/>
      <c r="K117" s="37"/>
      <c r="L117" s="37"/>
      <c r="M117" s="483"/>
    </row>
    <row r="118" customFormat="false" ht="138" hidden="false" customHeight="true" outlineLevel="0" collapsed="false">
      <c r="B118" s="474" t="n">
        <v>116</v>
      </c>
      <c r="C118" s="482"/>
      <c r="D118" s="48"/>
      <c r="E118" s="479"/>
      <c r="F118" s="419"/>
      <c r="G118" s="419"/>
      <c r="H118" s="476"/>
      <c r="I118" s="475"/>
      <c r="J118" s="475"/>
      <c r="K118" s="37"/>
      <c r="L118" s="37"/>
      <c r="M118" s="7"/>
    </row>
    <row r="119" customFormat="false" ht="66.75" hidden="false" customHeight="true" outlineLevel="0" collapsed="false">
      <c r="B119" s="474" t="n">
        <v>117</v>
      </c>
      <c r="C119" s="482"/>
      <c r="D119" s="48"/>
      <c r="E119" s="48"/>
      <c r="F119" s="419"/>
      <c r="G119" s="419"/>
      <c r="H119" s="476"/>
      <c r="I119" s="475"/>
      <c r="J119" s="475"/>
      <c r="K119" s="37"/>
      <c r="L119" s="37"/>
      <c r="M119" s="7"/>
    </row>
    <row r="120" customFormat="false" ht="121.5" hidden="false" customHeight="true" outlineLevel="0" collapsed="false">
      <c r="B120" s="474" t="n">
        <v>118</v>
      </c>
      <c r="C120" s="482"/>
      <c r="D120" s="48"/>
      <c r="E120" s="479"/>
      <c r="F120" s="419"/>
      <c r="G120" s="419"/>
      <c r="H120" s="476"/>
      <c r="I120" s="475"/>
      <c r="J120" s="475"/>
      <c r="K120" s="37"/>
      <c r="L120" s="37"/>
      <c r="M120" s="7"/>
    </row>
    <row r="121" customFormat="false" ht="212.25" hidden="false" customHeight="true" outlineLevel="0" collapsed="false">
      <c r="B121" s="474" t="n">
        <v>119</v>
      </c>
      <c r="C121" s="482"/>
      <c r="D121" s="48"/>
      <c r="E121" s="48"/>
      <c r="F121" s="419"/>
      <c r="G121" s="419"/>
      <c r="H121" s="476"/>
      <c r="I121" s="475"/>
      <c r="J121" s="475"/>
      <c r="K121" s="37"/>
      <c r="L121" s="37"/>
      <c r="M121" s="7"/>
    </row>
    <row r="122" customFormat="false" ht="93.75" hidden="false" customHeight="true" outlineLevel="0" collapsed="false">
      <c r="B122" s="474" t="n">
        <v>120</v>
      </c>
      <c r="C122" s="482"/>
      <c r="D122" s="48"/>
      <c r="E122" s="48"/>
      <c r="F122" s="419"/>
      <c r="G122" s="419"/>
      <c r="H122" s="476"/>
      <c r="I122" s="475"/>
      <c r="J122" s="475"/>
      <c r="K122" s="37"/>
      <c r="L122" s="37"/>
      <c r="M122" s="7"/>
    </row>
    <row r="123" customFormat="false" ht="78" hidden="false" customHeight="true" outlineLevel="0" collapsed="false">
      <c r="B123" s="474" t="n">
        <v>121</v>
      </c>
      <c r="C123" s="482"/>
      <c r="D123" s="48"/>
      <c r="E123" s="479"/>
      <c r="F123" s="419"/>
      <c r="G123" s="419"/>
      <c r="H123" s="476"/>
      <c r="I123" s="475"/>
      <c r="J123" s="475"/>
      <c r="K123" s="37"/>
      <c r="L123" s="37"/>
      <c r="M123" s="7"/>
    </row>
    <row r="124" customFormat="false" ht="90.75" hidden="false" customHeight="true" outlineLevel="0" collapsed="false">
      <c r="B124" s="474" t="n">
        <v>122</v>
      </c>
      <c r="C124" s="482"/>
      <c r="D124" s="48"/>
      <c r="E124" s="479"/>
      <c r="F124" s="419"/>
      <c r="G124" s="419"/>
      <c r="H124" s="476"/>
      <c r="I124" s="475"/>
      <c r="J124" s="475"/>
      <c r="K124" s="37"/>
      <c r="L124" s="37"/>
      <c r="M124" s="7"/>
    </row>
    <row r="125" customFormat="false" ht="90.75" hidden="false" customHeight="true" outlineLevel="0" collapsed="false">
      <c r="B125" s="474" t="n">
        <v>123</v>
      </c>
      <c r="C125" s="482"/>
      <c r="D125" s="48"/>
      <c r="E125" s="48"/>
      <c r="F125" s="419"/>
      <c r="G125" s="419"/>
      <c r="H125" s="476"/>
      <c r="I125" s="475"/>
      <c r="J125" s="475"/>
      <c r="K125" s="37"/>
      <c r="L125" s="37"/>
      <c r="M125" s="7"/>
    </row>
    <row r="126" customFormat="false" ht="90.75" hidden="false" customHeight="true" outlineLevel="0" collapsed="false">
      <c r="B126" s="474" t="n">
        <v>124</v>
      </c>
      <c r="C126" s="482"/>
      <c r="D126" s="48"/>
      <c r="E126" s="479"/>
      <c r="F126" s="419"/>
      <c r="G126" s="419"/>
      <c r="H126" s="476"/>
      <c r="I126" s="475"/>
      <c r="J126" s="475"/>
      <c r="K126" s="37"/>
      <c r="L126" s="37"/>
      <c r="M126" s="7"/>
    </row>
    <row r="127" customFormat="false" ht="90.75" hidden="false" customHeight="true" outlineLevel="0" collapsed="false">
      <c r="B127" s="474" t="n">
        <v>125</v>
      </c>
      <c r="C127" s="482"/>
      <c r="D127" s="48"/>
      <c r="E127" s="48"/>
      <c r="F127" s="419"/>
      <c r="G127" s="419"/>
      <c r="H127" s="476"/>
      <c r="I127" s="475"/>
      <c r="J127" s="475"/>
      <c r="K127" s="37"/>
      <c r="L127" s="37"/>
      <c r="M127" s="7"/>
    </row>
    <row r="128" customFormat="false" ht="90.75" hidden="false" customHeight="true" outlineLevel="0" collapsed="false">
      <c r="B128" s="474" t="n">
        <v>126</v>
      </c>
      <c r="C128" s="482"/>
      <c r="D128" s="48"/>
      <c r="E128" s="48"/>
      <c r="F128" s="419"/>
      <c r="G128" s="419"/>
      <c r="H128" s="476"/>
      <c r="I128" s="475"/>
      <c r="J128" s="475"/>
      <c r="K128" s="37"/>
      <c r="L128" s="37"/>
      <c r="M128" s="7"/>
    </row>
    <row r="129" customFormat="false" ht="123.75" hidden="false" customHeight="true" outlineLevel="0" collapsed="false">
      <c r="B129" s="474" t="n">
        <v>127</v>
      </c>
      <c r="C129" s="482"/>
      <c r="D129" s="48"/>
      <c r="E129" s="479"/>
      <c r="F129" s="419"/>
      <c r="G129" s="419"/>
      <c r="H129" s="476"/>
      <c r="I129" s="475"/>
      <c r="J129" s="475"/>
      <c r="K129" s="37"/>
      <c r="L129" s="37"/>
      <c r="M129" s="7"/>
    </row>
    <row r="130" customFormat="false" ht="90.75" hidden="false" customHeight="true" outlineLevel="0" collapsed="false">
      <c r="B130" s="474" t="n">
        <v>128</v>
      </c>
      <c r="C130" s="482"/>
      <c r="D130" s="48"/>
      <c r="E130" s="48"/>
      <c r="F130" s="419"/>
      <c r="G130" s="419"/>
      <c r="H130" s="476"/>
      <c r="I130" s="475"/>
      <c r="J130" s="475"/>
      <c r="K130" s="37"/>
      <c r="L130" s="37"/>
      <c r="M130" s="7"/>
    </row>
    <row r="131" customFormat="false" ht="90.75" hidden="false" customHeight="true" outlineLevel="0" collapsed="false">
      <c r="B131" s="474" t="n">
        <v>129</v>
      </c>
      <c r="C131" s="482"/>
      <c r="D131" s="48"/>
      <c r="E131" s="479"/>
      <c r="F131" s="419"/>
      <c r="G131" s="419"/>
      <c r="H131" s="476"/>
      <c r="I131" s="475"/>
      <c r="J131" s="475"/>
      <c r="K131" s="37"/>
      <c r="L131" s="37"/>
      <c r="M131" s="7"/>
    </row>
    <row r="132" customFormat="false" ht="90.75" hidden="false" customHeight="true" outlineLevel="0" collapsed="false">
      <c r="B132" s="10" t="n">
        <v>130</v>
      </c>
      <c r="C132" s="484"/>
      <c r="D132" s="3"/>
      <c r="E132" s="485"/>
      <c r="F132" s="486"/>
      <c r="G132" s="486"/>
      <c r="H132" s="444"/>
      <c r="K132" s="425"/>
      <c r="L132" s="425"/>
      <c r="M132" s="4"/>
    </row>
    <row r="133" customFormat="false" ht="90.75" hidden="false" customHeight="true" outlineLevel="0" collapsed="false">
      <c r="B133" s="10" t="n">
        <v>131</v>
      </c>
      <c r="C133" s="482"/>
      <c r="D133" s="48"/>
      <c r="E133" s="479"/>
      <c r="F133" s="419"/>
      <c r="G133" s="419"/>
      <c r="H133" s="444"/>
      <c r="K133" s="37"/>
      <c r="L133" s="37"/>
      <c r="M133" s="7"/>
    </row>
    <row r="134" customFormat="false" ht="90.75" hidden="false" customHeight="true" outlineLevel="0" collapsed="false"/>
    <row r="135" customFormat="false" ht="90.75" hidden="false" customHeight="true" outlineLevel="0" collapsed="false"/>
    <row r="136" customFormat="false" ht="90.75" hidden="false" customHeight="true" outlineLevel="0" collapsed="false"/>
    <row r="137" customFormat="false" ht="90.75" hidden="false" customHeight="true" outlineLevel="0" collapsed="false"/>
    <row r="138" customFormat="false" ht="90.75" hidden="false" customHeight="true" outlineLevel="0" collapsed="false"/>
    <row r="139" customFormat="false" ht="90.75" hidden="false" customHeight="true" outlineLevel="0" collapsed="false"/>
    <row r="140" customFormat="false" ht="90.75" hidden="false" customHeight="true" outlineLevel="0" collapsed="false"/>
    <row r="141" customFormat="false" ht="90.75" hidden="false" customHeight="true" outlineLevel="0" collapsed="false"/>
    <row r="142" customFormat="false" ht="90.75" hidden="false" customHeight="true" outlineLevel="0" collapsed="false"/>
    <row r="143" customFormat="false" ht="90.75" hidden="false" customHeight="true" outlineLevel="0" collapsed="false"/>
    <row r="144" customFormat="false" ht="90.75" hidden="false" customHeight="true" outlineLevel="0" collapsed="false"/>
    <row r="145" customFormat="false" ht="90.75" hidden="false" customHeight="true" outlineLevel="0" collapsed="false"/>
    <row r="146" customFormat="false" ht="90.75" hidden="false" customHeight="true" outlineLevel="0" collapsed="false"/>
    <row r="147" customFormat="false" ht="90.75" hidden="false" customHeight="true" outlineLevel="0" collapsed="false"/>
    <row r="148" customFormat="false" ht="90.75" hidden="false" customHeight="true" outlineLevel="0" collapsed="false"/>
    <row r="149" customFormat="false" ht="90.75" hidden="false" customHeight="true" outlineLevel="0" collapsed="false"/>
    <row r="150" customFormat="false" ht="90.75" hidden="false" customHeight="true" outlineLevel="0" collapsed="false"/>
    <row r="151" customFormat="false" ht="90.75" hidden="false" customHeight="true" outlineLevel="0" collapsed="false"/>
    <row r="152" customFormat="false" ht="90.75" hidden="false" customHeight="true" outlineLevel="0" collapsed="false"/>
    <row r="153" customFormat="false" ht="90.75" hidden="false" customHeight="true" outlineLevel="0" collapsed="false"/>
    <row r="154" customFormat="false" ht="90.75" hidden="false" customHeight="true" outlineLevel="0" collapsed="false"/>
    <row r="155" customFormat="false" ht="90.75" hidden="false" customHeight="true" outlineLevel="0" collapsed="false"/>
    <row r="156" customFormat="false" ht="90.75" hidden="false" customHeight="true" outlineLevel="0" collapsed="false"/>
    <row r="157" customFormat="false" ht="90.75" hidden="false" customHeight="true" outlineLevel="0" collapsed="false"/>
    <row r="158" customFormat="false" ht="90.75" hidden="false" customHeight="true" outlineLevel="0" collapsed="false"/>
    <row r="159" customFormat="false" ht="90.75" hidden="false" customHeight="true" outlineLevel="0" collapsed="false"/>
    <row r="160" customFormat="false" ht="90.75" hidden="false" customHeight="true" outlineLevel="0" collapsed="false"/>
    <row r="161" customFormat="false" ht="90.75" hidden="false" customHeight="true" outlineLevel="0" collapsed="false"/>
    <row r="162" customFormat="false" ht="90.75" hidden="false" customHeight="true" outlineLevel="0" collapsed="false"/>
    <row r="163" customFormat="false" ht="90.75" hidden="false" customHeight="true" outlineLevel="0" collapsed="false"/>
    <row r="164" customFormat="false" ht="90.75" hidden="false" customHeight="true" outlineLevel="0" collapsed="false"/>
    <row r="165" customFormat="false" ht="90.75" hidden="false" customHeight="true" outlineLevel="0" collapsed="false"/>
  </sheetData>
  <autoFilter ref="B2:M2"/>
  <conditionalFormatting sqref="D3:E20 D22:E24 D28:E60 D62:E1048576">
    <cfRule type="containsText" priority="2" operator="containsText" aboveAverage="0" equalAverage="0" bottom="0" percent="0" rank="0" text="Rechazada" dxfId="68">
      <formula>NOT(ISERROR(SEARCH("Rechazada",D3)))</formula>
    </cfRule>
    <cfRule type="containsText" priority="3" operator="containsText" aboveAverage="0" equalAverage="0" bottom="0" percent="0" rank="0" text="Respondida" dxfId="69">
      <formula>NOT(ISERROR(SEARCH("Respondida",D3)))</formula>
    </cfRule>
    <cfRule type="containsText" priority="4" operator="containsText" aboveAverage="0" equalAverage="0" bottom="0" percent="0" rank="0" text="Pendiente" dxfId="70">
      <formula>NOT(ISERROR(SEARCH("Pendiente",D3)))</formula>
    </cfRule>
    <cfRule type="containsText" priority="5" operator="containsText" aboveAverage="0" equalAverage="0" bottom="0" percent="0" rank="0" text="Cerrada" dxfId="71">
      <formula>NOT(ISERROR(SEARCH("Cerrada",D3)))</formula>
    </cfRule>
  </conditionalFormatting>
  <printOptions headings="false" gridLines="false" gridLinesSet="true" horizontalCentered="false" verticalCentered="false"/>
  <pageMargins left="0.25" right="0.25" top="0.75" bottom="0.75"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M62"/>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8" ySplit="3" topLeftCell="Z4" activePane="bottomRight" state="frozen"/>
      <selection pane="topLeft" activeCell="A1" activeCellId="0" sqref="A1"/>
      <selection pane="topRight" activeCell="Z1" activeCellId="0" sqref="Z1"/>
      <selection pane="bottomLeft" activeCell="A4" activeCellId="0" sqref="A4"/>
      <selection pane="bottomRight" activeCell="G1" activeCellId="0" sqref="G1"/>
    </sheetView>
  </sheetViews>
  <sheetFormatPr defaultColWidth="12.57421875" defaultRowHeight="15" zeroHeight="false" outlineLevelRow="0" outlineLevelCol="0"/>
  <cols>
    <col collapsed="false" customWidth="true" hidden="false" outlineLevel="0" max="1" min="1" style="487" width="14.71"/>
    <col collapsed="false" customWidth="true" hidden="false" outlineLevel="0" max="2" min="2" style="487" width="10.71"/>
    <col collapsed="false" customWidth="true" hidden="false" outlineLevel="0" max="3" min="3" style="0" width="18.43"/>
    <col collapsed="false" customWidth="true" hidden="false" outlineLevel="0" max="4" min="4" style="0" width="4.29"/>
    <col collapsed="false" customWidth="true" hidden="false" outlineLevel="0" max="5" min="5" style="487" width="42.57"/>
    <col collapsed="false" customWidth="true" hidden="false" outlineLevel="0" max="6" min="6" style="488" width="23.72"/>
    <col collapsed="false" customWidth="true" hidden="false" outlineLevel="0" max="7" min="7" style="488" width="22"/>
    <col collapsed="false" customWidth="true" hidden="false" outlineLevel="0" max="8" min="8" style="488" width="23.72"/>
    <col collapsed="false" customWidth="true" hidden="false" outlineLevel="0" max="9" min="9" style="487" width="9.86"/>
    <col collapsed="false" customWidth="true" hidden="false" outlineLevel="0" max="10" min="10" style="487" width="11.28"/>
    <col collapsed="false" customWidth="true" hidden="false" outlineLevel="0" max="11" min="11" style="487" width="11.15"/>
    <col collapsed="false" customWidth="true" hidden="false" outlineLevel="0" max="12" min="12" style="487" width="23.43"/>
    <col collapsed="false" customWidth="true" hidden="false" outlineLevel="0" max="13" min="13" style="487" width="15.72"/>
    <col collapsed="false" customWidth="true" hidden="false" outlineLevel="0" max="14" min="14" style="487" width="15"/>
    <col collapsed="false" customWidth="true" hidden="false" outlineLevel="0" max="15" min="15" style="487" width="47.43"/>
    <col collapsed="false" customWidth="true" hidden="false" outlineLevel="0" max="16" min="16" style="487" width="73.43"/>
    <col collapsed="false" customWidth="true" hidden="false" outlineLevel="0" max="17" min="17" style="487" width="34.57"/>
    <col collapsed="false" customWidth="true" hidden="false" outlineLevel="0" max="18" min="18" style="487" width="17"/>
    <col collapsed="false" customWidth="true" hidden="false" outlineLevel="0" max="19" min="19" style="487" width="20.43"/>
    <col collapsed="false" customWidth="true" hidden="false" outlineLevel="0" max="21" min="20" style="487" width="13.57"/>
    <col collapsed="false" customWidth="true" hidden="false" outlineLevel="0" max="22" min="22" style="487" width="17"/>
    <col collapsed="false" customWidth="true" hidden="false" outlineLevel="0" max="23" min="23" style="487" width="20.43"/>
    <col collapsed="false" customWidth="true" hidden="false" outlineLevel="0" max="25" min="24" style="487" width="13.57"/>
    <col collapsed="false" customWidth="true" hidden="false" outlineLevel="0" max="26" min="26" style="487" width="15"/>
    <col collapsed="false" customWidth="true" hidden="false" outlineLevel="0" max="27" min="27" style="487" width="12.72"/>
    <col collapsed="false" customWidth="true" hidden="false" outlineLevel="0" max="28" min="28" style="487" width="14.86"/>
    <col collapsed="false" customWidth="true" hidden="false" outlineLevel="0" max="29" min="29" style="487" width="16.57"/>
    <col collapsed="false" customWidth="true" hidden="false" outlineLevel="0" max="30" min="30" style="487" width="15.15"/>
    <col collapsed="false" customWidth="true" hidden="false" outlineLevel="0" max="31" min="31" style="487" width="12.72"/>
    <col collapsed="false" customWidth="true" hidden="false" outlineLevel="0" max="32" min="32" style="487" width="18.71"/>
    <col collapsed="false" customWidth="true" hidden="false" outlineLevel="0" max="33" min="33" style="487" width="63.72"/>
    <col collapsed="false" customWidth="true" hidden="false" outlineLevel="0" max="34" min="34" style="489" width="37.29"/>
    <col collapsed="false" customWidth="false" hidden="false" outlineLevel="0" max="38" min="35" style="487" width="12.57"/>
    <col collapsed="false" customWidth="true" hidden="false" outlineLevel="0" max="39" min="39" style="487" width="24"/>
    <col collapsed="false" customWidth="false" hidden="false" outlineLevel="0" max="16384" min="40" style="487" width="12.57"/>
  </cols>
  <sheetData>
    <row r="1" customFormat="false" ht="15" hidden="false" customHeight="true" outlineLevel="0" collapsed="false">
      <c r="F1" s="490" t="s">
        <v>728</v>
      </c>
      <c r="G1" s="491" t="n">
        <v>39042.94</v>
      </c>
      <c r="H1" s="492" t="n">
        <v>45772</v>
      </c>
    </row>
    <row r="2" customFormat="false" ht="19.5" hidden="false" customHeight="true" outlineLevel="0" collapsed="false">
      <c r="C2" s="487"/>
      <c r="D2" s="487"/>
      <c r="E2" s="493"/>
      <c r="F2" s="494" t="s">
        <v>729</v>
      </c>
      <c r="G2" s="495" t="n">
        <v>937.81</v>
      </c>
      <c r="O2" s="493"/>
      <c r="P2" s="493"/>
      <c r="Q2" s="496"/>
      <c r="R2" s="497" t="s">
        <v>730</v>
      </c>
      <c r="S2" s="497"/>
      <c r="T2" s="497"/>
      <c r="U2" s="497"/>
      <c r="V2" s="498" t="s">
        <v>731</v>
      </c>
      <c r="W2" s="498"/>
      <c r="X2" s="498"/>
      <c r="Y2" s="498"/>
      <c r="Z2" s="499" t="s">
        <v>732</v>
      </c>
      <c r="AA2" s="499"/>
      <c r="AB2" s="500" t="s">
        <v>733</v>
      </c>
      <c r="AC2" s="500"/>
      <c r="AD2" s="500" t="s">
        <v>734</v>
      </c>
      <c r="AE2" s="500"/>
      <c r="AF2" s="500"/>
    </row>
    <row r="3" s="488" customFormat="true" ht="26.25" hidden="false" customHeight="false" outlineLevel="0" collapsed="false">
      <c r="A3" s="501" t="s">
        <v>735</v>
      </c>
      <c r="B3" s="501" t="s">
        <v>736</v>
      </c>
      <c r="C3" s="501" t="s">
        <v>737</v>
      </c>
      <c r="D3" s="500" t="s">
        <v>738</v>
      </c>
      <c r="E3" s="502" t="s">
        <v>15</v>
      </c>
      <c r="F3" s="503" t="s">
        <v>66</v>
      </c>
      <c r="G3" s="504" t="s">
        <v>739</v>
      </c>
      <c r="H3" s="505" t="s">
        <v>740</v>
      </c>
      <c r="I3" s="500" t="s">
        <v>741</v>
      </c>
      <c r="J3" s="500" t="s">
        <v>742</v>
      </c>
      <c r="K3" s="500" t="s">
        <v>743</v>
      </c>
      <c r="L3" s="500" t="s">
        <v>744</v>
      </c>
      <c r="M3" s="501" t="s">
        <v>67</v>
      </c>
      <c r="N3" s="501" t="s">
        <v>745</v>
      </c>
      <c r="O3" s="501" t="s">
        <v>746</v>
      </c>
      <c r="P3" s="501" t="s">
        <v>747</v>
      </c>
      <c r="Q3" s="501" t="s">
        <v>748</v>
      </c>
      <c r="R3" s="503" t="s">
        <v>729</v>
      </c>
      <c r="S3" s="503" t="s">
        <v>749</v>
      </c>
      <c r="T3" s="506" t="s">
        <v>750</v>
      </c>
      <c r="U3" s="500" t="s">
        <v>751</v>
      </c>
      <c r="V3" s="503" t="s">
        <v>729</v>
      </c>
      <c r="W3" s="503" t="s">
        <v>749</v>
      </c>
      <c r="X3" s="506" t="s">
        <v>750</v>
      </c>
      <c r="Y3" s="500" t="s">
        <v>751</v>
      </c>
      <c r="Z3" s="499" t="s">
        <v>749</v>
      </c>
      <c r="AA3" s="500" t="s">
        <v>728</v>
      </c>
      <c r="AB3" s="500" t="s">
        <v>749</v>
      </c>
      <c r="AC3" s="500" t="s">
        <v>728</v>
      </c>
      <c r="AD3" s="500" t="s">
        <v>749</v>
      </c>
      <c r="AE3" s="507" t="s">
        <v>728</v>
      </c>
      <c r="AF3" s="507" t="s">
        <v>752</v>
      </c>
      <c r="AG3" s="500" t="s">
        <v>753</v>
      </c>
      <c r="AH3" s="508"/>
      <c r="AL3" s="500" t="s">
        <v>66</v>
      </c>
      <c r="AM3" s="505" t="s">
        <v>740</v>
      </c>
    </row>
    <row r="4" customFormat="false" ht="13.5" hidden="false" customHeight="false" outlineLevel="0" collapsed="false">
      <c r="A4" s="509" t="n">
        <v>128347</v>
      </c>
      <c r="B4" s="510" t="s">
        <v>754</v>
      </c>
      <c r="C4" s="511" t="s">
        <v>755</v>
      </c>
      <c r="D4" s="512"/>
      <c r="E4" s="512" t="s">
        <v>756</v>
      </c>
      <c r="F4" s="513" t="s">
        <v>757</v>
      </c>
      <c r="G4" s="514" t="s">
        <v>52</v>
      </c>
      <c r="H4" s="515"/>
      <c r="I4" s="516"/>
      <c r="J4" s="516"/>
      <c r="K4" s="516"/>
      <c r="L4" s="517"/>
      <c r="M4" s="518" t="s">
        <v>758</v>
      </c>
      <c r="N4" s="519"/>
      <c r="O4" s="520" t="s">
        <v>759</v>
      </c>
      <c r="P4" s="521" t="s">
        <v>760</v>
      </c>
      <c r="Q4" s="522"/>
      <c r="R4" s="523"/>
      <c r="S4" s="524" t="n">
        <v>77649559.488</v>
      </c>
      <c r="T4" s="525"/>
      <c r="U4" s="526" t="n">
        <f aca="false">R4+S4/$G$2+T4*$G$1/$G$2</f>
        <v>82798.8179780553</v>
      </c>
      <c r="V4" s="523" t="n">
        <f aca="false">R4*1.19</f>
        <v>0</v>
      </c>
      <c r="W4" s="524" t="n">
        <f aca="false">S4*1.19</f>
        <v>92402975.79072</v>
      </c>
      <c r="X4" s="525" t="n">
        <f aca="false">T4*1.19</f>
        <v>0</v>
      </c>
      <c r="Y4" s="526" t="n">
        <f aca="false">V4+W4/$G$2+X4*$G$1/$G$2</f>
        <v>98530.5933938858</v>
      </c>
      <c r="Z4" s="527" t="n">
        <v>77649559.488</v>
      </c>
      <c r="AA4" s="528"/>
      <c r="AB4" s="529"/>
      <c r="AC4" s="530"/>
      <c r="AD4" s="524" t="n">
        <v>77649559.488</v>
      </c>
      <c r="AE4" s="531" t="n">
        <v>0</v>
      </c>
      <c r="AF4" s="532" t="n">
        <v>0</v>
      </c>
      <c r="AG4" s="533"/>
      <c r="AL4" s="513" t="s">
        <v>52</v>
      </c>
      <c r="AM4" s="515" t="s">
        <v>761</v>
      </c>
    </row>
    <row r="5" customFormat="false" ht="13.5" hidden="false" customHeight="false" outlineLevel="0" collapsed="false">
      <c r="A5" s="534"/>
      <c r="B5" s="535"/>
      <c r="C5" s="536"/>
      <c r="D5" s="537"/>
      <c r="E5" s="537"/>
      <c r="F5" s="513"/>
      <c r="G5" s="514"/>
      <c r="H5" s="538"/>
      <c r="I5" s="539"/>
      <c r="J5" s="539"/>
      <c r="K5" s="539"/>
      <c r="L5" s="540"/>
      <c r="M5" s="541"/>
      <c r="N5" s="542"/>
      <c r="O5" s="543"/>
      <c r="P5" s="544"/>
      <c r="Q5" s="545"/>
      <c r="R5" s="546"/>
      <c r="S5" s="547"/>
      <c r="T5" s="548"/>
      <c r="U5" s="526"/>
      <c r="V5" s="546"/>
      <c r="W5" s="547"/>
      <c r="X5" s="548"/>
      <c r="Y5" s="526"/>
      <c r="Z5" s="549"/>
      <c r="AA5" s="550"/>
      <c r="AB5" s="551"/>
      <c r="AC5" s="552"/>
      <c r="AD5" s="547"/>
      <c r="AE5" s="553"/>
      <c r="AF5" s="554"/>
      <c r="AG5" s="555"/>
      <c r="AL5" s="556"/>
      <c r="AM5" s="538"/>
    </row>
    <row r="6" customFormat="false" ht="13.5" hidden="false" customHeight="false" outlineLevel="0" collapsed="false">
      <c r="A6" s="534"/>
      <c r="B6" s="535"/>
      <c r="C6" s="536"/>
      <c r="D6" s="537"/>
      <c r="E6" s="537"/>
      <c r="F6" s="513"/>
      <c r="G6" s="514"/>
      <c r="H6" s="538"/>
      <c r="I6" s="539"/>
      <c r="J6" s="539"/>
      <c r="K6" s="539"/>
      <c r="L6" s="540"/>
      <c r="M6" s="541"/>
      <c r="N6" s="542"/>
      <c r="O6" s="543"/>
      <c r="P6" s="544"/>
      <c r="Q6" s="545"/>
      <c r="R6" s="546"/>
      <c r="S6" s="547"/>
      <c r="T6" s="548"/>
      <c r="U6" s="526"/>
      <c r="V6" s="546"/>
      <c r="W6" s="547"/>
      <c r="X6" s="548"/>
      <c r="Y6" s="526"/>
      <c r="Z6" s="549"/>
      <c r="AA6" s="550"/>
      <c r="AB6" s="551"/>
      <c r="AC6" s="552"/>
      <c r="AD6" s="547"/>
      <c r="AE6" s="553"/>
      <c r="AF6" s="554"/>
      <c r="AG6" s="555"/>
      <c r="AL6" s="556"/>
      <c r="AM6" s="538"/>
    </row>
    <row r="7" customFormat="false" ht="13.5" hidden="false" customHeight="false" outlineLevel="0" collapsed="false">
      <c r="A7" s="534"/>
      <c r="B7" s="535"/>
      <c r="C7" s="557"/>
      <c r="D7" s="537"/>
      <c r="E7" s="537"/>
      <c r="F7" s="513"/>
      <c r="G7" s="514"/>
      <c r="H7" s="538"/>
      <c r="I7" s="539"/>
      <c r="J7" s="539"/>
      <c r="K7" s="539"/>
      <c r="L7" s="540"/>
      <c r="M7" s="541"/>
      <c r="N7" s="542"/>
      <c r="O7" s="543"/>
      <c r="P7" s="544"/>
      <c r="Q7" s="545"/>
      <c r="R7" s="546"/>
      <c r="S7" s="547"/>
      <c r="T7" s="548"/>
      <c r="U7" s="526"/>
      <c r="V7" s="546"/>
      <c r="W7" s="547"/>
      <c r="X7" s="548"/>
      <c r="Y7" s="526"/>
      <c r="Z7" s="549"/>
      <c r="AA7" s="550"/>
      <c r="AB7" s="551"/>
      <c r="AC7" s="552"/>
      <c r="AD7" s="547"/>
      <c r="AE7" s="553"/>
      <c r="AF7" s="554"/>
      <c r="AG7" s="555"/>
      <c r="AL7" s="556"/>
      <c r="AM7" s="538"/>
    </row>
    <row r="8" customFormat="false" ht="13.5" hidden="false" customHeight="false" outlineLevel="0" collapsed="false">
      <c r="A8" s="534"/>
      <c r="B8" s="535"/>
      <c r="C8" s="536"/>
      <c r="D8" s="537"/>
      <c r="E8" s="537"/>
      <c r="F8" s="513"/>
      <c r="G8" s="514"/>
      <c r="H8" s="538"/>
      <c r="I8" s="539"/>
      <c r="J8" s="539"/>
      <c r="K8" s="539"/>
      <c r="L8" s="540"/>
      <c r="M8" s="541"/>
      <c r="N8" s="542"/>
      <c r="O8" s="543"/>
      <c r="P8" s="544"/>
      <c r="Q8" s="545"/>
      <c r="R8" s="546"/>
      <c r="S8" s="547"/>
      <c r="T8" s="548"/>
      <c r="U8" s="526"/>
      <c r="V8" s="546"/>
      <c r="W8" s="547"/>
      <c r="X8" s="548"/>
      <c r="Y8" s="526"/>
      <c r="Z8" s="549"/>
      <c r="AA8" s="550"/>
      <c r="AB8" s="551"/>
      <c r="AC8" s="552"/>
      <c r="AD8" s="547"/>
      <c r="AE8" s="553"/>
      <c r="AF8" s="554"/>
      <c r="AG8" s="555"/>
      <c r="AL8" s="556"/>
      <c r="AM8" s="538"/>
    </row>
    <row r="9" customFormat="false" ht="13.5" hidden="false" customHeight="false" outlineLevel="0" collapsed="false">
      <c r="A9" s="534"/>
      <c r="B9" s="535"/>
      <c r="C9" s="557"/>
      <c r="D9" s="537"/>
      <c r="E9" s="537"/>
      <c r="F9" s="513"/>
      <c r="G9" s="514"/>
      <c r="H9" s="538"/>
      <c r="I9" s="539"/>
      <c r="J9" s="558"/>
      <c r="K9" s="539"/>
      <c r="L9" s="540"/>
      <c r="M9" s="541"/>
      <c r="N9" s="542"/>
      <c r="O9" s="543"/>
      <c r="P9" s="544"/>
      <c r="Q9" s="545"/>
      <c r="R9" s="546"/>
      <c r="S9" s="547"/>
      <c r="T9" s="548"/>
      <c r="U9" s="526"/>
      <c r="V9" s="546"/>
      <c r="W9" s="547"/>
      <c r="X9" s="548"/>
      <c r="Y9" s="526"/>
      <c r="Z9" s="549"/>
      <c r="AA9" s="550"/>
      <c r="AB9" s="551"/>
      <c r="AC9" s="552"/>
      <c r="AD9" s="547"/>
      <c r="AE9" s="553"/>
      <c r="AF9" s="554"/>
      <c r="AG9" s="555"/>
      <c r="AL9" s="556"/>
      <c r="AM9" s="538"/>
    </row>
    <row r="10" customFormat="false" ht="13.5" hidden="false" customHeight="true" outlineLevel="0" collapsed="false">
      <c r="A10" s="534"/>
      <c r="B10" s="535"/>
      <c r="C10" s="557"/>
      <c r="D10" s="537"/>
      <c r="E10" s="537"/>
      <c r="F10" s="513"/>
      <c r="G10" s="514"/>
      <c r="H10" s="538"/>
      <c r="I10" s="539"/>
      <c r="J10" s="558"/>
      <c r="K10" s="539"/>
      <c r="L10" s="540"/>
      <c r="M10" s="541"/>
      <c r="N10" s="542"/>
      <c r="O10" s="543"/>
      <c r="P10" s="544"/>
      <c r="Q10" s="545"/>
      <c r="R10" s="546"/>
      <c r="S10" s="547"/>
      <c r="T10" s="548"/>
      <c r="U10" s="526"/>
      <c r="V10" s="546"/>
      <c r="W10" s="547"/>
      <c r="X10" s="548"/>
      <c r="Y10" s="526"/>
      <c r="Z10" s="549"/>
      <c r="AA10" s="550"/>
      <c r="AB10" s="551"/>
      <c r="AC10" s="552"/>
      <c r="AD10" s="547"/>
      <c r="AE10" s="553"/>
      <c r="AF10" s="554"/>
      <c r="AG10" s="555"/>
      <c r="AL10" s="556"/>
      <c r="AM10" s="538"/>
    </row>
    <row r="11" customFormat="false" ht="13.5" hidden="false" customHeight="false" outlineLevel="0" collapsed="false">
      <c r="A11" s="534"/>
      <c r="B11" s="535"/>
      <c r="C11" s="557"/>
      <c r="D11" s="537"/>
      <c r="E11" s="537"/>
      <c r="F11" s="513"/>
      <c r="G11" s="514"/>
      <c r="H11" s="538"/>
      <c r="I11" s="539"/>
      <c r="J11" s="558"/>
      <c r="K11" s="559"/>
      <c r="L11" s="540"/>
      <c r="M11" s="541"/>
      <c r="N11" s="542"/>
      <c r="O11" s="543"/>
      <c r="P11" s="544"/>
      <c r="Q11" s="545"/>
      <c r="R11" s="546"/>
      <c r="S11" s="547"/>
      <c r="T11" s="548"/>
      <c r="U11" s="526"/>
      <c r="V11" s="546"/>
      <c r="W11" s="547"/>
      <c r="X11" s="548"/>
      <c r="Y11" s="526"/>
      <c r="Z11" s="549"/>
      <c r="AA11" s="550"/>
      <c r="AB11" s="551"/>
      <c r="AC11" s="552"/>
      <c r="AD11" s="547"/>
      <c r="AE11" s="553"/>
      <c r="AF11" s="554"/>
      <c r="AG11" s="555"/>
      <c r="AL11" s="556"/>
      <c r="AM11" s="538"/>
    </row>
    <row r="12" customFormat="false" ht="13.5" hidden="false" customHeight="false" outlineLevel="0" collapsed="false">
      <c r="A12" s="534"/>
      <c r="B12" s="535"/>
      <c r="C12" s="536"/>
      <c r="D12" s="537"/>
      <c r="E12" s="537"/>
      <c r="F12" s="513"/>
      <c r="G12" s="514"/>
      <c r="H12" s="538"/>
      <c r="I12" s="539"/>
      <c r="J12" s="558"/>
      <c r="K12" s="559"/>
      <c r="L12" s="540"/>
      <c r="M12" s="541"/>
      <c r="N12" s="542"/>
      <c r="O12" s="543"/>
      <c r="P12" s="544"/>
      <c r="Q12" s="545"/>
      <c r="R12" s="546"/>
      <c r="S12" s="547"/>
      <c r="T12" s="548"/>
      <c r="U12" s="526"/>
      <c r="V12" s="546"/>
      <c r="W12" s="547"/>
      <c r="X12" s="548"/>
      <c r="Y12" s="526"/>
      <c r="Z12" s="549"/>
      <c r="AA12" s="550"/>
      <c r="AB12" s="551"/>
      <c r="AC12" s="552"/>
      <c r="AD12" s="547"/>
      <c r="AE12" s="553"/>
      <c r="AF12" s="554"/>
      <c r="AG12" s="555"/>
      <c r="AL12" s="556"/>
      <c r="AM12" s="538"/>
    </row>
    <row r="13" customFormat="false" ht="12" hidden="false" customHeight="true" outlineLevel="0" collapsed="false">
      <c r="A13" s="534"/>
      <c r="B13" s="535"/>
      <c r="C13" s="557"/>
      <c r="D13" s="537"/>
      <c r="E13" s="537"/>
      <c r="F13" s="513"/>
      <c r="G13" s="514"/>
      <c r="H13" s="538"/>
      <c r="I13" s="539"/>
      <c r="J13" s="558"/>
      <c r="K13" s="558"/>
      <c r="L13" s="540"/>
      <c r="M13" s="541"/>
      <c r="N13" s="542"/>
      <c r="O13" s="543"/>
      <c r="P13" s="544"/>
      <c r="Q13" s="545"/>
      <c r="R13" s="546"/>
      <c r="S13" s="547"/>
      <c r="T13" s="548"/>
      <c r="U13" s="526"/>
      <c r="V13" s="546"/>
      <c r="W13" s="547"/>
      <c r="X13" s="548"/>
      <c r="Y13" s="526"/>
      <c r="Z13" s="549"/>
      <c r="AA13" s="550"/>
      <c r="AB13" s="551"/>
      <c r="AC13" s="552"/>
      <c r="AD13" s="547"/>
      <c r="AE13" s="553"/>
      <c r="AF13" s="554"/>
      <c r="AG13" s="555"/>
      <c r="AL13" s="556"/>
      <c r="AM13" s="538"/>
    </row>
    <row r="14" customFormat="false" ht="12" hidden="false" customHeight="true" outlineLevel="0" collapsed="false">
      <c r="A14" s="534"/>
      <c r="B14" s="535"/>
      <c r="C14" s="536"/>
      <c r="D14" s="537"/>
      <c r="E14" s="537"/>
      <c r="F14" s="513"/>
      <c r="G14" s="514"/>
      <c r="H14" s="538"/>
      <c r="I14" s="539"/>
      <c r="J14" s="558"/>
      <c r="K14" s="559"/>
      <c r="L14" s="540"/>
      <c r="M14" s="541"/>
      <c r="N14" s="542"/>
      <c r="O14" s="543"/>
      <c r="P14" s="544"/>
      <c r="Q14" s="545"/>
      <c r="R14" s="546"/>
      <c r="S14" s="547"/>
      <c r="T14" s="548"/>
      <c r="U14" s="526"/>
      <c r="V14" s="546"/>
      <c r="W14" s="547"/>
      <c r="X14" s="548"/>
      <c r="Y14" s="526"/>
      <c r="Z14" s="549"/>
      <c r="AA14" s="550"/>
      <c r="AB14" s="551"/>
      <c r="AC14" s="552"/>
      <c r="AD14" s="547"/>
      <c r="AE14" s="553"/>
      <c r="AF14" s="554"/>
      <c r="AG14" s="555"/>
      <c r="AL14" s="556"/>
      <c r="AM14" s="538"/>
    </row>
    <row r="15" customFormat="false" ht="12" hidden="false" customHeight="true" outlineLevel="0" collapsed="false">
      <c r="A15" s="534"/>
      <c r="B15" s="535"/>
      <c r="C15" s="536"/>
      <c r="D15" s="537"/>
      <c r="E15" s="537"/>
      <c r="F15" s="513"/>
      <c r="G15" s="514"/>
      <c r="H15" s="538"/>
      <c r="I15" s="539"/>
      <c r="J15" s="558"/>
      <c r="K15" s="559"/>
      <c r="L15" s="540"/>
      <c r="M15" s="541"/>
      <c r="N15" s="542"/>
      <c r="O15" s="543"/>
      <c r="P15" s="544"/>
      <c r="Q15" s="545"/>
      <c r="R15" s="546"/>
      <c r="S15" s="547"/>
      <c r="T15" s="548"/>
      <c r="U15" s="526"/>
      <c r="V15" s="546"/>
      <c r="W15" s="547"/>
      <c r="X15" s="548"/>
      <c r="Y15" s="526"/>
      <c r="Z15" s="549"/>
      <c r="AA15" s="550"/>
      <c r="AB15" s="551"/>
      <c r="AC15" s="552"/>
      <c r="AD15" s="547"/>
      <c r="AE15" s="553"/>
      <c r="AF15" s="554"/>
      <c r="AG15" s="555"/>
      <c r="AL15" s="556"/>
      <c r="AM15" s="538"/>
    </row>
    <row r="16" customFormat="false" ht="30.75" hidden="false" customHeight="true" outlineLevel="0" collapsed="false">
      <c r="A16" s="534"/>
      <c r="B16" s="535"/>
      <c r="C16" s="536"/>
      <c r="D16" s="537"/>
      <c r="E16" s="537"/>
      <c r="F16" s="556"/>
      <c r="G16" s="514"/>
      <c r="H16" s="538"/>
      <c r="I16" s="539"/>
      <c r="J16" s="558"/>
      <c r="K16" s="559"/>
      <c r="L16" s="540"/>
      <c r="M16" s="541"/>
      <c r="N16" s="542"/>
      <c r="O16" s="543"/>
      <c r="P16" s="560"/>
      <c r="Q16" s="545"/>
      <c r="R16" s="546"/>
      <c r="S16" s="547"/>
      <c r="T16" s="548"/>
      <c r="U16" s="526"/>
      <c r="V16" s="546"/>
      <c r="W16" s="547"/>
      <c r="X16" s="548"/>
      <c r="Y16" s="526"/>
      <c r="Z16" s="549"/>
      <c r="AA16" s="550"/>
      <c r="AB16" s="551"/>
      <c r="AC16" s="552"/>
      <c r="AD16" s="547"/>
      <c r="AE16" s="553"/>
      <c r="AF16" s="554"/>
      <c r="AG16" s="555"/>
      <c r="AL16" s="556"/>
      <c r="AM16" s="538"/>
    </row>
    <row r="17" customFormat="false" ht="21.75" hidden="false" customHeight="true" outlineLevel="0" collapsed="false">
      <c r="A17" s="534"/>
      <c r="B17" s="535"/>
      <c r="C17" s="536"/>
      <c r="D17" s="537"/>
      <c r="E17" s="537"/>
      <c r="F17" s="513"/>
      <c r="G17" s="514"/>
      <c r="H17" s="538"/>
      <c r="I17" s="539"/>
      <c r="J17" s="558"/>
      <c r="K17" s="559"/>
      <c r="L17" s="540"/>
      <c r="M17" s="541"/>
      <c r="N17" s="542"/>
      <c r="O17" s="543"/>
      <c r="P17" s="561"/>
      <c r="Q17" s="545"/>
      <c r="R17" s="546"/>
      <c r="S17" s="547"/>
      <c r="T17" s="548"/>
      <c r="U17" s="526"/>
      <c r="V17" s="546"/>
      <c r="W17" s="547"/>
      <c r="X17" s="548"/>
      <c r="Y17" s="526"/>
      <c r="Z17" s="549"/>
      <c r="AA17" s="550"/>
      <c r="AB17" s="551"/>
      <c r="AC17" s="552"/>
      <c r="AD17" s="547"/>
      <c r="AE17" s="553"/>
      <c r="AF17" s="554"/>
      <c r="AG17" s="562"/>
      <c r="AL17" s="556"/>
      <c r="AM17" s="538"/>
    </row>
    <row r="18" customFormat="false" ht="12" hidden="false" customHeight="true" outlineLevel="0" collapsed="false">
      <c r="A18" s="534"/>
      <c r="B18" s="535"/>
      <c r="C18" s="536"/>
      <c r="D18" s="537"/>
      <c r="E18" s="537"/>
      <c r="F18" s="513"/>
      <c r="G18" s="514"/>
      <c r="H18" s="538"/>
      <c r="I18" s="539"/>
      <c r="J18" s="558"/>
      <c r="K18" s="539"/>
      <c r="L18" s="540"/>
      <c r="M18" s="541"/>
      <c r="N18" s="542"/>
      <c r="O18" s="543"/>
      <c r="P18" s="544"/>
      <c r="Q18" s="545"/>
      <c r="R18" s="546"/>
      <c r="S18" s="547"/>
      <c r="T18" s="548"/>
      <c r="U18" s="526"/>
      <c r="V18" s="546"/>
      <c r="W18" s="547"/>
      <c r="X18" s="548"/>
      <c r="Y18" s="526"/>
      <c r="Z18" s="549"/>
      <c r="AA18" s="550"/>
      <c r="AB18" s="551"/>
      <c r="AC18" s="552"/>
      <c r="AD18" s="547"/>
      <c r="AE18" s="553"/>
      <c r="AF18" s="554"/>
      <c r="AG18" s="555"/>
      <c r="AL18" s="556"/>
      <c r="AM18" s="538"/>
    </row>
    <row r="19" customFormat="false" ht="12" hidden="false" customHeight="true" outlineLevel="0" collapsed="false">
      <c r="A19" s="534"/>
      <c r="B19" s="535"/>
      <c r="C19" s="536"/>
      <c r="D19" s="537"/>
      <c r="E19" s="537"/>
      <c r="F19" s="513"/>
      <c r="G19" s="514"/>
      <c r="H19" s="538"/>
      <c r="I19" s="539"/>
      <c r="J19" s="539"/>
      <c r="K19" s="539"/>
      <c r="L19" s="540"/>
      <c r="M19" s="541"/>
      <c r="N19" s="542"/>
      <c r="O19" s="543"/>
      <c r="P19" s="544"/>
      <c r="Q19" s="545"/>
      <c r="R19" s="546"/>
      <c r="S19" s="547"/>
      <c r="T19" s="548"/>
      <c r="U19" s="526"/>
      <c r="V19" s="546"/>
      <c r="W19" s="547"/>
      <c r="X19" s="548"/>
      <c r="Y19" s="526"/>
      <c r="Z19" s="549"/>
      <c r="AA19" s="550"/>
      <c r="AB19" s="551"/>
      <c r="AC19" s="552"/>
      <c r="AD19" s="547"/>
      <c r="AE19" s="553"/>
      <c r="AF19" s="554"/>
      <c r="AG19" s="555"/>
      <c r="AL19" s="556"/>
      <c r="AM19" s="538"/>
    </row>
    <row r="20" customFormat="false" ht="12" hidden="false" customHeight="true" outlineLevel="0" collapsed="false">
      <c r="A20" s="534"/>
      <c r="B20" s="535"/>
      <c r="C20" s="536"/>
      <c r="D20" s="537"/>
      <c r="E20" s="537"/>
      <c r="F20" s="513"/>
      <c r="G20" s="514"/>
      <c r="H20" s="538"/>
      <c r="I20" s="539"/>
      <c r="J20" s="558"/>
      <c r="K20" s="558"/>
      <c r="L20" s="540"/>
      <c r="M20" s="541"/>
      <c r="N20" s="542"/>
      <c r="O20" s="543"/>
      <c r="P20" s="544"/>
      <c r="Q20" s="545"/>
      <c r="R20" s="546"/>
      <c r="S20" s="547"/>
      <c r="T20" s="548"/>
      <c r="U20" s="526"/>
      <c r="V20" s="546"/>
      <c r="W20" s="547"/>
      <c r="X20" s="548"/>
      <c r="Y20" s="526"/>
      <c r="Z20" s="549"/>
      <c r="AA20" s="550"/>
      <c r="AB20" s="551"/>
      <c r="AC20" s="552"/>
      <c r="AD20" s="547"/>
      <c r="AE20" s="553"/>
      <c r="AF20" s="554"/>
      <c r="AG20" s="555"/>
      <c r="AL20" s="556"/>
      <c r="AM20" s="538"/>
    </row>
    <row r="21" customFormat="false" ht="13.5" hidden="false" customHeight="false" outlineLevel="0" collapsed="false">
      <c r="A21" s="534"/>
      <c r="B21" s="535"/>
      <c r="C21" s="536"/>
      <c r="D21" s="537"/>
      <c r="E21" s="537"/>
      <c r="F21" s="513"/>
      <c r="G21" s="514"/>
      <c r="H21" s="538"/>
      <c r="I21" s="539"/>
      <c r="J21" s="558"/>
      <c r="K21" s="559"/>
      <c r="L21" s="540"/>
      <c r="M21" s="541"/>
      <c r="N21" s="542"/>
      <c r="O21" s="543"/>
      <c r="P21" s="561"/>
      <c r="Q21" s="545"/>
      <c r="R21" s="546"/>
      <c r="S21" s="547"/>
      <c r="T21" s="548"/>
      <c r="U21" s="526"/>
      <c r="V21" s="546"/>
      <c r="W21" s="547"/>
      <c r="X21" s="548"/>
      <c r="Y21" s="526"/>
      <c r="Z21" s="549"/>
      <c r="AA21" s="550"/>
      <c r="AB21" s="551"/>
      <c r="AC21" s="552"/>
      <c r="AD21" s="547"/>
      <c r="AE21" s="553"/>
      <c r="AF21" s="554"/>
      <c r="AG21" s="555"/>
      <c r="AL21" s="556"/>
      <c r="AM21" s="538"/>
    </row>
    <row r="22" customFormat="false" ht="13.5" hidden="false" customHeight="false" outlineLevel="0" collapsed="false">
      <c r="A22" s="534"/>
      <c r="B22" s="535"/>
      <c r="C22" s="536"/>
      <c r="D22" s="537"/>
      <c r="E22" s="537"/>
      <c r="F22" s="513"/>
      <c r="G22" s="514"/>
      <c r="H22" s="538"/>
      <c r="I22" s="539"/>
      <c r="J22" s="558"/>
      <c r="K22" s="559"/>
      <c r="L22" s="540"/>
      <c r="M22" s="541"/>
      <c r="N22" s="542"/>
      <c r="O22" s="543"/>
      <c r="P22" s="563"/>
      <c r="Q22" s="545"/>
      <c r="R22" s="546"/>
      <c r="S22" s="547"/>
      <c r="T22" s="548"/>
      <c r="U22" s="526"/>
      <c r="V22" s="546"/>
      <c r="W22" s="547"/>
      <c r="X22" s="548"/>
      <c r="Y22" s="526"/>
      <c r="Z22" s="549"/>
      <c r="AA22" s="550"/>
      <c r="AB22" s="551"/>
      <c r="AC22" s="552"/>
      <c r="AD22" s="547"/>
      <c r="AE22" s="553"/>
      <c r="AF22" s="554"/>
      <c r="AG22" s="555"/>
      <c r="AL22" s="556"/>
      <c r="AM22" s="564"/>
    </row>
    <row r="23" customFormat="false" ht="13.5" hidden="false" customHeight="false" outlineLevel="0" collapsed="false">
      <c r="A23" s="534"/>
      <c r="B23" s="535"/>
      <c r="C23" s="536"/>
      <c r="D23" s="537"/>
      <c r="E23" s="537"/>
      <c r="F23" s="556"/>
      <c r="G23" s="514"/>
      <c r="H23" s="565"/>
      <c r="I23" s="539"/>
      <c r="J23" s="558"/>
      <c r="K23" s="559"/>
      <c r="L23" s="540"/>
      <c r="M23" s="541"/>
      <c r="N23" s="542"/>
      <c r="O23" s="543"/>
      <c r="P23" s="560"/>
      <c r="Q23" s="545"/>
      <c r="R23" s="546"/>
      <c r="S23" s="547"/>
      <c r="T23" s="548"/>
      <c r="U23" s="526"/>
      <c r="V23" s="546"/>
      <c r="W23" s="547"/>
      <c r="X23" s="548"/>
      <c r="Y23" s="526"/>
      <c r="Z23" s="549"/>
      <c r="AA23" s="550"/>
      <c r="AB23" s="551"/>
      <c r="AC23" s="552"/>
      <c r="AD23" s="547"/>
      <c r="AE23" s="553"/>
      <c r="AF23" s="554"/>
      <c r="AG23" s="555"/>
      <c r="AL23" s="556"/>
      <c r="AM23" s="538"/>
    </row>
    <row r="24" customFormat="false" ht="25.5" hidden="false" customHeight="true" outlineLevel="0" collapsed="false">
      <c r="A24" s="534"/>
      <c r="B24" s="535"/>
      <c r="C24" s="536"/>
      <c r="D24" s="537"/>
      <c r="E24" s="537"/>
      <c r="F24" s="513"/>
      <c r="G24" s="514"/>
      <c r="H24" s="538"/>
      <c r="I24" s="539"/>
      <c r="J24" s="558"/>
      <c r="K24" s="559"/>
      <c r="L24" s="540"/>
      <c r="M24" s="541"/>
      <c r="N24" s="542"/>
      <c r="O24" s="543"/>
      <c r="P24" s="544"/>
      <c r="Q24" s="545"/>
      <c r="R24" s="546"/>
      <c r="S24" s="547"/>
      <c r="T24" s="548"/>
      <c r="U24" s="526"/>
      <c r="V24" s="546"/>
      <c r="W24" s="547"/>
      <c r="X24" s="548"/>
      <c r="Y24" s="526"/>
      <c r="Z24" s="549"/>
      <c r="AA24" s="550"/>
      <c r="AB24" s="551"/>
      <c r="AC24" s="552"/>
      <c r="AD24" s="547"/>
      <c r="AE24" s="553"/>
      <c r="AF24" s="554"/>
      <c r="AG24" s="555"/>
      <c r="AL24" s="556"/>
      <c r="AM24" s="538"/>
    </row>
    <row r="25" s="488" customFormat="true" ht="13.5" hidden="false" customHeight="false" outlineLevel="0" collapsed="false">
      <c r="A25" s="566"/>
      <c r="B25" s="535"/>
      <c r="C25" s="536"/>
      <c r="D25" s="537"/>
      <c r="E25" s="537"/>
      <c r="F25" s="556"/>
      <c r="G25" s="514"/>
      <c r="H25" s="538"/>
      <c r="I25" s="539"/>
      <c r="J25" s="558"/>
      <c r="K25" s="559"/>
      <c r="L25" s="540"/>
      <c r="M25" s="541"/>
      <c r="N25" s="542"/>
      <c r="O25" s="543"/>
      <c r="P25" s="544"/>
      <c r="Q25" s="567"/>
      <c r="R25" s="568"/>
      <c r="S25" s="569"/>
      <c r="T25" s="570"/>
      <c r="U25" s="526"/>
      <c r="V25" s="546"/>
      <c r="W25" s="547"/>
      <c r="X25" s="548"/>
      <c r="Y25" s="526"/>
      <c r="Z25" s="571"/>
      <c r="AA25" s="572"/>
      <c r="AB25" s="573"/>
      <c r="AC25" s="574"/>
      <c r="AD25" s="569"/>
      <c r="AE25" s="575"/>
      <c r="AF25" s="576"/>
      <c r="AG25" s="577"/>
      <c r="AH25" s="578"/>
      <c r="AL25" s="556"/>
      <c r="AM25" s="538"/>
    </row>
    <row r="26" customFormat="false" ht="13.5" hidden="false" customHeight="false" outlineLevel="0" collapsed="false">
      <c r="A26" s="534"/>
      <c r="B26" s="535"/>
      <c r="C26" s="557"/>
      <c r="D26" s="537"/>
      <c r="E26" s="537"/>
      <c r="F26" s="513"/>
      <c r="G26" s="514"/>
      <c r="H26" s="538"/>
      <c r="I26" s="539"/>
      <c r="J26" s="558"/>
      <c r="K26" s="559"/>
      <c r="L26" s="540"/>
      <c r="M26" s="541"/>
      <c r="N26" s="542"/>
      <c r="O26" s="543"/>
      <c r="P26" s="560"/>
      <c r="Q26" s="545"/>
      <c r="R26" s="546"/>
      <c r="S26" s="547"/>
      <c r="T26" s="548"/>
      <c r="U26" s="526"/>
      <c r="V26" s="546"/>
      <c r="W26" s="547"/>
      <c r="X26" s="548"/>
      <c r="Y26" s="526"/>
      <c r="Z26" s="549"/>
      <c r="AA26" s="550"/>
      <c r="AB26" s="551"/>
      <c r="AC26" s="552"/>
      <c r="AD26" s="547"/>
      <c r="AE26" s="553"/>
      <c r="AF26" s="554"/>
      <c r="AG26" s="555"/>
      <c r="AL26" s="556"/>
      <c r="AM26" s="538"/>
    </row>
    <row r="27" customFormat="false" ht="13.5" hidden="false" customHeight="false" outlineLevel="0" collapsed="false">
      <c r="A27" s="534"/>
      <c r="B27" s="535"/>
      <c r="C27" s="536"/>
      <c r="D27" s="537"/>
      <c r="E27" s="537"/>
      <c r="F27" s="513"/>
      <c r="G27" s="514"/>
      <c r="H27" s="538"/>
      <c r="I27" s="539"/>
      <c r="J27" s="558"/>
      <c r="K27" s="559"/>
      <c r="L27" s="540"/>
      <c r="M27" s="541"/>
      <c r="N27" s="542"/>
      <c r="O27" s="543"/>
      <c r="P27" s="560"/>
      <c r="Q27" s="545"/>
      <c r="R27" s="546"/>
      <c r="S27" s="547"/>
      <c r="T27" s="548"/>
      <c r="U27" s="526"/>
      <c r="V27" s="546"/>
      <c r="W27" s="547"/>
      <c r="X27" s="548"/>
      <c r="Y27" s="526"/>
      <c r="Z27" s="549"/>
      <c r="AA27" s="550"/>
      <c r="AB27" s="551"/>
      <c r="AC27" s="552"/>
      <c r="AD27" s="547"/>
      <c r="AE27" s="553"/>
      <c r="AF27" s="554"/>
      <c r="AG27" s="555"/>
      <c r="AL27" s="556"/>
      <c r="AM27" s="538"/>
    </row>
    <row r="28" customFormat="false" ht="13.5" hidden="false" customHeight="false" outlineLevel="0" collapsed="false">
      <c r="A28" s="534"/>
      <c r="B28" s="535"/>
      <c r="C28" s="536"/>
      <c r="D28" s="537"/>
      <c r="E28" s="537"/>
      <c r="F28" s="556"/>
      <c r="G28" s="514"/>
      <c r="H28" s="538"/>
      <c r="I28" s="539"/>
      <c r="J28" s="558"/>
      <c r="K28" s="559"/>
      <c r="L28" s="540"/>
      <c r="M28" s="541"/>
      <c r="N28" s="542"/>
      <c r="O28" s="543"/>
      <c r="P28" s="544"/>
      <c r="Q28" s="545"/>
      <c r="R28" s="546"/>
      <c r="S28" s="547"/>
      <c r="T28" s="548"/>
      <c r="U28" s="526"/>
      <c r="V28" s="546"/>
      <c r="W28" s="547"/>
      <c r="X28" s="548"/>
      <c r="Y28" s="526"/>
      <c r="Z28" s="549"/>
      <c r="AA28" s="550"/>
      <c r="AB28" s="551"/>
      <c r="AC28" s="552"/>
      <c r="AD28" s="547"/>
      <c r="AE28" s="553"/>
      <c r="AF28" s="554"/>
      <c r="AG28" s="555"/>
      <c r="AL28" s="556"/>
      <c r="AM28" s="538"/>
    </row>
    <row r="29" customFormat="false" ht="13.5" hidden="false" customHeight="false" outlineLevel="0" collapsed="false">
      <c r="A29" s="534"/>
      <c r="B29" s="535"/>
      <c r="C29" s="536"/>
      <c r="D29" s="537"/>
      <c r="E29" s="537"/>
      <c r="F29" s="513"/>
      <c r="G29" s="514"/>
      <c r="H29" s="538"/>
      <c r="I29" s="539"/>
      <c r="J29" s="558"/>
      <c r="K29" s="559"/>
      <c r="L29" s="540"/>
      <c r="M29" s="541"/>
      <c r="N29" s="542"/>
      <c r="O29" s="543"/>
      <c r="P29" s="544"/>
      <c r="Q29" s="545"/>
      <c r="R29" s="546"/>
      <c r="S29" s="547"/>
      <c r="T29" s="548"/>
      <c r="U29" s="526"/>
      <c r="V29" s="546"/>
      <c r="W29" s="547"/>
      <c r="X29" s="548"/>
      <c r="Y29" s="526"/>
      <c r="Z29" s="549"/>
      <c r="AA29" s="550"/>
      <c r="AB29" s="551"/>
      <c r="AC29" s="552"/>
      <c r="AD29" s="547"/>
      <c r="AE29" s="553"/>
      <c r="AF29" s="554"/>
      <c r="AG29" s="555"/>
      <c r="AL29" s="556"/>
      <c r="AM29" s="538"/>
    </row>
    <row r="30" customFormat="false" ht="13.5" hidden="false" customHeight="false" outlineLevel="0" collapsed="false">
      <c r="A30" s="534"/>
      <c r="B30" s="535"/>
      <c r="C30" s="536"/>
      <c r="D30" s="537"/>
      <c r="E30" s="537"/>
      <c r="F30" s="556"/>
      <c r="G30" s="514"/>
      <c r="H30" s="538"/>
      <c r="I30" s="539"/>
      <c r="J30" s="579"/>
      <c r="K30" s="559"/>
      <c r="L30" s="540"/>
      <c r="M30" s="541"/>
      <c r="N30" s="542"/>
      <c r="O30" s="543"/>
      <c r="P30" s="560"/>
      <c r="Q30" s="545"/>
      <c r="R30" s="546"/>
      <c r="S30" s="547"/>
      <c r="T30" s="548"/>
      <c r="U30" s="526"/>
      <c r="V30" s="546"/>
      <c r="W30" s="547"/>
      <c r="X30" s="548"/>
      <c r="Y30" s="526"/>
      <c r="Z30" s="549"/>
      <c r="AA30" s="550"/>
      <c r="AB30" s="551"/>
      <c r="AC30" s="552"/>
      <c r="AD30" s="547"/>
      <c r="AE30" s="553"/>
      <c r="AF30" s="554"/>
      <c r="AG30" s="555"/>
      <c r="AL30" s="556"/>
      <c r="AM30" s="538"/>
    </row>
    <row r="31" customFormat="false" ht="13.5" hidden="false" customHeight="false" outlineLevel="0" collapsed="false">
      <c r="A31" s="534"/>
      <c r="B31" s="535"/>
      <c r="C31" s="536"/>
      <c r="D31" s="537"/>
      <c r="E31" s="537"/>
      <c r="F31" s="513"/>
      <c r="G31" s="514"/>
      <c r="H31" s="538"/>
      <c r="I31" s="539"/>
      <c r="J31" s="558"/>
      <c r="K31" s="559"/>
      <c r="L31" s="540"/>
      <c r="M31" s="541"/>
      <c r="N31" s="542"/>
      <c r="O31" s="543"/>
      <c r="P31" s="544"/>
      <c r="Q31" s="545"/>
      <c r="R31" s="546"/>
      <c r="S31" s="547"/>
      <c r="T31" s="548"/>
      <c r="U31" s="526"/>
      <c r="V31" s="546"/>
      <c r="W31" s="547"/>
      <c r="X31" s="548"/>
      <c r="Y31" s="526"/>
      <c r="Z31" s="549"/>
      <c r="AA31" s="550"/>
      <c r="AB31" s="551"/>
      <c r="AC31" s="552"/>
      <c r="AD31" s="547"/>
      <c r="AE31" s="553"/>
      <c r="AF31" s="554"/>
      <c r="AG31" s="555"/>
      <c r="AL31" s="556"/>
      <c r="AM31" s="564"/>
    </row>
    <row r="32" customFormat="false" ht="13.5" hidden="false" customHeight="false" outlineLevel="0" collapsed="false">
      <c r="A32" s="534"/>
      <c r="B32" s="535"/>
      <c r="C32" s="536"/>
      <c r="D32" s="537"/>
      <c r="E32" s="537"/>
      <c r="F32" s="556"/>
      <c r="G32" s="514"/>
      <c r="H32" s="538"/>
      <c r="I32" s="539"/>
      <c r="J32" s="558"/>
      <c r="K32" s="559"/>
      <c r="L32" s="540"/>
      <c r="M32" s="541"/>
      <c r="N32" s="542"/>
      <c r="O32" s="543"/>
      <c r="P32" s="560"/>
      <c r="Q32" s="545"/>
      <c r="R32" s="546"/>
      <c r="S32" s="547"/>
      <c r="T32" s="548"/>
      <c r="U32" s="526"/>
      <c r="V32" s="546"/>
      <c r="W32" s="547"/>
      <c r="X32" s="548"/>
      <c r="Y32" s="526"/>
      <c r="Z32" s="549"/>
      <c r="AA32" s="550"/>
      <c r="AB32" s="551"/>
      <c r="AC32" s="552"/>
      <c r="AD32" s="547"/>
      <c r="AE32" s="553"/>
      <c r="AF32" s="554"/>
      <c r="AG32" s="555"/>
      <c r="AL32" s="556"/>
      <c r="AM32" s="538"/>
    </row>
    <row r="33" customFormat="false" ht="13.5" hidden="false" customHeight="false" outlineLevel="0" collapsed="false">
      <c r="A33" s="534"/>
      <c r="B33" s="535"/>
      <c r="C33" s="536"/>
      <c r="D33" s="537"/>
      <c r="E33" s="537"/>
      <c r="F33" s="513"/>
      <c r="G33" s="514"/>
      <c r="H33" s="538"/>
      <c r="I33" s="539"/>
      <c r="J33" s="558"/>
      <c r="K33" s="559"/>
      <c r="L33" s="540"/>
      <c r="M33" s="541"/>
      <c r="N33" s="542"/>
      <c r="O33" s="543"/>
      <c r="P33" s="544"/>
      <c r="Q33" s="545"/>
      <c r="R33" s="546"/>
      <c r="S33" s="547"/>
      <c r="T33" s="548"/>
      <c r="U33" s="526"/>
      <c r="V33" s="546"/>
      <c r="W33" s="547"/>
      <c r="X33" s="548"/>
      <c r="Y33" s="526"/>
      <c r="Z33" s="549"/>
      <c r="AA33" s="550"/>
      <c r="AB33" s="551"/>
      <c r="AC33" s="552"/>
      <c r="AD33" s="547"/>
      <c r="AE33" s="553"/>
      <c r="AF33" s="554"/>
      <c r="AG33" s="555"/>
      <c r="AL33" s="556"/>
      <c r="AM33" s="538"/>
    </row>
    <row r="34" customFormat="false" ht="13.5" hidden="false" customHeight="false" outlineLevel="0" collapsed="false">
      <c r="A34" s="534"/>
      <c r="B34" s="535"/>
      <c r="C34" s="536"/>
      <c r="D34" s="537"/>
      <c r="E34" s="537"/>
      <c r="F34" s="556"/>
      <c r="G34" s="514"/>
      <c r="H34" s="538"/>
      <c r="I34" s="539"/>
      <c r="J34" s="558"/>
      <c r="K34" s="559"/>
      <c r="L34" s="540"/>
      <c r="M34" s="541"/>
      <c r="N34" s="542"/>
      <c r="O34" s="543"/>
      <c r="P34" s="560"/>
      <c r="Q34" s="545"/>
      <c r="R34" s="546"/>
      <c r="S34" s="547"/>
      <c r="T34" s="548"/>
      <c r="U34" s="526"/>
      <c r="V34" s="546"/>
      <c r="W34" s="547"/>
      <c r="X34" s="548"/>
      <c r="Y34" s="526"/>
      <c r="Z34" s="549"/>
      <c r="AA34" s="550"/>
      <c r="AB34" s="551"/>
      <c r="AC34" s="552"/>
      <c r="AD34" s="547"/>
      <c r="AE34" s="553"/>
      <c r="AF34" s="554"/>
      <c r="AG34" s="580"/>
      <c r="AL34" s="556"/>
      <c r="AM34" s="538"/>
    </row>
    <row r="35" customFormat="false" ht="13.5" hidden="false" customHeight="false" outlineLevel="0" collapsed="false">
      <c r="A35" s="534"/>
      <c r="B35" s="581"/>
      <c r="C35" s="536"/>
      <c r="D35" s="537"/>
      <c r="E35" s="537"/>
      <c r="F35" s="556"/>
      <c r="G35" s="514"/>
      <c r="H35" s="538"/>
      <c r="I35" s="539"/>
      <c r="J35" s="579"/>
      <c r="K35" s="559"/>
      <c r="L35" s="540"/>
      <c r="M35" s="541"/>
      <c r="N35" s="542"/>
      <c r="O35" s="543"/>
      <c r="P35" s="560"/>
      <c r="Q35" s="545"/>
      <c r="R35" s="546"/>
      <c r="S35" s="547"/>
      <c r="T35" s="548"/>
      <c r="U35" s="526"/>
      <c r="V35" s="546"/>
      <c r="W35" s="547"/>
      <c r="X35" s="548"/>
      <c r="Y35" s="526"/>
      <c r="Z35" s="549"/>
      <c r="AA35" s="550"/>
      <c r="AB35" s="551"/>
      <c r="AC35" s="552"/>
      <c r="AD35" s="547"/>
      <c r="AE35" s="553"/>
      <c r="AF35" s="554"/>
      <c r="AG35" s="555"/>
      <c r="AL35" s="556"/>
      <c r="AM35" s="538"/>
    </row>
    <row r="36" customFormat="false" ht="13.5" hidden="false" customHeight="false" outlineLevel="0" collapsed="false">
      <c r="A36" s="534"/>
      <c r="B36" s="535"/>
      <c r="C36" s="536"/>
      <c r="D36" s="537"/>
      <c r="E36" s="537"/>
      <c r="F36" s="513"/>
      <c r="G36" s="514"/>
      <c r="H36" s="538"/>
      <c r="I36" s="539"/>
      <c r="J36" s="558"/>
      <c r="K36" s="559"/>
      <c r="L36" s="540"/>
      <c r="M36" s="541"/>
      <c r="N36" s="542"/>
      <c r="O36" s="543"/>
      <c r="P36" s="544"/>
      <c r="Q36" s="545"/>
      <c r="R36" s="546"/>
      <c r="S36" s="547"/>
      <c r="T36" s="548"/>
      <c r="U36" s="526"/>
      <c r="V36" s="546"/>
      <c r="W36" s="547"/>
      <c r="X36" s="548"/>
      <c r="Y36" s="526"/>
      <c r="Z36" s="549"/>
      <c r="AA36" s="550"/>
      <c r="AB36" s="551"/>
      <c r="AC36" s="552"/>
      <c r="AD36" s="547"/>
      <c r="AE36" s="553"/>
      <c r="AF36" s="554"/>
      <c r="AG36" s="555"/>
      <c r="AL36" s="556"/>
      <c r="AM36" s="538"/>
    </row>
    <row r="37" customFormat="false" ht="13.5" hidden="false" customHeight="false" outlineLevel="0" collapsed="false">
      <c r="A37" s="534"/>
      <c r="B37" s="535"/>
      <c r="C37" s="536"/>
      <c r="D37" s="537"/>
      <c r="E37" s="537"/>
      <c r="F37" s="513"/>
      <c r="G37" s="514"/>
      <c r="H37" s="538"/>
      <c r="I37" s="539"/>
      <c r="J37" s="558"/>
      <c r="K37" s="559"/>
      <c r="L37" s="540"/>
      <c r="M37" s="541"/>
      <c r="N37" s="542"/>
      <c r="O37" s="543"/>
      <c r="P37" s="544"/>
      <c r="Q37" s="545"/>
      <c r="R37" s="546"/>
      <c r="S37" s="547"/>
      <c r="T37" s="548"/>
      <c r="U37" s="526"/>
      <c r="V37" s="546"/>
      <c r="W37" s="547"/>
      <c r="X37" s="548"/>
      <c r="Y37" s="526"/>
      <c r="Z37" s="549"/>
      <c r="AA37" s="550"/>
      <c r="AB37" s="551"/>
      <c r="AC37" s="552"/>
      <c r="AD37" s="547"/>
      <c r="AE37" s="553"/>
      <c r="AF37" s="554"/>
      <c r="AG37" s="555"/>
      <c r="AL37" s="556"/>
      <c r="AM37" s="538"/>
    </row>
    <row r="38" customFormat="false" ht="13.5" hidden="false" customHeight="false" outlineLevel="0" collapsed="false">
      <c r="A38" s="534"/>
      <c r="B38" s="581"/>
      <c r="C38" s="582"/>
      <c r="D38" s="537"/>
      <c r="E38" s="537"/>
      <c r="F38" s="556"/>
      <c r="G38" s="514"/>
      <c r="H38" s="538"/>
      <c r="I38" s="539"/>
      <c r="J38" s="558"/>
      <c r="K38" s="559"/>
      <c r="L38" s="540"/>
      <c r="M38" s="541"/>
      <c r="N38" s="542"/>
      <c r="O38" s="543"/>
      <c r="P38" s="560"/>
      <c r="Q38" s="545"/>
      <c r="R38" s="546"/>
      <c r="S38" s="547"/>
      <c r="T38" s="548"/>
      <c r="U38" s="526"/>
      <c r="V38" s="546"/>
      <c r="W38" s="547"/>
      <c r="X38" s="548"/>
      <c r="Y38" s="526"/>
      <c r="Z38" s="549"/>
      <c r="AA38" s="550"/>
      <c r="AB38" s="551"/>
      <c r="AC38" s="552"/>
      <c r="AD38" s="547"/>
      <c r="AE38" s="553"/>
      <c r="AF38" s="554"/>
      <c r="AG38" s="555"/>
      <c r="AL38" s="556"/>
      <c r="AM38" s="538"/>
    </row>
    <row r="39" customFormat="false" ht="13.5" hidden="false" customHeight="false" outlineLevel="0" collapsed="false">
      <c r="A39" s="534"/>
      <c r="B39" s="535"/>
      <c r="C39" s="582"/>
      <c r="D39" s="537"/>
      <c r="E39" s="537"/>
      <c r="F39" s="556"/>
      <c r="G39" s="514"/>
      <c r="H39" s="538"/>
      <c r="I39" s="539"/>
      <c r="J39" s="558"/>
      <c r="K39" s="559"/>
      <c r="L39" s="540"/>
      <c r="M39" s="541"/>
      <c r="N39" s="542"/>
      <c r="O39" s="543"/>
      <c r="P39" s="544"/>
      <c r="Q39" s="545"/>
      <c r="R39" s="546"/>
      <c r="S39" s="547"/>
      <c r="T39" s="548"/>
      <c r="U39" s="526"/>
      <c r="V39" s="546"/>
      <c r="W39" s="547"/>
      <c r="X39" s="548"/>
      <c r="Y39" s="526"/>
      <c r="Z39" s="549"/>
      <c r="AA39" s="550"/>
      <c r="AB39" s="551"/>
      <c r="AC39" s="552"/>
      <c r="AD39" s="547"/>
      <c r="AE39" s="553"/>
      <c r="AF39" s="554"/>
      <c r="AG39" s="580"/>
      <c r="AL39" s="556"/>
      <c r="AM39" s="538"/>
    </row>
    <row r="40" customFormat="false" ht="13.5" hidden="false" customHeight="false" outlineLevel="0" collapsed="false">
      <c r="A40" s="534"/>
      <c r="B40" s="535"/>
      <c r="C40" s="582"/>
      <c r="D40" s="537"/>
      <c r="E40" s="537"/>
      <c r="F40" s="513"/>
      <c r="G40" s="514"/>
      <c r="H40" s="538"/>
      <c r="I40" s="539"/>
      <c r="J40" s="558"/>
      <c r="K40" s="559"/>
      <c r="L40" s="540"/>
      <c r="M40" s="541"/>
      <c r="N40" s="542"/>
      <c r="O40" s="543"/>
      <c r="P40" s="544"/>
      <c r="Q40" s="545"/>
      <c r="R40" s="546"/>
      <c r="S40" s="547"/>
      <c r="T40" s="548"/>
      <c r="U40" s="526"/>
      <c r="V40" s="546"/>
      <c r="W40" s="547"/>
      <c r="X40" s="548"/>
      <c r="Y40" s="526"/>
      <c r="Z40" s="549"/>
      <c r="AA40" s="550"/>
      <c r="AB40" s="551"/>
      <c r="AC40" s="552"/>
      <c r="AD40" s="547"/>
      <c r="AE40" s="553"/>
      <c r="AF40" s="554"/>
      <c r="AG40" s="580"/>
      <c r="AL40" s="556"/>
      <c r="AM40" s="538"/>
    </row>
    <row r="41" customFormat="false" ht="13.5" hidden="false" customHeight="false" outlineLevel="0" collapsed="false">
      <c r="A41" s="534"/>
      <c r="B41" s="535"/>
      <c r="C41" s="582"/>
      <c r="D41" s="583"/>
      <c r="E41" s="583"/>
      <c r="F41" s="556"/>
      <c r="G41" s="514"/>
      <c r="H41" s="538"/>
      <c r="I41" s="539"/>
      <c r="J41" s="558"/>
      <c r="K41" s="559"/>
      <c r="L41" s="540"/>
      <c r="M41" s="541"/>
      <c r="N41" s="542"/>
      <c r="O41" s="543"/>
      <c r="P41" s="560"/>
      <c r="Q41" s="545"/>
      <c r="R41" s="546"/>
      <c r="S41" s="547"/>
      <c r="T41" s="548"/>
      <c r="U41" s="526"/>
      <c r="V41" s="546"/>
      <c r="W41" s="547"/>
      <c r="X41" s="548"/>
      <c r="Y41" s="526"/>
      <c r="Z41" s="549"/>
      <c r="AA41" s="550"/>
      <c r="AB41" s="551"/>
      <c r="AC41" s="552"/>
      <c r="AD41" s="547"/>
      <c r="AE41" s="553"/>
      <c r="AF41" s="554"/>
      <c r="AG41" s="555"/>
      <c r="AL41" s="556"/>
      <c r="AM41" s="538"/>
    </row>
    <row r="42" customFormat="false" ht="13.5" hidden="false" customHeight="false" outlineLevel="0" collapsed="false">
      <c r="A42" s="534"/>
      <c r="B42" s="581"/>
      <c r="C42" s="582"/>
      <c r="D42" s="537"/>
      <c r="E42" s="537"/>
      <c r="F42" s="556"/>
      <c r="G42" s="514"/>
      <c r="H42" s="538"/>
      <c r="I42" s="539"/>
      <c r="J42" s="558"/>
      <c r="K42" s="559"/>
      <c r="L42" s="540"/>
      <c r="M42" s="541"/>
      <c r="N42" s="542"/>
      <c r="O42" s="543"/>
      <c r="P42" s="560"/>
      <c r="Q42" s="545"/>
      <c r="R42" s="546"/>
      <c r="S42" s="547"/>
      <c r="T42" s="548"/>
      <c r="U42" s="526"/>
      <c r="V42" s="546"/>
      <c r="W42" s="547"/>
      <c r="X42" s="548"/>
      <c r="Y42" s="526"/>
      <c r="Z42" s="549"/>
      <c r="AA42" s="550"/>
      <c r="AB42" s="551"/>
      <c r="AC42" s="552"/>
      <c r="AD42" s="547"/>
      <c r="AE42" s="553"/>
      <c r="AF42" s="554"/>
      <c r="AG42" s="555"/>
      <c r="AL42" s="556"/>
      <c r="AM42" s="538"/>
    </row>
    <row r="43" customFormat="false" ht="13.5" hidden="false" customHeight="false" outlineLevel="0" collapsed="false">
      <c r="A43" s="584"/>
      <c r="B43" s="535"/>
      <c r="C43" s="582"/>
      <c r="D43" s="537"/>
      <c r="E43" s="537"/>
      <c r="F43" s="513"/>
      <c r="G43" s="514"/>
      <c r="H43" s="538"/>
      <c r="I43" s="539"/>
      <c r="J43" s="558"/>
      <c r="K43" s="559"/>
      <c r="L43" s="540"/>
      <c r="M43" s="541"/>
      <c r="N43" s="542"/>
      <c r="O43" s="543"/>
      <c r="P43" s="544"/>
      <c r="Q43" s="545"/>
      <c r="R43" s="546"/>
      <c r="S43" s="547"/>
      <c r="T43" s="548"/>
      <c r="U43" s="526"/>
      <c r="V43" s="546"/>
      <c r="W43" s="547"/>
      <c r="X43" s="548"/>
      <c r="Y43" s="526"/>
      <c r="Z43" s="549"/>
      <c r="AA43" s="550"/>
      <c r="AB43" s="551"/>
      <c r="AC43" s="552"/>
      <c r="AD43" s="547"/>
      <c r="AE43" s="553"/>
      <c r="AF43" s="554"/>
      <c r="AG43" s="555"/>
      <c r="AL43" s="556"/>
      <c r="AM43" s="538"/>
    </row>
    <row r="44" customFormat="false" ht="13.5" hidden="false" customHeight="false" outlineLevel="0" collapsed="false">
      <c r="A44" s="534"/>
      <c r="B44" s="535"/>
      <c r="C44" s="582"/>
      <c r="D44" s="537"/>
      <c r="E44" s="537"/>
      <c r="F44" s="556"/>
      <c r="G44" s="514"/>
      <c r="H44" s="538"/>
      <c r="I44" s="539"/>
      <c r="J44" s="558"/>
      <c r="K44" s="559"/>
      <c r="L44" s="540"/>
      <c r="M44" s="541"/>
      <c r="N44" s="542"/>
      <c r="O44" s="543"/>
      <c r="P44" s="544"/>
      <c r="Q44" s="545"/>
      <c r="R44" s="546"/>
      <c r="S44" s="547"/>
      <c r="T44" s="548"/>
      <c r="U44" s="526"/>
      <c r="V44" s="546"/>
      <c r="W44" s="547"/>
      <c r="X44" s="548"/>
      <c r="Y44" s="526"/>
      <c r="Z44" s="549"/>
      <c r="AA44" s="550"/>
      <c r="AB44" s="551"/>
      <c r="AC44" s="552"/>
      <c r="AD44" s="547"/>
      <c r="AE44" s="553"/>
      <c r="AF44" s="554"/>
      <c r="AG44" s="555"/>
      <c r="AL44" s="556"/>
      <c r="AM44" s="538"/>
    </row>
    <row r="45" customFormat="false" ht="13.5" hidden="false" customHeight="false" outlineLevel="0" collapsed="false">
      <c r="A45" s="534"/>
      <c r="B45" s="535"/>
      <c r="C45" s="582"/>
      <c r="D45" s="537"/>
      <c r="E45" s="537"/>
      <c r="F45" s="556"/>
      <c r="G45" s="514"/>
      <c r="H45" s="538"/>
      <c r="I45" s="539"/>
      <c r="J45" s="558"/>
      <c r="K45" s="559"/>
      <c r="L45" s="540"/>
      <c r="M45" s="541"/>
      <c r="N45" s="542"/>
      <c r="O45" s="543"/>
      <c r="P45" s="544"/>
      <c r="Q45" s="545"/>
      <c r="R45" s="546"/>
      <c r="S45" s="547"/>
      <c r="T45" s="548"/>
      <c r="U45" s="526"/>
      <c r="V45" s="546"/>
      <c r="W45" s="547"/>
      <c r="X45" s="548"/>
      <c r="Y45" s="526"/>
      <c r="Z45" s="549"/>
      <c r="AA45" s="550"/>
      <c r="AB45" s="551"/>
      <c r="AC45" s="552"/>
      <c r="AD45" s="547"/>
      <c r="AE45" s="553"/>
      <c r="AF45" s="554"/>
      <c r="AG45" s="555"/>
      <c r="AL45" s="556"/>
      <c r="AM45" s="538"/>
    </row>
    <row r="46" customFormat="false" ht="13.5" hidden="false" customHeight="false" outlineLevel="0" collapsed="false">
      <c r="A46" s="534"/>
      <c r="B46" s="535"/>
      <c r="C46" s="582"/>
      <c r="D46" s="537"/>
      <c r="E46" s="537"/>
      <c r="F46" s="556"/>
      <c r="G46" s="514"/>
      <c r="H46" s="538"/>
      <c r="I46" s="539"/>
      <c r="J46" s="558"/>
      <c r="K46" s="559"/>
      <c r="L46" s="540"/>
      <c r="M46" s="541"/>
      <c r="N46" s="542"/>
      <c r="O46" s="543"/>
      <c r="P46" s="544"/>
      <c r="Q46" s="545"/>
      <c r="R46" s="546"/>
      <c r="S46" s="547"/>
      <c r="T46" s="548"/>
      <c r="U46" s="526"/>
      <c r="V46" s="546"/>
      <c r="W46" s="547"/>
      <c r="X46" s="548"/>
      <c r="Y46" s="526"/>
      <c r="Z46" s="549"/>
      <c r="AA46" s="550"/>
      <c r="AB46" s="551"/>
      <c r="AC46" s="552"/>
      <c r="AD46" s="547"/>
      <c r="AE46" s="553"/>
      <c r="AF46" s="554"/>
      <c r="AG46" s="555"/>
      <c r="AL46" s="556"/>
      <c r="AM46" s="538"/>
    </row>
    <row r="47" customFormat="false" ht="13.5" hidden="false" customHeight="false" outlineLevel="0" collapsed="false">
      <c r="A47" s="534"/>
      <c r="B47" s="535"/>
      <c r="C47" s="582"/>
      <c r="D47" s="537"/>
      <c r="E47" s="537"/>
      <c r="F47" s="556"/>
      <c r="G47" s="514"/>
      <c r="H47" s="538"/>
      <c r="I47" s="539"/>
      <c r="J47" s="558"/>
      <c r="K47" s="559"/>
      <c r="L47" s="540"/>
      <c r="M47" s="541"/>
      <c r="N47" s="542"/>
      <c r="O47" s="543"/>
      <c r="P47" s="544"/>
      <c r="Q47" s="545"/>
      <c r="R47" s="546"/>
      <c r="S47" s="547"/>
      <c r="T47" s="585"/>
      <c r="U47" s="526"/>
      <c r="V47" s="546"/>
      <c r="W47" s="547"/>
      <c r="X47" s="548"/>
      <c r="Y47" s="526"/>
      <c r="Z47" s="549"/>
      <c r="AA47" s="550"/>
      <c r="AB47" s="551"/>
      <c r="AC47" s="552"/>
      <c r="AD47" s="547"/>
      <c r="AE47" s="553"/>
      <c r="AF47" s="554"/>
      <c r="AG47" s="555"/>
      <c r="AL47" s="556"/>
      <c r="AM47" s="538"/>
    </row>
    <row r="48" customFormat="false" ht="13.5" hidden="false" customHeight="false" outlineLevel="0" collapsed="false">
      <c r="A48" s="534"/>
      <c r="B48" s="535"/>
      <c r="C48" s="582"/>
      <c r="D48" s="537"/>
      <c r="E48" s="537"/>
      <c r="F48" s="556"/>
      <c r="G48" s="514"/>
      <c r="H48" s="538"/>
      <c r="I48" s="539"/>
      <c r="J48" s="558"/>
      <c r="K48" s="559"/>
      <c r="L48" s="540"/>
      <c r="M48" s="541"/>
      <c r="N48" s="542"/>
      <c r="O48" s="543"/>
      <c r="P48" s="544"/>
      <c r="Q48" s="545"/>
      <c r="R48" s="546"/>
      <c r="S48" s="547"/>
      <c r="T48" s="548"/>
      <c r="U48" s="526"/>
      <c r="V48" s="546"/>
      <c r="W48" s="547"/>
      <c r="X48" s="548"/>
      <c r="Y48" s="526"/>
      <c r="Z48" s="549"/>
      <c r="AA48" s="550"/>
      <c r="AB48" s="551"/>
      <c r="AC48" s="552"/>
      <c r="AD48" s="547"/>
      <c r="AE48" s="553"/>
      <c r="AF48" s="554"/>
      <c r="AG48" s="555"/>
      <c r="AL48" s="556"/>
      <c r="AM48" s="538"/>
    </row>
    <row r="49" customFormat="false" ht="13.5" hidden="false" customHeight="false" outlineLevel="0" collapsed="false">
      <c r="A49" s="534"/>
      <c r="B49" s="535"/>
      <c r="C49" s="582"/>
      <c r="D49" s="537"/>
      <c r="E49" s="537"/>
      <c r="F49" s="556"/>
      <c r="G49" s="514"/>
      <c r="H49" s="538"/>
      <c r="I49" s="539"/>
      <c r="J49" s="558"/>
      <c r="K49" s="559"/>
      <c r="L49" s="540"/>
      <c r="M49" s="541"/>
      <c r="N49" s="542"/>
      <c r="O49" s="543"/>
      <c r="P49" s="544"/>
      <c r="Q49" s="545"/>
      <c r="R49" s="546"/>
      <c r="S49" s="547"/>
      <c r="T49" s="548"/>
      <c r="U49" s="526"/>
      <c r="V49" s="546"/>
      <c r="W49" s="547"/>
      <c r="X49" s="548"/>
      <c r="Y49" s="526"/>
      <c r="Z49" s="549"/>
      <c r="AA49" s="550"/>
      <c r="AB49" s="551"/>
      <c r="AC49" s="552"/>
      <c r="AD49" s="547"/>
      <c r="AE49" s="553"/>
      <c r="AF49" s="554"/>
      <c r="AG49" s="555"/>
      <c r="AL49" s="556"/>
      <c r="AM49" s="538"/>
    </row>
    <row r="50" customFormat="false" ht="13.5" hidden="false" customHeight="false" outlineLevel="0" collapsed="false">
      <c r="A50" s="534"/>
      <c r="B50" s="581"/>
      <c r="C50" s="582"/>
      <c r="D50" s="537"/>
      <c r="E50" s="537"/>
      <c r="F50" s="556"/>
      <c r="G50" s="514"/>
      <c r="H50" s="538"/>
      <c r="I50" s="539"/>
      <c r="J50" s="579"/>
      <c r="K50" s="559"/>
      <c r="L50" s="540"/>
      <c r="M50" s="541"/>
      <c r="N50" s="542"/>
      <c r="O50" s="543"/>
      <c r="P50" s="544"/>
      <c r="Q50" s="545"/>
      <c r="R50" s="546"/>
      <c r="S50" s="547"/>
      <c r="T50" s="548"/>
      <c r="U50" s="526"/>
      <c r="V50" s="546"/>
      <c r="W50" s="547"/>
      <c r="X50" s="548"/>
      <c r="Y50" s="526"/>
      <c r="Z50" s="549"/>
      <c r="AA50" s="550"/>
      <c r="AB50" s="551"/>
      <c r="AC50" s="552"/>
      <c r="AD50" s="547"/>
      <c r="AE50" s="553"/>
      <c r="AF50" s="554"/>
      <c r="AG50" s="555"/>
      <c r="AL50" s="556"/>
      <c r="AM50" s="538"/>
    </row>
    <row r="51" customFormat="false" ht="15" hidden="false" customHeight="true" outlineLevel="0" collapsed="false">
      <c r="A51" s="586"/>
      <c r="B51" s="587"/>
      <c r="C51" s="588"/>
      <c r="D51" s="589"/>
      <c r="E51" s="589"/>
      <c r="F51" s="590"/>
      <c r="G51" s="591"/>
      <c r="H51" s="592"/>
      <c r="I51" s="593"/>
      <c r="J51" s="593"/>
      <c r="K51" s="593"/>
      <c r="L51" s="594"/>
      <c r="M51" s="595"/>
      <c r="N51" s="596"/>
      <c r="O51" s="597"/>
      <c r="P51" s="598"/>
      <c r="Q51" s="599"/>
      <c r="R51" s="600"/>
      <c r="S51" s="601"/>
      <c r="T51" s="602"/>
      <c r="U51" s="603"/>
      <c r="V51" s="600"/>
      <c r="W51" s="601"/>
      <c r="X51" s="602"/>
      <c r="Y51" s="603"/>
      <c r="Z51" s="604"/>
      <c r="AA51" s="605"/>
      <c r="AB51" s="606"/>
      <c r="AC51" s="607"/>
      <c r="AD51" s="601"/>
      <c r="AE51" s="608"/>
      <c r="AF51" s="609"/>
      <c r="AG51" s="610"/>
      <c r="AL51" s="590"/>
      <c r="AM51" s="592"/>
    </row>
    <row r="52" customFormat="false" ht="15" hidden="false" customHeight="true" outlineLevel="0" collapsed="false">
      <c r="R52" s="611" t="n">
        <f aca="false">SUM(R4:R51)</f>
        <v>0</v>
      </c>
      <c r="S52" s="611" t="n">
        <f aca="false">SUM(S4:S51)</f>
        <v>77649559.488</v>
      </c>
      <c r="T52" s="611" t="n">
        <f aca="false">SUM(T4:T51)</f>
        <v>0</v>
      </c>
      <c r="U52" s="612" t="n">
        <f aca="false">SUM(U4:U51)</f>
        <v>82798.8179780553</v>
      </c>
      <c r="V52" s="611" t="n">
        <f aca="false">SUM(V4:V51)</f>
        <v>0</v>
      </c>
      <c r="W52" s="611" t="n">
        <f aca="false">SUM(W4:W51)</f>
        <v>92402975.79072</v>
      </c>
      <c r="X52" s="611" t="n">
        <f aca="false">SUM(X4:X51)</f>
        <v>0</v>
      </c>
      <c r="Y52" s="612" t="n">
        <f aca="false">SUM(Y4:Y51)</f>
        <v>98530.5933938858</v>
      </c>
      <c r="Z52" s="611" t="n">
        <f aca="false">SUM(Z4:Z51)</f>
        <v>77649559.488</v>
      </c>
      <c r="AA52" s="611" t="n">
        <f aca="false">SUM(AA4:AA51)</f>
        <v>0</v>
      </c>
    </row>
    <row r="53" customFormat="false" ht="15" hidden="false" customHeight="true" outlineLevel="0" collapsed="false">
      <c r="S53" s="613"/>
      <c r="W53" s="613"/>
    </row>
    <row r="54" customFormat="false" ht="15" hidden="false" customHeight="true" outlineLevel="0" collapsed="false">
      <c r="S54" s="614"/>
      <c r="W54" s="614"/>
    </row>
    <row r="56" customFormat="false" ht="15" hidden="false" customHeight="true" outlineLevel="0" collapsed="false">
      <c r="S56" s="615"/>
      <c r="W56" s="615"/>
    </row>
    <row r="57" customFormat="false" ht="15" hidden="false" customHeight="true" outlineLevel="0" collapsed="false">
      <c r="T57" s="616"/>
      <c r="U57" s="616"/>
      <c r="X57" s="616"/>
      <c r="Y57" s="616"/>
    </row>
    <row r="58" customFormat="false" ht="15" hidden="false" customHeight="true" outlineLevel="0" collapsed="false">
      <c r="V58" s="487" t="s">
        <v>762</v>
      </c>
      <c r="W58" s="487" t="s">
        <v>763</v>
      </c>
      <c r="X58" s="617" t="n">
        <v>310068</v>
      </c>
      <c r="Y58" s="617"/>
    </row>
    <row r="59" customFormat="false" ht="15" hidden="false" customHeight="true" outlineLevel="0" collapsed="false">
      <c r="V59" s="487" t="s">
        <v>762</v>
      </c>
      <c r="W59" s="487" t="s">
        <v>764</v>
      </c>
      <c r="X59" s="617" t="n">
        <v>303238</v>
      </c>
      <c r="Y59" s="617"/>
    </row>
    <row r="60" customFormat="false" ht="15" hidden="false" customHeight="true" outlineLevel="0" collapsed="false">
      <c r="V60" s="487" t="s">
        <v>52</v>
      </c>
      <c r="X60" s="617" t="n">
        <v>265136</v>
      </c>
      <c r="Y60" s="617"/>
    </row>
    <row r="61" customFormat="false" ht="15" hidden="false" customHeight="true" outlineLevel="0" collapsed="false">
      <c r="V61" s="487" t="s">
        <v>52</v>
      </c>
      <c r="W61" s="487" t="s">
        <v>765</v>
      </c>
      <c r="X61" s="617" t="n">
        <v>1405082</v>
      </c>
      <c r="Y61" s="617"/>
    </row>
    <row r="62" customFormat="false" ht="15" hidden="false" customHeight="true" outlineLevel="0" collapsed="false">
      <c r="V62" s="487" t="s">
        <v>766</v>
      </c>
      <c r="X62" s="617" t="n">
        <v>-634626.42</v>
      </c>
      <c r="Y62" s="617"/>
    </row>
  </sheetData>
  <autoFilter ref="A3:AG52"/>
  <mergeCells count="5">
    <mergeCell ref="R2:U2"/>
    <mergeCell ref="V2:Y2"/>
    <mergeCell ref="Z2:AA2"/>
    <mergeCell ref="AB2:AC2"/>
    <mergeCell ref="AD2:AF2"/>
  </mergeCells>
  <conditionalFormatting sqref="B4:B51">
    <cfRule type="duplicateValues" priority="2" aboveAverage="0" equalAverage="0" bottom="0" percent="0" rank="0" text="" dxfId="74"/>
  </conditionalFormatting>
  <conditionalFormatting sqref="C4:C30">
    <cfRule type="duplicateValues" priority="3" aboveAverage="0" equalAverage="0" bottom="0" percent="0" rank="0" text="" dxfId="75"/>
  </conditionalFormatting>
  <conditionalFormatting sqref="C31:C50">
    <cfRule type="duplicateValues" priority="4" aboveAverage="0" equalAverage="0" bottom="0" percent="0" rank="0" text="" dxfId="76"/>
  </conditionalFormatting>
  <conditionalFormatting sqref="C51">
    <cfRule type="duplicateValues" priority="5" aboveAverage="0" equalAverage="0" bottom="0" percent="0" rank="0" text="" dxfId="77"/>
  </conditionalFormatting>
  <conditionalFormatting sqref="F2:H3 F4:F51 H4:H51">
    <cfRule type="cellIs" priority="6" operator="equal" aboveAverage="0" equalAverage="0" bottom="0" percent="0" rank="0" text="" dxfId="78">
      <formula>"Rechazada"</formula>
    </cfRule>
    <cfRule type="cellIs" priority="7" operator="equal" aboveAverage="0" equalAverage="0" bottom="0" percent="0" rank="0" text="" dxfId="79">
      <formula>"NULO"</formula>
    </cfRule>
    <cfRule type="cellIs" priority="8" operator="equal" aboveAverage="0" equalAverage="0" bottom="0" percent="0" rank="0" text="" dxfId="80">
      <formula>"Revisión"</formula>
    </cfRule>
    <cfRule type="cellIs" priority="9" operator="equal" aboveAverage="0" equalAverage="0" bottom="0" percent="0" rank="0" text="" dxfId="81">
      <formula>"NULO"</formula>
    </cfRule>
    <cfRule type="cellIs" priority="10" operator="equal" aboveAverage="0" equalAverage="0" bottom="0" percent="0" rank="0" text="" dxfId="82">
      <formula>"Reevaluar"</formula>
    </cfRule>
    <cfRule type="cellIs" priority="11" operator="equal" aboveAverage="0" equalAverage="0" bottom="0" percent="0" rank="0" text="" dxfId="83">
      <formula>"reevaluar"</formula>
    </cfRule>
  </conditionalFormatting>
  <conditionalFormatting sqref="R4:AF51">
    <cfRule type="cellIs" priority="12" operator="lessThan" aboveAverage="0" equalAverage="0" bottom="0" percent="0" rank="0" text="" dxfId="84">
      <formula>0</formula>
    </cfRule>
  </conditionalFormatting>
  <conditionalFormatting sqref="AL3:AM51">
    <cfRule type="cellIs" priority="13" operator="equal" aboveAverage="0" equalAverage="0" bottom="0" percent="0" rank="0" text="" dxfId="85">
      <formula>"Rechazada"</formula>
    </cfRule>
    <cfRule type="cellIs" priority="14" operator="equal" aboveAverage="0" equalAverage="0" bottom="0" percent="0" rank="0" text="" dxfId="86">
      <formula>"NULO"</formula>
    </cfRule>
    <cfRule type="cellIs" priority="15" operator="equal" aboveAverage="0" equalAverage="0" bottom="0" percent="0" rank="0" text="" dxfId="87">
      <formula>"Revisión"</formula>
    </cfRule>
    <cfRule type="cellIs" priority="16" operator="equal" aboveAverage="0" equalAverage="0" bottom="0" percent="0" rank="0" text="" dxfId="88">
      <formula>"NULO"</formula>
    </cfRule>
    <cfRule type="cellIs" priority="17" operator="equal" aboveAverage="0" equalAverage="0" bottom="0" percent="0" rank="0" text="" dxfId="89">
      <formula>"Reevaluar"</formula>
    </cfRule>
    <cfRule type="cellIs" priority="18" operator="equal" aboveAverage="0" equalAverage="0" bottom="0" percent="0" rank="0" text="" dxfId="90">
      <formula>"reevaluar"</formula>
    </cfRule>
  </conditionalFormatting>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customXml/_rels/item1.xml.rels><?xml version="1.0" encoding="UTF-8"?>
<Relationships xmlns="http://schemas.openxmlformats.org/package/2006/relationships"><Relationship Id="rId1" Type="http://schemas.openxmlformats.org/officeDocument/2006/relationships/customXmlProps" Target="itemProps1.xml"/>
</Relationships>
</file>

<file path=customXml/_rels/item2.xml.rels><?xml version="1.0" encoding="UTF-8"?>
<Relationships xmlns="http://schemas.openxmlformats.org/package/2006/relationships"><Relationship Id="rId1" Type="http://schemas.openxmlformats.org/officeDocument/2006/relationships/customXmlProps" Target="itemProps2.xml"/>
</Relationships>
</file>

<file path=customXml/_rels/item3.xml.rels><?xml version="1.0" encoding="UTF-8"?>
<Relationships xmlns="http://schemas.openxmlformats.org/package/2006/relationships"><Relationship Id="rId1" Type="http://schemas.openxmlformats.org/officeDocument/2006/relationships/customXmlProps" Target="itemProps3.xml"/>
</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551528862DC38840A7B350D8E2FB2B34" ma:contentTypeVersion="16" ma:contentTypeDescription="Crear nuevo documento." ma:contentTypeScope="" ma:versionID="0d24bdb205e88a6af9573253568adcad">
  <xsd:schema xmlns:xsd="http://www.w3.org/2001/XMLSchema" xmlns:xs="http://www.w3.org/2001/XMLSchema" xmlns:p="http://schemas.microsoft.com/office/2006/metadata/properties" xmlns:ns2="d430ac98-2650-49a0-b18a-26e917ea0142" xmlns:ns3="b26d4454-81ef-4bc3-bad1-6883e972125c" targetNamespace="http://schemas.microsoft.com/office/2006/metadata/properties" ma:root="true" ma:fieldsID="47f6d191a0388b81de94aec5144f8f2a" ns2:_="" ns3:_="">
    <xsd:import namespace="d430ac98-2650-49a0-b18a-26e917ea0142"/>
    <xsd:import namespace="b26d4454-81ef-4bc3-bad1-6883e972125c"/>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3:SharedWithUsers" minOccurs="0"/>
                <xsd:element ref="ns3:SharedWithDetail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430ac98-2650-49a0-b18a-26e917ea014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Etiquetas de imagen" ma:readOnly="false" ma:fieldId="{5cf76f15-5ced-4ddc-b409-7134ff3c332f}" ma:taxonomyMulti="true" ma:sspId="f76ee4ef-b2bb-4e1c-8844-6f1cb3783c48"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description="" ma:indexed="true" ma:internalName="MediaServiceLocatio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26d4454-81ef-4bc3-bad1-6883e972125c" elementFormDefault="qualified">
    <xsd:import namespace="http://schemas.microsoft.com/office/2006/documentManagement/types"/>
    <xsd:import namespace="http://schemas.microsoft.com/office/infopath/2007/PartnerControls"/>
    <xsd:element name="SharedWithUsers" ma:index="12"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Detalles de uso compartido" ma:internalName="SharedWithDetails" ma:readOnly="true">
      <xsd:simpleType>
        <xsd:restriction base="dms:Note">
          <xsd:maxLength value="255"/>
        </xsd:restriction>
      </xsd:simpleType>
    </xsd:element>
    <xsd:element name="TaxCatchAll" ma:index="16" nillable="true" ma:displayName="Taxonomy Catch All Column" ma:hidden="true" ma:list="{0b5c1267-e10a-461e-adbe-2c727a7d9153}" ma:internalName="TaxCatchAll" ma:showField="CatchAllData" ma:web="b26d4454-81ef-4bc3-bad1-6883e972125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b26d4454-81ef-4bc3-bad1-6883e972125c" xsi:nil="true"/>
    <lcf76f155ced4ddcb4097134ff3c332f xmlns="d430ac98-2650-49a0-b18a-26e917ea0142">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4051DB0E-C37E-48A5-823E-B20B50922B7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430ac98-2650-49a0-b18a-26e917ea0142"/>
    <ds:schemaRef ds:uri="b26d4454-81ef-4bc3-bad1-6883e972125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0184011-64B2-4134-9138-E311CBB5CBB8}">
  <ds:schemaRefs>
    <ds:schemaRef ds:uri="http://schemas.microsoft.com/sharepoint/v3/contenttype/forms"/>
  </ds:schemaRefs>
</ds:datastoreItem>
</file>

<file path=customXml/itemProps3.xml><?xml version="1.0" encoding="utf-8"?>
<ds:datastoreItem xmlns:ds="http://schemas.openxmlformats.org/officeDocument/2006/customXml" ds:itemID="{459A9B8A-1411-4B43-A245-CE231BDC1946}">
  <ds:schemaRefs>
    <ds:schemaRef ds:uri="http://schemas.microsoft.com/office/2006/metadata/properties"/>
    <ds:schemaRef ds:uri="http://schemas.microsoft.com/office/infopath/2007/PartnerControls"/>
    <ds:schemaRef ds:uri="b26d4454-81ef-4bc3-bad1-6883e972125c"/>
    <ds:schemaRef ds:uri="d430ac98-2650-49a0-b18a-26e917ea0142"/>
  </ds:schemaRefs>
</ds:datastoreItem>
</file>

<file path=docProps/app.xml><?xml version="1.0" encoding="utf-8"?>
<Properties xmlns="http://schemas.openxmlformats.org/officeDocument/2006/extended-properties" xmlns:vt="http://schemas.openxmlformats.org/officeDocument/2006/docPropsVTypes">
  <Template/>
  <TotalTime>1</TotalTime>
  <Application>LibreOffice/7.4.7.2$Linux_X86_64 LibreOffice_project/40$Build-2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2025-03-18T01:05:11Z</dcterms:created>
  <dc:creator>Daniel Lagos Uribe</dc:creator>
  <dc:description/>
  <dc:language>es-CL</dc:language>
  <cp:lastModifiedBy/>
  <dcterms:modified xsi:type="dcterms:W3CDTF">2026-02-27T15:18:16Z</dcterms:modified>
  <cp:revision>1</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0x010100551528862DC38840A7B350D8E2FB2B34</vt:lpwstr>
  </property>
  <property fmtid="{D5CDD505-2E9C-101B-9397-08002B2CF9AE}" pid="3" name="MediaServiceImageTags">
    <vt:lpwstr/>
  </property>
</Properties>
</file>